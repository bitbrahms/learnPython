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05" yWindow="45" windowWidth="24240" windowHeight="5955"/>
  </bookViews>
  <sheets>
    <sheet name="交易记录" sheetId="1" r:id="rId1"/>
    <sheet name="转账记录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AD18" i="1" l="1"/>
  <c r="AL18" i="1"/>
  <c r="AQ18" i="1" s="1"/>
  <c r="AO18" i="1"/>
  <c r="AR18" i="1"/>
  <c r="AD19" i="1"/>
  <c r="AL19" i="1"/>
  <c r="AQ19" i="1" s="1"/>
  <c r="AO19" i="1"/>
  <c r="AR19" i="1"/>
  <c r="AD20" i="1"/>
  <c r="AL20" i="1"/>
  <c r="AQ20" i="1" s="1"/>
  <c r="AM20" i="1"/>
  <c r="AN20" i="1"/>
  <c r="AO20" i="1"/>
  <c r="AP20" i="1"/>
  <c r="AR20" i="1"/>
  <c r="AL33" i="1"/>
  <c r="AQ33" i="1" s="1"/>
  <c r="AL32" i="1"/>
  <c r="AQ32" i="1" s="1"/>
  <c r="AL31" i="1"/>
  <c r="AQ31" i="1" s="1"/>
  <c r="AL30" i="1"/>
  <c r="AQ30" i="1" s="1"/>
  <c r="AH30" i="1" s="1"/>
  <c r="AL29" i="1"/>
  <c r="AP29" i="1" s="1"/>
  <c r="AL28" i="1"/>
  <c r="AQ28" i="1" s="1"/>
  <c r="AL27" i="1"/>
  <c r="AQ27" i="1" s="1"/>
  <c r="AD38" i="1"/>
  <c r="AL38" i="1"/>
  <c r="AQ38" i="1" s="1"/>
  <c r="AM38" i="1"/>
  <c r="AN38" i="1"/>
  <c r="AO38" i="1"/>
  <c r="AP38" i="1"/>
  <c r="AR38" i="1"/>
  <c r="AD39" i="1"/>
  <c r="AL39" i="1"/>
  <c r="AQ39" i="1" s="1"/>
  <c r="AM39" i="1"/>
  <c r="AN39" i="1"/>
  <c r="AO39" i="1"/>
  <c r="AR39" i="1"/>
  <c r="AD36" i="1"/>
  <c r="AL36" i="1"/>
  <c r="AQ36" i="1" s="1"/>
  <c r="AM36" i="1"/>
  <c r="AN36" i="1"/>
  <c r="AO36" i="1"/>
  <c r="AP36" i="1"/>
  <c r="AR36" i="1"/>
  <c r="AD37" i="1"/>
  <c r="AL37" i="1"/>
  <c r="AQ37" i="1" s="1"/>
  <c r="AM37" i="1"/>
  <c r="AN37" i="1"/>
  <c r="AO37" i="1"/>
  <c r="AP37" i="1"/>
  <c r="AR37" i="1"/>
  <c r="AD34" i="1"/>
  <c r="AL34" i="1"/>
  <c r="AQ34" i="1" s="1"/>
  <c r="AM34" i="1"/>
  <c r="AN34" i="1"/>
  <c r="AO34" i="1"/>
  <c r="AP34" i="1"/>
  <c r="AR34" i="1"/>
  <c r="AD35" i="1"/>
  <c r="AL35" i="1"/>
  <c r="AQ35" i="1" s="1"/>
  <c r="AM35" i="1"/>
  <c r="AN35" i="1"/>
  <c r="AO35" i="1"/>
  <c r="AP35" i="1"/>
  <c r="AR35" i="1"/>
  <c r="AD33" i="1"/>
  <c r="AM33" i="1"/>
  <c r="AN33" i="1"/>
  <c r="AD32" i="1"/>
  <c r="AM32" i="1"/>
  <c r="AN32" i="1"/>
  <c r="AD31" i="1"/>
  <c r="AM31" i="1"/>
  <c r="AN31" i="1"/>
  <c r="AD29" i="1"/>
  <c r="AM29" i="1"/>
  <c r="AN29" i="1"/>
  <c r="AD30" i="1"/>
  <c r="AM30" i="1"/>
  <c r="AN30" i="1"/>
  <c r="AD28" i="1"/>
  <c r="AM28" i="1"/>
  <c r="AN28" i="1"/>
  <c r="AD27" i="1"/>
  <c r="AM27" i="1"/>
  <c r="AN27" i="1"/>
  <c r="AP27" i="1"/>
  <c r="AD22" i="1"/>
  <c r="AL22" i="1"/>
  <c r="AQ22" i="1" s="1"/>
  <c r="AM22" i="1"/>
  <c r="AN22" i="1"/>
  <c r="AO22" i="1"/>
  <c r="AR22" i="1"/>
  <c r="AD23" i="1"/>
  <c r="AL23" i="1"/>
  <c r="AQ23" i="1" s="1"/>
  <c r="AM23" i="1"/>
  <c r="AN23" i="1"/>
  <c r="AO23" i="1"/>
  <c r="AR23" i="1"/>
  <c r="AD24" i="1"/>
  <c r="AL24" i="1"/>
  <c r="AQ24" i="1" s="1"/>
  <c r="AM24" i="1"/>
  <c r="AN24" i="1"/>
  <c r="AO24" i="1"/>
  <c r="AR24" i="1"/>
  <c r="AD25" i="1"/>
  <c r="AL25" i="1"/>
  <c r="AQ25" i="1" s="1"/>
  <c r="AM25" i="1"/>
  <c r="AN25" i="1"/>
  <c r="AO25" i="1"/>
  <c r="AP25" i="1"/>
  <c r="AR25" i="1"/>
  <c r="AD26" i="1"/>
  <c r="AL26" i="1"/>
  <c r="AP26" i="1" s="1"/>
  <c r="AM26" i="1"/>
  <c r="AN26" i="1"/>
  <c r="AO26" i="1"/>
  <c r="AR26" i="1"/>
  <c r="D2" i="2"/>
  <c r="AP19" i="1" l="1"/>
  <c r="AG19" i="1" s="1"/>
  <c r="AP18" i="1"/>
  <c r="AJ18" i="1" s="1"/>
  <c r="AP31" i="1"/>
  <c r="AP22" i="1"/>
  <c r="AJ22" i="1" s="1"/>
  <c r="AP39" i="1"/>
  <c r="AJ20" i="1"/>
  <c r="AH20" i="1"/>
  <c r="AG20" i="1"/>
  <c r="AH19" i="1"/>
  <c r="AN19" i="1" s="1"/>
  <c r="AH18" i="1"/>
  <c r="AN18" i="1" s="1"/>
  <c r="AQ29" i="1"/>
  <c r="AJ29" i="1" s="1"/>
  <c r="AP28" i="1"/>
  <c r="AG28" i="1" s="1"/>
  <c r="AP24" i="1"/>
  <c r="AG24" i="1" s="1"/>
  <c r="AP23" i="1"/>
  <c r="AJ23" i="1" s="1"/>
  <c r="AJ25" i="1"/>
  <c r="AJ35" i="1"/>
  <c r="AJ37" i="1"/>
  <c r="AG23" i="1"/>
  <c r="AG35" i="1"/>
  <c r="AG34" i="1"/>
  <c r="AG37" i="1"/>
  <c r="AJ36" i="1"/>
  <c r="AJ39" i="1"/>
  <c r="AH25" i="1"/>
  <c r="AH24" i="1"/>
  <c r="AP32" i="1"/>
  <c r="AG32" i="1" s="1"/>
  <c r="AH28" i="1"/>
  <c r="AP30" i="1"/>
  <c r="AJ30" i="1" s="1"/>
  <c r="AJ31" i="1"/>
  <c r="AP33" i="1"/>
  <c r="AJ33" i="1" s="1"/>
  <c r="AH38" i="1"/>
  <c r="AG38" i="1"/>
  <c r="AJ38" i="1"/>
  <c r="AH39" i="1"/>
  <c r="AG39" i="1"/>
  <c r="AH37" i="1"/>
  <c r="AH36" i="1"/>
  <c r="AG36" i="1"/>
  <c r="AJ34" i="1"/>
  <c r="AH35" i="1"/>
  <c r="AH34" i="1"/>
  <c r="AH33" i="1"/>
  <c r="AH32" i="1"/>
  <c r="AH31" i="1"/>
  <c r="AG31" i="1"/>
  <c r="AG29" i="1"/>
  <c r="AH27" i="1"/>
  <c r="AG27" i="1"/>
  <c r="AJ27" i="1"/>
  <c r="AG25" i="1"/>
  <c r="AQ26" i="1"/>
  <c r="AH26" i="1" s="1"/>
  <c r="AH23" i="1"/>
  <c r="AH22" i="1"/>
  <c r="AG26" i="1"/>
  <c r="AG22" i="1"/>
  <c r="AD122" i="1"/>
  <c r="AL122" i="1"/>
  <c r="AQ122" i="1" s="1"/>
  <c r="AO122" i="1"/>
  <c r="AR122" i="1"/>
  <c r="AD123" i="1"/>
  <c r="AL123" i="1"/>
  <c r="AQ123" i="1" s="1"/>
  <c r="AO123" i="1"/>
  <c r="AR123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Q304" i="1"/>
  <c r="AR304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Q322" i="1"/>
  <c r="AR322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Q323" i="1"/>
  <c r="AR323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AQ329" i="1"/>
  <c r="AR329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AQ331" i="1"/>
  <c r="AR331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AQ332" i="1"/>
  <c r="AR332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AQ334" i="1"/>
  <c r="AR334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Q336" i="1"/>
  <c r="AR336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AQ338" i="1"/>
  <c r="AR338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AQ340" i="1"/>
  <c r="AR340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AQ341" i="1"/>
  <c r="AR341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Q342" i="1"/>
  <c r="AR342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AQ343" i="1"/>
  <c r="AR343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AQ344" i="1"/>
  <c r="AR344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Q345" i="1"/>
  <c r="AR345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AQ346" i="1"/>
  <c r="AR346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AQ347" i="1"/>
  <c r="AR347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Q348" i="1"/>
  <c r="AR348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AQ349" i="1"/>
  <c r="AR349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AQ350" i="1"/>
  <c r="AR350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Q351" i="1"/>
  <c r="AR351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AQ352" i="1"/>
  <c r="AR352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AQ353" i="1"/>
  <c r="AR353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AQ355" i="1"/>
  <c r="AR355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Q357" i="1"/>
  <c r="AR357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AQ359" i="1"/>
  <c r="AR359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Q360" i="1"/>
  <c r="AR360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AQ367" i="1"/>
  <c r="AR367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AQ389" i="1"/>
  <c r="AR389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Q390" i="1"/>
  <c r="AR390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AQ391" i="1"/>
  <c r="AR391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AQ392" i="1"/>
  <c r="AR392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Q393" i="1"/>
  <c r="AR393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AQ394" i="1"/>
  <c r="AR394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AQ395" i="1"/>
  <c r="AR395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Q396" i="1"/>
  <c r="AR396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AQ397" i="1"/>
  <c r="AR397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AQ398" i="1"/>
  <c r="AR398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Q399" i="1"/>
  <c r="AR399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AQ400" i="1"/>
  <c r="AR400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AQ401" i="1"/>
  <c r="AR401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Q402" i="1"/>
  <c r="AR402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AQ403" i="1"/>
  <c r="AR403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AQ404" i="1"/>
  <c r="AR404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Q405" i="1"/>
  <c r="AR405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AQ406" i="1"/>
  <c r="AR406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AQ407" i="1"/>
  <c r="AR407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Q408" i="1"/>
  <c r="AR408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AQ409" i="1"/>
  <c r="AR409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AQ410" i="1"/>
  <c r="AR410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Q411" i="1"/>
  <c r="AR411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AQ412" i="1"/>
  <c r="AR412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AQ413" i="1"/>
  <c r="AR413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Q414" i="1"/>
  <c r="AR414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AQ415" i="1"/>
  <c r="AR415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AQ416" i="1"/>
  <c r="AR416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Q417" i="1"/>
  <c r="AR417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AQ418" i="1"/>
  <c r="AR418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AQ419" i="1"/>
  <c r="AR419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Q420" i="1"/>
  <c r="AR420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AQ421" i="1"/>
  <c r="AR421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AQ422" i="1"/>
  <c r="AR422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Q423" i="1"/>
  <c r="AR423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AQ424" i="1"/>
  <c r="AR424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AQ425" i="1"/>
  <c r="AR425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Q426" i="1"/>
  <c r="AR426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AQ427" i="1"/>
  <c r="AR427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AQ428" i="1"/>
  <c r="AR428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Q429" i="1"/>
  <c r="AR429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AQ430" i="1"/>
  <c r="AR430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AQ431" i="1"/>
  <c r="AR431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Q432" i="1"/>
  <c r="AR432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AQ433" i="1"/>
  <c r="AR433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AQ434" i="1"/>
  <c r="AR434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Q435" i="1"/>
  <c r="AR435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AQ436" i="1"/>
  <c r="AR436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AQ437" i="1"/>
  <c r="AR437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Q438" i="1"/>
  <c r="AR438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AQ439" i="1"/>
  <c r="AR439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AQ440" i="1"/>
  <c r="AR440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Q441" i="1"/>
  <c r="AR441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AQ442" i="1"/>
  <c r="AR442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AQ443" i="1"/>
  <c r="AR443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Q444" i="1"/>
  <c r="AR444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AQ446" i="1"/>
  <c r="AR446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Q447" i="1"/>
  <c r="AR447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AQ448" i="1"/>
  <c r="AR448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AQ449" i="1"/>
  <c r="AR449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Q450" i="1"/>
  <c r="AR450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AQ451" i="1"/>
  <c r="AR451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AQ452" i="1"/>
  <c r="AR452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Q453" i="1"/>
  <c r="AR453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AQ454" i="1"/>
  <c r="AR454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AQ455" i="1"/>
  <c r="AR455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Q456" i="1"/>
  <c r="AR456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AQ457" i="1"/>
  <c r="AR457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Q458" i="1"/>
  <c r="AR458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AQ460" i="1"/>
  <c r="AR460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AQ461" i="1"/>
  <c r="AR461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Q462" i="1"/>
  <c r="AR462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AQ463" i="1"/>
  <c r="AR463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AQ464" i="1"/>
  <c r="AR464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Q465" i="1"/>
  <c r="AR465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AQ466" i="1"/>
  <c r="AR466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AQ467" i="1"/>
  <c r="AR467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Q468" i="1"/>
  <c r="AR468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AQ469" i="1"/>
  <c r="AR469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AQ470" i="1"/>
  <c r="AR470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Q471" i="1"/>
  <c r="AR471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AQ472" i="1"/>
  <c r="AR472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AQ473" i="1"/>
  <c r="AR473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Q474" i="1"/>
  <c r="AR474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AQ475" i="1"/>
  <c r="AR475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AQ476" i="1"/>
  <c r="AR476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Q477" i="1"/>
  <c r="AR477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AQ478" i="1"/>
  <c r="AR478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AQ479" i="1"/>
  <c r="AR479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Q480" i="1"/>
  <c r="AR480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AQ481" i="1"/>
  <c r="AR481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AQ482" i="1"/>
  <c r="AR482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Q483" i="1"/>
  <c r="AR483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AQ484" i="1"/>
  <c r="AR484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AQ485" i="1"/>
  <c r="AR485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Q486" i="1"/>
  <c r="AR486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Q487" i="1"/>
  <c r="AR487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AQ488" i="1"/>
  <c r="AR488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Q489" i="1"/>
  <c r="AR489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AQ490" i="1"/>
  <c r="AR490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AQ491" i="1"/>
  <c r="AR491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Q492" i="1"/>
  <c r="AR492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AQ493" i="1"/>
  <c r="AR493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AQ494" i="1"/>
  <c r="AR494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Q495" i="1"/>
  <c r="AR495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AQ496" i="1"/>
  <c r="AR496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AQ497" i="1"/>
  <c r="AR497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Q498" i="1"/>
  <c r="AR498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AQ499" i="1"/>
  <c r="AR499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AQ500" i="1"/>
  <c r="AR500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Q501" i="1"/>
  <c r="AR501" i="1"/>
  <c r="AB502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AQ502" i="1"/>
  <c r="AR502" i="1"/>
  <c r="AB503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AQ503" i="1"/>
  <c r="AR503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Q504" i="1"/>
  <c r="AR504" i="1"/>
  <c r="AB505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AQ505" i="1"/>
  <c r="AR505" i="1"/>
  <c r="AB506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AQ506" i="1"/>
  <c r="AR506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Q507" i="1"/>
  <c r="AR507" i="1"/>
  <c r="AB508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AQ508" i="1"/>
  <c r="AR508" i="1"/>
  <c r="AB509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AQ509" i="1"/>
  <c r="AR509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Q510" i="1"/>
  <c r="AR510" i="1"/>
  <c r="AB511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AQ511" i="1"/>
  <c r="AR511" i="1"/>
  <c r="AB512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AQ512" i="1"/>
  <c r="AR512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Q513" i="1"/>
  <c r="AR513" i="1"/>
  <c r="AB514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AQ514" i="1"/>
  <c r="AR514" i="1"/>
  <c r="AB515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AQ515" i="1"/>
  <c r="AR515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Q516" i="1"/>
  <c r="AR516" i="1"/>
  <c r="AB517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AQ517" i="1"/>
  <c r="AR517" i="1"/>
  <c r="AB518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AQ518" i="1"/>
  <c r="AR518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Q519" i="1"/>
  <c r="AR519" i="1"/>
  <c r="AB520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AQ520" i="1"/>
  <c r="AR520" i="1"/>
  <c r="AB521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AQ521" i="1"/>
  <c r="AR521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Q522" i="1"/>
  <c r="AR522" i="1"/>
  <c r="AB523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AQ523" i="1"/>
  <c r="AR523" i="1"/>
  <c r="AB524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AQ524" i="1"/>
  <c r="AR524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Q525" i="1"/>
  <c r="AR525" i="1"/>
  <c r="AB526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AQ526" i="1"/>
  <c r="AR526" i="1"/>
  <c r="AB527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AQ527" i="1"/>
  <c r="AR527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Q528" i="1"/>
  <c r="AR528" i="1"/>
  <c r="AB529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AQ529" i="1"/>
  <c r="AR529" i="1"/>
  <c r="AB530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AQ530" i="1"/>
  <c r="AR530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Q531" i="1"/>
  <c r="AR531" i="1"/>
  <c r="AB532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AQ532" i="1"/>
  <c r="AR532" i="1"/>
  <c r="AB533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AQ533" i="1"/>
  <c r="AR533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Q534" i="1"/>
  <c r="AR534" i="1"/>
  <c r="AB535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AQ535" i="1"/>
  <c r="AR535" i="1"/>
  <c r="AB536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AQ536" i="1"/>
  <c r="AR536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Q537" i="1"/>
  <c r="AR537" i="1"/>
  <c r="AB538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AQ538" i="1"/>
  <c r="AR538" i="1"/>
  <c r="AB539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AQ539" i="1"/>
  <c r="AR539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Q540" i="1"/>
  <c r="AR540" i="1"/>
  <c r="AB541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AQ541" i="1"/>
  <c r="AR541" i="1"/>
  <c r="AB542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AQ542" i="1"/>
  <c r="AR542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Q543" i="1"/>
  <c r="AR543" i="1"/>
  <c r="AB544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AQ544" i="1"/>
  <c r="AR544" i="1"/>
  <c r="AB545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AQ545" i="1"/>
  <c r="AR545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Q546" i="1"/>
  <c r="AR546" i="1"/>
  <c r="AB547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AQ547" i="1"/>
  <c r="AR547" i="1"/>
  <c r="AB548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AQ548" i="1"/>
  <c r="AR548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Q549" i="1"/>
  <c r="AR549" i="1"/>
  <c r="AB550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AQ550" i="1"/>
  <c r="AR550" i="1"/>
  <c r="AB551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AQ551" i="1"/>
  <c r="AR551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Q552" i="1"/>
  <c r="AR552" i="1"/>
  <c r="AB553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AQ553" i="1"/>
  <c r="AR553" i="1"/>
  <c r="AB554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AQ554" i="1"/>
  <c r="AR554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Q555" i="1"/>
  <c r="AR555" i="1"/>
  <c r="AB556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AQ556" i="1"/>
  <c r="AR556" i="1"/>
  <c r="AB557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AQ557" i="1"/>
  <c r="AR557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Q558" i="1"/>
  <c r="AR558" i="1"/>
  <c r="AB559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AQ559" i="1"/>
  <c r="AR559" i="1"/>
  <c r="AB560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AQ560" i="1"/>
  <c r="AR560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Q561" i="1"/>
  <c r="AR561" i="1"/>
  <c r="AB562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AQ562" i="1"/>
  <c r="AR562" i="1"/>
  <c r="AB563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AQ563" i="1"/>
  <c r="AR563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Q564" i="1"/>
  <c r="AR564" i="1"/>
  <c r="AB565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AQ565" i="1"/>
  <c r="AR565" i="1"/>
  <c r="AB566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AQ566" i="1"/>
  <c r="AR566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Q567" i="1"/>
  <c r="AR567" i="1"/>
  <c r="AB568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AQ568" i="1"/>
  <c r="AR568" i="1"/>
  <c r="AB569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AQ569" i="1"/>
  <c r="AR569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Q570" i="1"/>
  <c r="AR570" i="1"/>
  <c r="AB571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AQ571" i="1"/>
  <c r="AR571" i="1"/>
  <c r="AB572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AQ572" i="1"/>
  <c r="AR572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Q573" i="1"/>
  <c r="AR573" i="1"/>
  <c r="AB574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AQ574" i="1"/>
  <c r="AR574" i="1"/>
  <c r="AB575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AQ575" i="1"/>
  <c r="AR575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Q576" i="1"/>
  <c r="AR576" i="1"/>
  <c r="AB577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AQ577" i="1"/>
  <c r="AR577" i="1"/>
  <c r="AB578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AQ578" i="1"/>
  <c r="AR578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Q579" i="1"/>
  <c r="AR579" i="1"/>
  <c r="AB580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AQ580" i="1"/>
  <c r="AR580" i="1"/>
  <c r="AB581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AQ581" i="1"/>
  <c r="AR581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Q582" i="1"/>
  <c r="AR582" i="1"/>
  <c r="AB583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AQ583" i="1"/>
  <c r="AR583" i="1"/>
  <c r="AB584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AQ584" i="1"/>
  <c r="AR584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Q585" i="1"/>
  <c r="AR585" i="1"/>
  <c r="AB586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AQ586" i="1"/>
  <c r="AR586" i="1"/>
  <c r="AB587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AQ587" i="1"/>
  <c r="AR587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Q588" i="1"/>
  <c r="AR588" i="1"/>
  <c r="AB589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AQ589" i="1"/>
  <c r="AR589" i="1"/>
  <c r="AB590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AQ590" i="1"/>
  <c r="AR590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Q591" i="1"/>
  <c r="AR591" i="1"/>
  <c r="AB592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AQ592" i="1"/>
  <c r="AR592" i="1"/>
  <c r="AB593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AQ593" i="1"/>
  <c r="AR593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Q594" i="1"/>
  <c r="AR594" i="1"/>
  <c r="AB595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AQ595" i="1"/>
  <c r="AR595" i="1"/>
  <c r="AB596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AQ596" i="1"/>
  <c r="AR596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Q597" i="1"/>
  <c r="AR597" i="1"/>
  <c r="AB598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AQ598" i="1"/>
  <c r="AR598" i="1"/>
  <c r="AB599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AQ599" i="1"/>
  <c r="AR599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Q600" i="1"/>
  <c r="AR600" i="1"/>
  <c r="AB601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AQ601" i="1"/>
  <c r="AR601" i="1"/>
  <c r="AB602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AQ602" i="1"/>
  <c r="AR602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Q603" i="1"/>
  <c r="AR603" i="1"/>
  <c r="AB604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AQ604" i="1"/>
  <c r="AR604" i="1"/>
  <c r="AB605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AQ605" i="1"/>
  <c r="AR605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Q606" i="1"/>
  <c r="AR606" i="1"/>
  <c r="AB607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AQ607" i="1"/>
  <c r="AR607" i="1"/>
  <c r="AB608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AQ608" i="1"/>
  <c r="AR608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Q609" i="1"/>
  <c r="AR609" i="1"/>
  <c r="AB610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AQ610" i="1"/>
  <c r="AR610" i="1"/>
  <c r="AB611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AQ611" i="1"/>
  <c r="AR611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Q612" i="1"/>
  <c r="AR612" i="1"/>
  <c r="AB613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AQ613" i="1"/>
  <c r="AR613" i="1"/>
  <c r="AB614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AQ614" i="1"/>
  <c r="AR614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Q615" i="1"/>
  <c r="AR615" i="1"/>
  <c r="AB616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AQ616" i="1"/>
  <c r="AR616" i="1"/>
  <c r="AB617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AQ617" i="1"/>
  <c r="AR617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Q618" i="1"/>
  <c r="AR618" i="1"/>
  <c r="AB619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AQ619" i="1"/>
  <c r="AR619" i="1"/>
  <c r="AB620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AQ620" i="1"/>
  <c r="AR620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Q621" i="1"/>
  <c r="AR621" i="1"/>
  <c r="AB622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AQ622" i="1"/>
  <c r="AR622" i="1"/>
  <c r="AB623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AQ623" i="1"/>
  <c r="AR623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Q624" i="1"/>
  <c r="AR624" i="1"/>
  <c r="AB625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AQ625" i="1"/>
  <c r="AR625" i="1"/>
  <c r="AB626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AQ626" i="1"/>
  <c r="AR626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Q627" i="1"/>
  <c r="AR627" i="1"/>
  <c r="AB628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AQ628" i="1"/>
  <c r="AR628" i="1"/>
  <c r="AB629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AQ629" i="1"/>
  <c r="AR629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Q630" i="1"/>
  <c r="AR630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Q631" i="1"/>
  <c r="AR631" i="1"/>
  <c r="AB632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AQ632" i="1"/>
  <c r="AR632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Q633" i="1"/>
  <c r="AR633" i="1"/>
  <c r="AB634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AQ634" i="1"/>
  <c r="AR634" i="1"/>
  <c r="AB635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AQ635" i="1"/>
  <c r="AR635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Q636" i="1"/>
  <c r="AR636" i="1"/>
  <c r="AB637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AQ637" i="1"/>
  <c r="AR637" i="1"/>
  <c r="AB638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AQ638" i="1"/>
  <c r="AR638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Q639" i="1"/>
  <c r="AR639" i="1"/>
  <c r="AB640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AQ640" i="1"/>
  <c r="AR640" i="1"/>
  <c r="AB641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AQ641" i="1"/>
  <c r="AR641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Q642" i="1"/>
  <c r="AR642" i="1"/>
  <c r="AB643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AQ643" i="1"/>
  <c r="AR643" i="1"/>
  <c r="AB644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AQ644" i="1"/>
  <c r="AR644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Q645" i="1"/>
  <c r="AR645" i="1"/>
  <c r="AB646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AQ646" i="1"/>
  <c r="AR646" i="1"/>
  <c r="AB647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AQ647" i="1"/>
  <c r="AR647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Q648" i="1"/>
  <c r="AR648" i="1"/>
  <c r="AB649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AQ649" i="1"/>
  <c r="AR649" i="1"/>
  <c r="AB650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AQ650" i="1"/>
  <c r="AR650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Q651" i="1"/>
  <c r="AR651" i="1"/>
  <c r="AB652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AQ652" i="1"/>
  <c r="AR652" i="1"/>
  <c r="AB653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AQ653" i="1"/>
  <c r="AR653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Q654" i="1"/>
  <c r="AR654" i="1"/>
  <c r="AB655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AQ655" i="1"/>
  <c r="AR655" i="1"/>
  <c r="AB656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AQ656" i="1"/>
  <c r="AR656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Q657" i="1"/>
  <c r="AR657" i="1"/>
  <c r="AB658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AQ658" i="1"/>
  <c r="AR658" i="1"/>
  <c r="AB659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AQ659" i="1"/>
  <c r="AR659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Q660" i="1"/>
  <c r="AR660" i="1"/>
  <c r="AB661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AQ661" i="1"/>
  <c r="AR661" i="1"/>
  <c r="AB662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AQ662" i="1"/>
  <c r="AR662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Q663" i="1"/>
  <c r="AR663" i="1"/>
  <c r="AB664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AQ664" i="1"/>
  <c r="AR664" i="1"/>
  <c r="AB665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AQ665" i="1"/>
  <c r="AR665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Q666" i="1"/>
  <c r="AR666" i="1"/>
  <c r="AB667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AQ667" i="1"/>
  <c r="AR667" i="1"/>
  <c r="AB668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AQ668" i="1"/>
  <c r="AR668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Q669" i="1"/>
  <c r="AR669" i="1"/>
  <c r="AB670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AQ670" i="1"/>
  <c r="AR670" i="1"/>
  <c r="AB671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AQ671" i="1"/>
  <c r="AR671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Q672" i="1"/>
  <c r="AR672" i="1"/>
  <c r="AB673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AQ673" i="1"/>
  <c r="AR673" i="1"/>
  <c r="AB674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AQ674" i="1"/>
  <c r="AR674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Q675" i="1"/>
  <c r="AR675" i="1"/>
  <c r="AB676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AQ676" i="1"/>
  <c r="AR676" i="1"/>
  <c r="AB677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AQ677" i="1"/>
  <c r="AR677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Q678" i="1"/>
  <c r="AR678" i="1"/>
  <c r="AB679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AQ679" i="1"/>
  <c r="AR679" i="1"/>
  <c r="AB680" i="1"/>
  <c r="AC680" i="1"/>
  <c r="AD680" i="1"/>
  <c r="AE680" i="1"/>
  <c r="AF680" i="1"/>
  <c r="AG680" i="1"/>
  <c r="AH680" i="1"/>
  <c r="AI680" i="1"/>
  <c r="AJ680" i="1"/>
  <c r="AK680" i="1"/>
  <c r="AL680" i="1"/>
  <c r="AM680" i="1"/>
  <c r="AN680" i="1"/>
  <c r="AO680" i="1"/>
  <c r="AP680" i="1"/>
  <c r="AQ680" i="1"/>
  <c r="AR680" i="1"/>
  <c r="AB681" i="1"/>
  <c r="AC681" i="1"/>
  <c r="AD681" i="1"/>
  <c r="AE681" i="1"/>
  <c r="AF681" i="1"/>
  <c r="AG681" i="1"/>
  <c r="AH681" i="1"/>
  <c r="AI681" i="1"/>
  <c r="AJ681" i="1"/>
  <c r="AK681" i="1"/>
  <c r="AL681" i="1"/>
  <c r="AM681" i="1"/>
  <c r="AN681" i="1"/>
  <c r="AO681" i="1"/>
  <c r="AP681" i="1"/>
  <c r="AQ681" i="1"/>
  <c r="AR681" i="1"/>
  <c r="AB682" i="1"/>
  <c r="AC682" i="1"/>
  <c r="AD682" i="1"/>
  <c r="AE682" i="1"/>
  <c r="AF682" i="1"/>
  <c r="AG682" i="1"/>
  <c r="AH682" i="1"/>
  <c r="AI682" i="1"/>
  <c r="AJ682" i="1"/>
  <c r="AK682" i="1"/>
  <c r="AL682" i="1"/>
  <c r="AM682" i="1"/>
  <c r="AN682" i="1"/>
  <c r="AO682" i="1"/>
  <c r="AP682" i="1"/>
  <c r="AQ682" i="1"/>
  <c r="AR682" i="1"/>
  <c r="AB683" i="1"/>
  <c r="AC683" i="1"/>
  <c r="AD683" i="1"/>
  <c r="AE683" i="1"/>
  <c r="AF683" i="1"/>
  <c r="AG683" i="1"/>
  <c r="AH683" i="1"/>
  <c r="AI683" i="1"/>
  <c r="AJ683" i="1"/>
  <c r="AK683" i="1"/>
  <c r="AL683" i="1"/>
  <c r="AM683" i="1"/>
  <c r="AN683" i="1"/>
  <c r="AO683" i="1"/>
  <c r="AP683" i="1"/>
  <c r="AQ683" i="1"/>
  <c r="AR683" i="1"/>
  <c r="AB684" i="1"/>
  <c r="AC684" i="1"/>
  <c r="AD684" i="1"/>
  <c r="AE684" i="1"/>
  <c r="AF684" i="1"/>
  <c r="AG684" i="1"/>
  <c r="AH684" i="1"/>
  <c r="AI684" i="1"/>
  <c r="AJ684" i="1"/>
  <c r="AK684" i="1"/>
  <c r="AL684" i="1"/>
  <c r="AM684" i="1"/>
  <c r="AN684" i="1"/>
  <c r="AO684" i="1"/>
  <c r="AP684" i="1"/>
  <c r="AQ684" i="1"/>
  <c r="AR684" i="1"/>
  <c r="AB685" i="1"/>
  <c r="AC685" i="1"/>
  <c r="AD685" i="1"/>
  <c r="AE685" i="1"/>
  <c r="AF685" i="1"/>
  <c r="AG685" i="1"/>
  <c r="AH685" i="1"/>
  <c r="AI685" i="1"/>
  <c r="AJ685" i="1"/>
  <c r="AK685" i="1"/>
  <c r="AL685" i="1"/>
  <c r="AM685" i="1"/>
  <c r="AN685" i="1"/>
  <c r="AO685" i="1"/>
  <c r="AP685" i="1"/>
  <c r="AQ685" i="1"/>
  <c r="AR685" i="1"/>
  <c r="AB686" i="1"/>
  <c r="AC686" i="1"/>
  <c r="AD686" i="1"/>
  <c r="AE686" i="1"/>
  <c r="AF686" i="1"/>
  <c r="AG686" i="1"/>
  <c r="AH686" i="1"/>
  <c r="AI686" i="1"/>
  <c r="AJ686" i="1"/>
  <c r="AK686" i="1"/>
  <c r="AL686" i="1"/>
  <c r="AM686" i="1"/>
  <c r="AN686" i="1"/>
  <c r="AO686" i="1"/>
  <c r="AP686" i="1"/>
  <c r="AQ686" i="1"/>
  <c r="AR686" i="1"/>
  <c r="AB687" i="1"/>
  <c r="AC687" i="1"/>
  <c r="AD687" i="1"/>
  <c r="AE687" i="1"/>
  <c r="AF687" i="1"/>
  <c r="AG687" i="1"/>
  <c r="AH687" i="1"/>
  <c r="AI687" i="1"/>
  <c r="AJ687" i="1"/>
  <c r="AK687" i="1"/>
  <c r="AL687" i="1"/>
  <c r="AM687" i="1"/>
  <c r="AN687" i="1"/>
  <c r="AO687" i="1"/>
  <c r="AP687" i="1"/>
  <c r="AQ687" i="1"/>
  <c r="AR687" i="1"/>
  <c r="AB688" i="1"/>
  <c r="AC688" i="1"/>
  <c r="AD688" i="1"/>
  <c r="AE688" i="1"/>
  <c r="AF688" i="1"/>
  <c r="AG688" i="1"/>
  <c r="AH688" i="1"/>
  <c r="AI688" i="1"/>
  <c r="AJ688" i="1"/>
  <c r="AK688" i="1"/>
  <c r="AL688" i="1"/>
  <c r="AM688" i="1"/>
  <c r="AN688" i="1"/>
  <c r="AO688" i="1"/>
  <c r="AP688" i="1"/>
  <c r="AQ688" i="1"/>
  <c r="AR688" i="1"/>
  <c r="AB689" i="1"/>
  <c r="AC689" i="1"/>
  <c r="AD689" i="1"/>
  <c r="AE689" i="1"/>
  <c r="AF689" i="1"/>
  <c r="AG689" i="1"/>
  <c r="AH689" i="1"/>
  <c r="AI689" i="1"/>
  <c r="AJ689" i="1"/>
  <c r="AK689" i="1"/>
  <c r="AL689" i="1"/>
  <c r="AM689" i="1"/>
  <c r="AN689" i="1"/>
  <c r="AO689" i="1"/>
  <c r="AP689" i="1"/>
  <c r="AQ689" i="1"/>
  <c r="AR689" i="1"/>
  <c r="AB690" i="1"/>
  <c r="AC690" i="1"/>
  <c r="AD690" i="1"/>
  <c r="AE690" i="1"/>
  <c r="AF690" i="1"/>
  <c r="AG690" i="1"/>
  <c r="AH690" i="1"/>
  <c r="AI690" i="1"/>
  <c r="AJ690" i="1"/>
  <c r="AK690" i="1"/>
  <c r="AL690" i="1"/>
  <c r="AM690" i="1"/>
  <c r="AN690" i="1"/>
  <c r="AO690" i="1"/>
  <c r="AP690" i="1"/>
  <c r="AQ690" i="1"/>
  <c r="AR690" i="1"/>
  <c r="AB691" i="1"/>
  <c r="AC691" i="1"/>
  <c r="AD691" i="1"/>
  <c r="AE691" i="1"/>
  <c r="AF691" i="1"/>
  <c r="AG691" i="1"/>
  <c r="AH691" i="1"/>
  <c r="AI691" i="1"/>
  <c r="AJ691" i="1"/>
  <c r="AK691" i="1"/>
  <c r="AL691" i="1"/>
  <c r="AM691" i="1"/>
  <c r="AN691" i="1"/>
  <c r="AO691" i="1"/>
  <c r="AP691" i="1"/>
  <c r="AQ691" i="1"/>
  <c r="AR691" i="1"/>
  <c r="AB692" i="1"/>
  <c r="AC692" i="1"/>
  <c r="AD692" i="1"/>
  <c r="AE692" i="1"/>
  <c r="AF692" i="1"/>
  <c r="AG692" i="1"/>
  <c r="AH692" i="1"/>
  <c r="AI692" i="1"/>
  <c r="AJ692" i="1"/>
  <c r="AK692" i="1"/>
  <c r="AL692" i="1"/>
  <c r="AM692" i="1"/>
  <c r="AN692" i="1"/>
  <c r="AO692" i="1"/>
  <c r="AP692" i="1"/>
  <c r="AQ692" i="1"/>
  <c r="AR692" i="1"/>
  <c r="AB693" i="1"/>
  <c r="AC693" i="1"/>
  <c r="AD693" i="1"/>
  <c r="AE693" i="1"/>
  <c r="AF693" i="1"/>
  <c r="AG693" i="1"/>
  <c r="AH693" i="1"/>
  <c r="AI693" i="1"/>
  <c r="AJ693" i="1"/>
  <c r="AK693" i="1"/>
  <c r="AL693" i="1"/>
  <c r="AM693" i="1"/>
  <c r="AN693" i="1"/>
  <c r="AO693" i="1"/>
  <c r="AP693" i="1"/>
  <c r="AQ693" i="1"/>
  <c r="AR693" i="1"/>
  <c r="AB694" i="1"/>
  <c r="AC694" i="1"/>
  <c r="AD694" i="1"/>
  <c r="AE694" i="1"/>
  <c r="AF694" i="1"/>
  <c r="AG694" i="1"/>
  <c r="AH694" i="1"/>
  <c r="AI694" i="1"/>
  <c r="AJ694" i="1"/>
  <c r="AK694" i="1"/>
  <c r="AL694" i="1"/>
  <c r="AM694" i="1"/>
  <c r="AN694" i="1"/>
  <c r="AO694" i="1"/>
  <c r="AP694" i="1"/>
  <c r="AQ694" i="1"/>
  <c r="AR694" i="1"/>
  <c r="AB695" i="1"/>
  <c r="AC695" i="1"/>
  <c r="AD695" i="1"/>
  <c r="AE695" i="1"/>
  <c r="AF695" i="1"/>
  <c r="AG695" i="1"/>
  <c r="AH695" i="1"/>
  <c r="AI695" i="1"/>
  <c r="AJ695" i="1"/>
  <c r="AK695" i="1"/>
  <c r="AL695" i="1"/>
  <c r="AM695" i="1"/>
  <c r="AN695" i="1"/>
  <c r="AO695" i="1"/>
  <c r="AP695" i="1"/>
  <c r="AQ695" i="1"/>
  <c r="AR695" i="1"/>
  <c r="AB696" i="1"/>
  <c r="AC696" i="1"/>
  <c r="AD696" i="1"/>
  <c r="AE696" i="1"/>
  <c r="AF696" i="1"/>
  <c r="AG696" i="1"/>
  <c r="AH696" i="1"/>
  <c r="AI696" i="1"/>
  <c r="AJ696" i="1"/>
  <c r="AK696" i="1"/>
  <c r="AL696" i="1"/>
  <c r="AM696" i="1"/>
  <c r="AN696" i="1"/>
  <c r="AO696" i="1"/>
  <c r="AP696" i="1"/>
  <c r="AQ696" i="1"/>
  <c r="AR696" i="1"/>
  <c r="AB697" i="1"/>
  <c r="AC697" i="1"/>
  <c r="AD697" i="1"/>
  <c r="AE697" i="1"/>
  <c r="AF697" i="1"/>
  <c r="AG697" i="1"/>
  <c r="AH697" i="1"/>
  <c r="AI697" i="1"/>
  <c r="AJ697" i="1"/>
  <c r="AK697" i="1"/>
  <c r="AL697" i="1"/>
  <c r="AM697" i="1"/>
  <c r="AN697" i="1"/>
  <c r="AO697" i="1"/>
  <c r="AP697" i="1"/>
  <c r="AQ697" i="1"/>
  <c r="AR697" i="1"/>
  <c r="AB698" i="1"/>
  <c r="AC698" i="1"/>
  <c r="AD698" i="1"/>
  <c r="AE698" i="1"/>
  <c r="AF698" i="1"/>
  <c r="AG698" i="1"/>
  <c r="AH698" i="1"/>
  <c r="AI698" i="1"/>
  <c r="AJ698" i="1"/>
  <c r="AK698" i="1"/>
  <c r="AL698" i="1"/>
  <c r="AM698" i="1"/>
  <c r="AN698" i="1"/>
  <c r="AO698" i="1"/>
  <c r="AP698" i="1"/>
  <c r="AQ698" i="1"/>
  <c r="AR698" i="1"/>
  <c r="AB699" i="1"/>
  <c r="AC699" i="1"/>
  <c r="AD699" i="1"/>
  <c r="AE699" i="1"/>
  <c r="AF699" i="1"/>
  <c r="AG699" i="1"/>
  <c r="AH699" i="1"/>
  <c r="AI699" i="1"/>
  <c r="AJ699" i="1"/>
  <c r="AK699" i="1"/>
  <c r="AL699" i="1"/>
  <c r="AM699" i="1"/>
  <c r="AN699" i="1"/>
  <c r="AO699" i="1"/>
  <c r="AP699" i="1"/>
  <c r="AQ699" i="1"/>
  <c r="AR699" i="1"/>
  <c r="AB700" i="1"/>
  <c r="AC700" i="1"/>
  <c r="AD700" i="1"/>
  <c r="AE700" i="1"/>
  <c r="AF700" i="1"/>
  <c r="AG700" i="1"/>
  <c r="AH700" i="1"/>
  <c r="AI700" i="1"/>
  <c r="AJ700" i="1"/>
  <c r="AK700" i="1"/>
  <c r="AL700" i="1"/>
  <c r="AM700" i="1"/>
  <c r="AN700" i="1"/>
  <c r="AO700" i="1"/>
  <c r="AP700" i="1"/>
  <c r="AQ700" i="1"/>
  <c r="AR700" i="1"/>
  <c r="AB701" i="1"/>
  <c r="AC701" i="1"/>
  <c r="AD701" i="1"/>
  <c r="AE701" i="1"/>
  <c r="AF701" i="1"/>
  <c r="AG701" i="1"/>
  <c r="AH701" i="1"/>
  <c r="AI701" i="1"/>
  <c r="AJ701" i="1"/>
  <c r="AK701" i="1"/>
  <c r="AL701" i="1"/>
  <c r="AM701" i="1"/>
  <c r="AN701" i="1"/>
  <c r="AO701" i="1"/>
  <c r="AP701" i="1"/>
  <c r="AQ701" i="1"/>
  <c r="AR701" i="1"/>
  <c r="AB702" i="1"/>
  <c r="AC702" i="1"/>
  <c r="AD702" i="1"/>
  <c r="AE702" i="1"/>
  <c r="AF702" i="1"/>
  <c r="AG702" i="1"/>
  <c r="AH702" i="1"/>
  <c r="AI702" i="1"/>
  <c r="AJ702" i="1"/>
  <c r="AK702" i="1"/>
  <c r="AL702" i="1"/>
  <c r="AM702" i="1"/>
  <c r="AN702" i="1"/>
  <c r="AO702" i="1"/>
  <c r="AP702" i="1"/>
  <c r="AQ702" i="1"/>
  <c r="AR702" i="1"/>
  <c r="AB703" i="1"/>
  <c r="AC703" i="1"/>
  <c r="AD703" i="1"/>
  <c r="AE703" i="1"/>
  <c r="AF703" i="1"/>
  <c r="AG703" i="1"/>
  <c r="AH703" i="1"/>
  <c r="AI703" i="1"/>
  <c r="AJ703" i="1"/>
  <c r="AK703" i="1"/>
  <c r="AL703" i="1"/>
  <c r="AM703" i="1"/>
  <c r="AN703" i="1"/>
  <c r="AO703" i="1"/>
  <c r="AP703" i="1"/>
  <c r="AQ703" i="1"/>
  <c r="AR703" i="1"/>
  <c r="AB704" i="1"/>
  <c r="AC704" i="1"/>
  <c r="AD704" i="1"/>
  <c r="AE704" i="1"/>
  <c r="AF704" i="1"/>
  <c r="AG704" i="1"/>
  <c r="AH704" i="1"/>
  <c r="AI704" i="1"/>
  <c r="AJ704" i="1"/>
  <c r="AK704" i="1"/>
  <c r="AL704" i="1"/>
  <c r="AM704" i="1"/>
  <c r="AN704" i="1"/>
  <c r="AO704" i="1"/>
  <c r="AP704" i="1"/>
  <c r="AQ704" i="1"/>
  <c r="AR704" i="1"/>
  <c r="AB705" i="1"/>
  <c r="AC705" i="1"/>
  <c r="AD705" i="1"/>
  <c r="AE705" i="1"/>
  <c r="AF705" i="1"/>
  <c r="AG705" i="1"/>
  <c r="AH705" i="1"/>
  <c r="AI705" i="1"/>
  <c r="AJ705" i="1"/>
  <c r="AK705" i="1"/>
  <c r="AL705" i="1"/>
  <c r="AM705" i="1"/>
  <c r="AN705" i="1"/>
  <c r="AO705" i="1"/>
  <c r="AP705" i="1"/>
  <c r="AQ705" i="1"/>
  <c r="AR705" i="1"/>
  <c r="AB706" i="1"/>
  <c r="AC706" i="1"/>
  <c r="AD706" i="1"/>
  <c r="AE706" i="1"/>
  <c r="AF706" i="1"/>
  <c r="AG706" i="1"/>
  <c r="AH706" i="1"/>
  <c r="AI706" i="1"/>
  <c r="AJ706" i="1"/>
  <c r="AK706" i="1"/>
  <c r="AL706" i="1"/>
  <c r="AM706" i="1"/>
  <c r="AN706" i="1"/>
  <c r="AO706" i="1"/>
  <c r="AP706" i="1"/>
  <c r="AQ706" i="1"/>
  <c r="AR706" i="1"/>
  <c r="AB707" i="1"/>
  <c r="AC707" i="1"/>
  <c r="AD707" i="1"/>
  <c r="AE707" i="1"/>
  <c r="AF707" i="1"/>
  <c r="AG707" i="1"/>
  <c r="AH707" i="1"/>
  <c r="AI707" i="1"/>
  <c r="AJ707" i="1"/>
  <c r="AK707" i="1"/>
  <c r="AL707" i="1"/>
  <c r="AM707" i="1"/>
  <c r="AN707" i="1"/>
  <c r="AO707" i="1"/>
  <c r="AP707" i="1"/>
  <c r="AQ707" i="1"/>
  <c r="AR707" i="1"/>
  <c r="AB708" i="1"/>
  <c r="AC708" i="1"/>
  <c r="AD708" i="1"/>
  <c r="AE708" i="1"/>
  <c r="AF708" i="1"/>
  <c r="AG708" i="1"/>
  <c r="AH708" i="1"/>
  <c r="AI708" i="1"/>
  <c r="AJ708" i="1"/>
  <c r="AK708" i="1"/>
  <c r="AL708" i="1"/>
  <c r="AM708" i="1"/>
  <c r="AN708" i="1"/>
  <c r="AO708" i="1"/>
  <c r="AP708" i="1"/>
  <c r="AQ708" i="1"/>
  <c r="AR708" i="1"/>
  <c r="AB709" i="1"/>
  <c r="AC709" i="1"/>
  <c r="AD709" i="1"/>
  <c r="AE709" i="1"/>
  <c r="AF709" i="1"/>
  <c r="AG709" i="1"/>
  <c r="AH709" i="1"/>
  <c r="AI709" i="1"/>
  <c r="AJ709" i="1"/>
  <c r="AK709" i="1"/>
  <c r="AL709" i="1"/>
  <c r="AM709" i="1"/>
  <c r="AN709" i="1"/>
  <c r="AO709" i="1"/>
  <c r="AP709" i="1"/>
  <c r="AQ709" i="1"/>
  <c r="AR709" i="1"/>
  <c r="AB710" i="1"/>
  <c r="AC710" i="1"/>
  <c r="AD710" i="1"/>
  <c r="AE710" i="1"/>
  <c r="AF710" i="1"/>
  <c r="AG710" i="1"/>
  <c r="AH710" i="1"/>
  <c r="AI710" i="1"/>
  <c r="AJ710" i="1"/>
  <c r="AK710" i="1"/>
  <c r="AL710" i="1"/>
  <c r="AM710" i="1"/>
  <c r="AN710" i="1"/>
  <c r="AO710" i="1"/>
  <c r="AP710" i="1"/>
  <c r="AQ710" i="1"/>
  <c r="AR710" i="1"/>
  <c r="AB711" i="1"/>
  <c r="AC711" i="1"/>
  <c r="AD711" i="1"/>
  <c r="AE711" i="1"/>
  <c r="AF711" i="1"/>
  <c r="AG711" i="1"/>
  <c r="AH711" i="1"/>
  <c r="AI711" i="1"/>
  <c r="AJ711" i="1"/>
  <c r="AK711" i="1"/>
  <c r="AL711" i="1"/>
  <c r="AM711" i="1"/>
  <c r="AN711" i="1"/>
  <c r="AO711" i="1"/>
  <c r="AP711" i="1"/>
  <c r="AQ711" i="1"/>
  <c r="AR711" i="1"/>
  <c r="AB712" i="1"/>
  <c r="AC712" i="1"/>
  <c r="AD712" i="1"/>
  <c r="AE712" i="1"/>
  <c r="AF712" i="1"/>
  <c r="AG712" i="1"/>
  <c r="AH712" i="1"/>
  <c r="AI712" i="1"/>
  <c r="AJ712" i="1"/>
  <c r="AK712" i="1"/>
  <c r="AL712" i="1"/>
  <c r="AM712" i="1"/>
  <c r="AN712" i="1"/>
  <c r="AO712" i="1"/>
  <c r="AP712" i="1"/>
  <c r="AQ712" i="1"/>
  <c r="AR712" i="1"/>
  <c r="AB713" i="1"/>
  <c r="AC713" i="1"/>
  <c r="AD713" i="1"/>
  <c r="AE713" i="1"/>
  <c r="AF713" i="1"/>
  <c r="AG713" i="1"/>
  <c r="AH713" i="1"/>
  <c r="AI713" i="1"/>
  <c r="AJ713" i="1"/>
  <c r="AK713" i="1"/>
  <c r="AL713" i="1"/>
  <c r="AM713" i="1"/>
  <c r="AN713" i="1"/>
  <c r="AO713" i="1"/>
  <c r="AP713" i="1"/>
  <c r="AQ713" i="1"/>
  <c r="AR713" i="1"/>
  <c r="AB714" i="1"/>
  <c r="AC714" i="1"/>
  <c r="AD714" i="1"/>
  <c r="AE714" i="1"/>
  <c r="AF714" i="1"/>
  <c r="AG714" i="1"/>
  <c r="AH714" i="1"/>
  <c r="AI714" i="1"/>
  <c r="AJ714" i="1"/>
  <c r="AK714" i="1"/>
  <c r="AL714" i="1"/>
  <c r="AM714" i="1"/>
  <c r="AN714" i="1"/>
  <c r="AO714" i="1"/>
  <c r="AP714" i="1"/>
  <c r="AQ714" i="1"/>
  <c r="AR714" i="1"/>
  <c r="AB715" i="1"/>
  <c r="AC715" i="1"/>
  <c r="AD715" i="1"/>
  <c r="AE715" i="1"/>
  <c r="AF715" i="1"/>
  <c r="AG715" i="1"/>
  <c r="AH715" i="1"/>
  <c r="AI715" i="1"/>
  <c r="AJ715" i="1"/>
  <c r="AK715" i="1"/>
  <c r="AL715" i="1"/>
  <c r="AM715" i="1"/>
  <c r="AN715" i="1"/>
  <c r="AO715" i="1"/>
  <c r="AP715" i="1"/>
  <c r="AQ715" i="1"/>
  <c r="AR715" i="1"/>
  <c r="AB716" i="1"/>
  <c r="AC716" i="1"/>
  <c r="AD716" i="1"/>
  <c r="AE716" i="1"/>
  <c r="AF716" i="1"/>
  <c r="AG716" i="1"/>
  <c r="AH716" i="1"/>
  <c r="AI716" i="1"/>
  <c r="AJ716" i="1"/>
  <c r="AK716" i="1"/>
  <c r="AL716" i="1"/>
  <c r="AM716" i="1"/>
  <c r="AN716" i="1"/>
  <c r="AO716" i="1"/>
  <c r="AP716" i="1"/>
  <c r="AQ716" i="1"/>
  <c r="AR716" i="1"/>
  <c r="AB717" i="1"/>
  <c r="AC717" i="1"/>
  <c r="AD717" i="1"/>
  <c r="AE717" i="1"/>
  <c r="AF717" i="1"/>
  <c r="AG717" i="1"/>
  <c r="AH717" i="1"/>
  <c r="AI717" i="1"/>
  <c r="AJ717" i="1"/>
  <c r="AK717" i="1"/>
  <c r="AL717" i="1"/>
  <c r="AM717" i="1"/>
  <c r="AN717" i="1"/>
  <c r="AO717" i="1"/>
  <c r="AP717" i="1"/>
  <c r="AQ717" i="1"/>
  <c r="AR717" i="1"/>
  <c r="AB718" i="1"/>
  <c r="AC718" i="1"/>
  <c r="AD718" i="1"/>
  <c r="AE718" i="1"/>
  <c r="AF718" i="1"/>
  <c r="AG718" i="1"/>
  <c r="AH718" i="1"/>
  <c r="AI718" i="1"/>
  <c r="AJ718" i="1"/>
  <c r="AK718" i="1"/>
  <c r="AL718" i="1"/>
  <c r="AM718" i="1"/>
  <c r="AN718" i="1"/>
  <c r="AO718" i="1"/>
  <c r="AP718" i="1"/>
  <c r="AQ718" i="1"/>
  <c r="AR718" i="1"/>
  <c r="AB719" i="1"/>
  <c r="AC719" i="1"/>
  <c r="AD719" i="1"/>
  <c r="AE719" i="1"/>
  <c r="AF719" i="1"/>
  <c r="AG719" i="1"/>
  <c r="AH719" i="1"/>
  <c r="AI719" i="1"/>
  <c r="AJ719" i="1"/>
  <c r="AK719" i="1"/>
  <c r="AL719" i="1"/>
  <c r="AM719" i="1"/>
  <c r="AN719" i="1"/>
  <c r="AO719" i="1"/>
  <c r="AP719" i="1"/>
  <c r="AQ719" i="1"/>
  <c r="AR719" i="1"/>
  <c r="AB720" i="1"/>
  <c r="AC720" i="1"/>
  <c r="AD720" i="1"/>
  <c r="AE720" i="1"/>
  <c r="AF720" i="1"/>
  <c r="AG720" i="1"/>
  <c r="AH720" i="1"/>
  <c r="AI720" i="1"/>
  <c r="AJ720" i="1"/>
  <c r="AK720" i="1"/>
  <c r="AL720" i="1"/>
  <c r="AM720" i="1"/>
  <c r="AN720" i="1"/>
  <c r="AO720" i="1"/>
  <c r="AP720" i="1"/>
  <c r="AQ720" i="1"/>
  <c r="AR720" i="1"/>
  <c r="AB721" i="1"/>
  <c r="AC721" i="1"/>
  <c r="AD721" i="1"/>
  <c r="AE721" i="1"/>
  <c r="AF721" i="1"/>
  <c r="AG721" i="1"/>
  <c r="AH721" i="1"/>
  <c r="AI721" i="1"/>
  <c r="AJ721" i="1"/>
  <c r="AK721" i="1"/>
  <c r="AL721" i="1"/>
  <c r="AM721" i="1"/>
  <c r="AN721" i="1"/>
  <c r="AO721" i="1"/>
  <c r="AP721" i="1"/>
  <c r="AQ721" i="1"/>
  <c r="AR721" i="1"/>
  <c r="AB722" i="1"/>
  <c r="AC722" i="1"/>
  <c r="AD722" i="1"/>
  <c r="AE722" i="1"/>
  <c r="AF722" i="1"/>
  <c r="AG722" i="1"/>
  <c r="AH722" i="1"/>
  <c r="AI722" i="1"/>
  <c r="AJ722" i="1"/>
  <c r="AK722" i="1"/>
  <c r="AL722" i="1"/>
  <c r="AM722" i="1"/>
  <c r="AN722" i="1"/>
  <c r="AO722" i="1"/>
  <c r="AP722" i="1"/>
  <c r="AQ722" i="1"/>
  <c r="AR722" i="1"/>
  <c r="AB723" i="1"/>
  <c r="AC723" i="1"/>
  <c r="AD723" i="1"/>
  <c r="AE723" i="1"/>
  <c r="AF723" i="1"/>
  <c r="AG723" i="1"/>
  <c r="AH723" i="1"/>
  <c r="AI723" i="1"/>
  <c r="AJ723" i="1"/>
  <c r="AK723" i="1"/>
  <c r="AL723" i="1"/>
  <c r="AM723" i="1"/>
  <c r="AN723" i="1"/>
  <c r="AO723" i="1"/>
  <c r="AP723" i="1"/>
  <c r="AQ723" i="1"/>
  <c r="AR723" i="1"/>
  <c r="AB724" i="1"/>
  <c r="AC724" i="1"/>
  <c r="AD724" i="1"/>
  <c r="AE724" i="1"/>
  <c r="AF724" i="1"/>
  <c r="AG724" i="1"/>
  <c r="AH724" i="1"/>
  <c r="AI724" i="1"/>
  <c r="AJ724" i="1"/>
  <c r="AK724" i="1"/>
  <c r="AL724" i="1"/>
  <c r="AM724" i="1"/>
  <c r="AN724" i="1"/>
  <c r="AO724" i="1"/>
  <c r="AP724" i="1"/>
  <c r="AQ724" i="1"/>
  <c r="AR724" i="1"/>
  <c r="AB725" i="1"/>
  <c r="AC725" i="1"/>
  <c r="AD725" i="1"/>
  <c r="AE725" i="1"/>
  <c r="AF725" i="1"/>
  <c r="AG725" i="1"/>
  <c r="AH725" i="1"/>
  <c r="AI725" i="1"/>
  <c r="AJ725" i="1"/>
  <c r="AK725" i="1"/>
  <c r="AL725" i="1"/>
  <c r="AM725" i="1"/>
  <c r="AN725" i="1"/>
  <c r="AO725" i="1"/>
  <c r="AP725" i="1"/>
  <c r="AQ725" i="1"/>
  <c r="AR725" i="1"/>
  <c r="AB726" i="1"/>
  <c r="AC726" i="1"/>
  <c r="AD726" i="1"/>
  <c r="AE726" i="1"/>
  <c r="AF726" i="1"/>
  <c r="AG726" i="1"/>
  <c r="AH726" i="1"/>
  <c r="AI726" i="1"/>
  <c r="AJ726" i="1"/>
  <c r="AK726" i="1"/>
  <c r="AL726" i="1"/>
  <c r="AM726" i="1"/>
  <c r="AN726" i="1"/>
  <c r="AO726" i="1"/>
  <c r="AP726" i="1"/>
  <c r="AQ726" i="1"/>
  <c r="AR726" i="1"/>
  <c r="AB727" i="1"/>
  <c r="AC727" i="1"/>
  <c r="AD727" i="1"/>
  <c r="AE727" i="1"/>
  <c r="AF727" i="1"/>
  <c r="AG727" i="1"/>
  <c r="AH727" i="1"/>
  <c r="AI727" i="1"/>
  <c r="AJ727" i="1"/>
  <c r="AK727" i="1"/>
  <c r="AL727" i="1"/>
  <c r="AM727" i="1"/>
  <c r="AN727" i="1"/>
  <c r="AO727" i="1"/>
  <c r="AP727" i="1"/>
  <c r="AQ727" i="1"/>
  <c r="AR727" i="1"/>
  <c r="AB728" i="1"/>
  <c r="AC728" i="1"/>
  <c r="AD728" i="1"/>
  <c r="AE728" i="1"/>
  <c r="AF728" i="1"/>
  <c r="AG728" i="1"/>
  <c r="AH728" i="1"/>
  <c r="AI728" i="1"/>
  <c r="AJ728" i="1"/>
  <c r="AK728" i="1"/>
  <c r="AL728" i="1"/>
  <c r="AM728" i="1"/>
  <c r="AN728" i="1"/>
  <c r="AO728" i="1"/>
  <c r="AP728" i="1"/>
  <c r="AQ728" i="1"/>
  <c r="AR728" i="1"/>
  <c r="AB729" i="1"/>
  <c r="AC729" i="1"/>
  <c r="AD729" i="1"/>
  <c r="AE729" i="1"/>
  <c r="AF729" i="1"/>
  <c r="AG729" i="1"/>
  <c r="AH729" i="1"/>
  <c r="AI729" i="1"/>
  <c r="AJ729" i="1"/>
  <c r="AK729" i="1"/>
  <c r="AL729" i="1"/>
  <c r="AM729" i="1"/>
  <c r="AN729" i="1"/>
  <c r="AO729" i="1"/>
  <c r="AP729" i="1"/>
  <c r="AQ729" i="1"/>
  <c r="AR729" i="1"/>
  <c r="AB730" i="1"/>
  <c r="AC730" i="1"/>
  <c r="AD730" i="1"/>
  <c r="AE730" i="1"/>
  <c r="AF730" i="1"/>
  <c r="AG730" i="1"/>
  <c r="AH730" i="1"/>
  <c r="AI730" i="1"/>
  <c r="AJ730" i="1"/>
  <c r="AK730" i="1"/>
  <c r="AL730" i="1"/>
  <c r="AM730" i="1"/>
  <c r="AN730" i="1"/>
  <c r="AO730" i="1"/>
  <c r="AP730" i="1"/>
  <c r="AQ730" i="1"/>
  <c r="AR730" i="1"/>
  <c r="AB731" i="1"/>
  <c r="AC731" i="1"/>
  <c r="AD731" i="1"/>
  <c r="AE731" i="1"/>
  <c r="AF731" i="1"/>
  <c r="AG731" i="1"/>
  <c r="AH731" i="1"/>
  <c r="AI731" i="1"/>
  <c r="AJ731" i="1"/>
  <c r="AK731" i="1"/>
  <c r="AL731" i="1"/>
  <c r="AM731" i="1"/>
  <c r="AN731" i="1"/>
  <c r="AO731" i="1"/>
  <c r="AP731" i="1"/>
  <c r="AQ731" i="1"/>
  <c r="AR731" i="1"/>
  <c r="AB732" i="1"/>
  <c r="AC732" i="1"/>
  <c r="AD732" i="1"/>
  <c r="AE732" i="1"/>
  <c r="AF732" i="1"/>
  <c r="AG732" i="1"/>
  <c r="AH732" i="1"/>
  <c r="AI732" i="1"/>
  <c r="AJ732" i="1"/>
  <c r="AK732" i="1"/>
  <c r="AL732" i="1"/>
  <c r="AM732" i="1"/>
  <c r="AN732" i="1"/>
  <c r="AO732" i="1"/>
  <c r="AP732" i="1"/>
  <c r="AQ732" i="1"/>
  <c r="AR732" i="1"/>
  <c r="AB733" i="1"/>
  <c r="AC733" i="1"/>
  <c r="AD733" i="1"/>
  <c r="AE733" i="1"/>
  <c r="AF733" i="1"/>
  <c r="AG733" i="1"/>
  <c r="AH733" i="1"/>
  <c r="AI733" i="1"/>
  <c r="AJ733" i="1"/>
  <c r="AK733" i="1"/>
  <c r="AL733" i="1"/>
  <c r="AM733" i="1"/>
  <c r="AN733" i="1"/>
  <c r="AO733" i="1"/>
  <c r="AP733" i="1"/>
  <c r="AQ733" i="1"/>
  <c r="AR733" i="1"/>
  <c r="AB734" i="1"/>
  <c r="AC734" i="1"/>
  <c r="AD734" i="1"/>
  <c r="AE734" i="1"/>
  <c r="AF734" i="1"/>
  <c r="AG734" i="1"/>
  <c r="AH734" i="1"/>
  <c r="AI734" i="1"/>
  <c r="AJ734" i="1"/>
  <c r="AK734" i="1"/>
  <c r="AL734" i="1"/>
  <c r="AM734" i="1"/>
  <c r="AN734" i="1"/>
  <c r="AO734" i="1"/>
  <c r="AP734" i="1"/>
  <c r="AQ734" i="1"/>
  <c r="AR734" i="1"/>
  <c r="AB735" i="1"/>
  <c r="AC735" i="1"/>
  <c r="AD735" i="1"/>
  <c r="AE735" i="1"/>
  <c r="AF735" i="1"/>
  <c r="AG735" i="1"/>
  <c r="AH735" i="1"/>
  <c r="AI735" i="1"/>
  <c r="AJ735" i="1"/>
  <c r="AK735" i="1"/>
  <c r="AL735" i="1"/>
  <c r="AM735" i="1"/>
  <c r="AN735" i="1"/>
  <c r="AO735" i="1"/>
  <c r="AP735" i="1"/>
  <c r="AQ735" i="1"/>
  <c r="AR735" i="1"/>
  <c r="AB736" i="1"/>
  <c r="AC736" i="1"/>
  <c r="AD736" i="1"/>
  <c r="AE736" i="1"/>
  <c r="AF736" i="1"/>
  <c r="AG736" i="1"/>
  <c r="AH736" i="1"/>
  <c r="AI736" i="1"/>
  <c r="AJ736" i="1"/>
  <c r="AK736" i="1"/>
  <c r="AL736" i="1"/>
  <c r="AM736" i="1"/>
  <c r="AN736" i="1"/>
  <c r="AO736" i="1"/>
  <c r="AP736" i="1"/>
  <c r="AQ736" i="1"/>
  <c r="AR736" i="1"/>
  <c r="AB737" i="1"/>
  <c r="AC737" i="1"/>
  <c r="AD737" i="1"/>
  <c r="AE737" i="1"/>
  <c r="AF737" i="1"/>
  <c r="AG737" i="1"/>
  <c r="AH737" i="1"/>
  <c r="AI737" i="1"/>
  <c r="AJ737" i="1"/>
  <c r="AK737" i="1"/>
  <c r="AL737" i="1"/>
  <c r="AM737" i="1"/>
  <c r="AN737" i="1"/>
  <c r="AO737" i="1"/>
  <c r="AP737" i="1"/>
  <c r="AQ737" i="1"/>
  <c r="AR737" i="1"/>
  <c r="AB738" i="1"/>
  <c r="AC738" i="1"/>
  <c r="AD738" i="1"/>
  <c r="AE738" i="1"/>
  <c r="AF738" i="1"/>
  <c r="AG738" i="1"/>
  <c r="AH738" i="1"/>
  <c r="AI738" i="1"/>
  <c r="AJ738" i="1"/>
  <c r="AK738" i="1"/>
  <c r="AL738" i="1"/>
  <c r="AM738" i="1"/>
  <c r="AN738" i="1"/>
  <c r="AO738" i="1"/>
  <c r="AP738" i="1"/>
  <c r="AQ738" i="1"/>
  <c r="AR738" i="1"/>
  <c r="AB739" i="1"/>
  <c r="AC739" i="1"/>
  <c r="AD739" i="1"/>
  <c r="AE739" i="1"/>
  <c r="AF739" i="1"/>
  <c r="AG739" i="1"/>
  <c r="AH739" i="1"/>
  <c r="AI739" i="1"/>
  <c r="AJ739" i="1"/>
  <c r="AK739" i="1"/>
  <c r="AL739" i="1"/>
  <c r="AM739" i="1"/>
  <c r="AN739" i="1"/>
  <c r="AO739" i="1"/>
  <c r="AP739" i="1"/>
  <c r="AQ739" i="1"/>
  <c r="AR739" i="1"/>
  <c r="AB740" i="1"/>
  <c r="AC740" i="1"/>
  <c r="AD740" i="1"/>
  <c r="AE740" i="1"/>
  <c r="AF740" i="1"/>
  <c r="AG740" i="1"/>
  <c r="AH740" i="1"/>
  <c r="AI740" i="1"/>
  <c r="AJ740" i="1"/>
  <c r="AK740" i="1"/>
  <c r="AL740" i="1"/>
  <c r="AM740" i="1"/>
  <c r="AN740" i="1"/>
  <c r="AO740" i="1"/>
  <c r="AP740" i="1"/>
  <c r="AQ740" i="1"/>
  <c r="AR740" i="1"/>
  <c r="AB741" i="1"/>
  <c r="AC741" i="1"/>
  <c r="AD741" i="1"/>
  <c r="AE741" i="1"/>
  <c r="AF741" i="1"/>
  <c r="AG741" i="1"/>
  <c r="AH741" i="1"/>
  <c r="AI741" i="1"/>
  <c r="AJ741" i="1"/>
  <c r="AK741" i="1"/>
  <c r="AL741" i="1"/>
  <c r="AM741" i="1"/>
  <c r="AN741" i="1"/>
  <c r="AO741" i="1"/>
  <c r="AP741" i="1"/>
  <c r="AQ741" i="1"/>
  <c r="AR741" i="1"/>
  <c r="AB742" i="1"/>
  <c r="AC742" i="1"/>
  <c r="AD742" i="1"/>
  <c r="AE742" i="1"/>
  <c r="AF742" i="1"/>
  <c r="AG742" i="1"/>
  <c r="AH742" i="1"/>
  <c r="AI742" i="1"/>
  <c r="AJ742" i="1"/>
  <c r="AK742" i="1"/>
  <c r="AL742" i="1"/>
  <c r="AM742" i="1"/>
  <c r="AN742" i="1"/>
  <c r="AO742" i="1"/>
  <c r="AP742" i="1"/>
  <c r="AQ742" i="1"/>
  <c r="AR742" i="1"/>
  <c r="AB743" i="1"/>
  <c r="AC743" i="1"/>
  <c r="AD743" i="1"/>
  <c r="AE743" i="1"/>
  <c r="AF743" i="1"/>
  <c r="AG743" i="1"/>
  <c r="AH743" i="1"/>
  <c r="AI743" i="1"/>
  <c r="AJ743" i="1"/>
  <c r="AK743" i="1"/>
  <c r="AL743" i="1"/>
  <c r="AM743" i="1"/>
  <c r="AN743" i="1"/>
  <c r="AO743" i="1"/>
  <c r="AP743" i="1"/>
  <c r="AQ743" i="1"/>
  <c r="AR743" i="1"/>
  <c r="AB744" i="1"/>
  <c r="AC744" i="1"/>
  <c r="AD744" i="1"/>
  <c r="AE744" i="1"/>
  <c r="AF744" i="1"/>
  <c r="AG744" i="1"/>
  <c r="AH744" i="1"/>
  <c r="AI744" i="1"/>
  <c r="AJ744" i="1"/>
  <c r="AK744" i="1"/>
  <c r="AL744" i="1"/>
  <c r="AM744" i="1"/>
  <c r="AN744" i="1"/>
  <c r="AO744" i="1"/>
  <c r="AP744" i="1"/>
  <c r="AQ744" i="1"/>
  <c r="AR744" i="1"/>
  <c r="AB745" i="1"/>
  <c r="AC745" i="1"/>
  <c r="AD745" i="1"/>
  <c r="AE745" i="1"/>
  <c r="AF745" i="1"/>
  <c r="AG745" i="1"/>
  <c r="AH745" i="1"/>
  <c r="AI745" i="1"/>
  <c r="AJ745" i="1"/>
  <c r="AK745" i="1"/>
  <c r="AL745" i="1"/>
  <c r="AM745" i="1"/>
  <c r="AN745" i="1"/>
  <c r="AO745" i="1"/>
  <c r="AP745" i="1"/>
  <c r="AQ745" i="1"/>
  <c r="AR745" i="1"/>
  <c r="AB746" i="1"/>
  <c r="AC746" i="1"/>
  <c r="AD746" i="1"/>
  <c r="AE746" i="1"/>
  <c r="AF746" i="1"/>
  <c r="AG746" i="1"/>
  <c r="AH746" i="1"/>
  <c r="AI746" i="1"/>
  <c r="AJ746" i="1"/>
  <c r="AK746" i="1"/>
  <c r="AL746" i="1"/>
  <c r="AM746" i="1"/>
  <c r="AN746" i="1"/>
  <c r="AO746" i="1"/>
  <c r="AP746" i="1"/>
  <c r="AQ746" i="1"/>
  <c r="AR746" i="1"/>
  <c r="AB747" i="1"/>
  <c r="AC747" i="1"/>
  <c r="AD747" i="1"/>
  <c r="AE747" i="1"/>
  <c r="AF747" i="1"/>
  <c r="AG747" i="1"/>
  <c r="AH747" i="1"/>
  <c r="AI747" i="1"/>
  <c r="AJ747" i="1"/>
  <c r="AK747" i="1"/>
  <c r="AL747" i="1"/>
  <c r="AM747" i="1"/>
  <c r="AN747" i="1"/>
  <c r="AO747" i="1"/>
  <c r="AP747" i="1"/>
  <c r="AQ747" i="1"/>
  <c r="AR747" i="1"/>
  <c r="AB748" i="1"/>
  <c r="AC748" i="1"/>
  <c r="AD748" i="1"/>
  <c r="AE748" i="1"/>
  <c r="AF748" i="1"/>
  <c r="AG748" i="1"/>
  <c r="AH748" i="1"/>
  <c r="AI748" i="1"/>
  <c r="AJ748" i="1"/>
  <c r="AK748" i="1"/>
  <c r="AL748" i="1"/>
  <c r="AM748" i="1"/>
  <c r="AN748" i="1"/>
  <c r="AO748" i="1"/>
  <c r="AP748" i="1"/>
  <c r="AQ748" i="1"/>
  <c r="AR748" i="1"/>
  <c r="AB749" i="1"/>
  <c r="AC749" i="1"/>
  <c r="AD749" i="1"/>
  <c r="AE749" i="1"/>
  <c r="AF749" i="1"/>
  <c r="AG749" i="1"/>
  <c r="AH749" i="1"/>
  <c r="AI749" i="1"/>
  <c r="AJ749" i="1"/>
  <c r="AK749" i="1"/>
  <c r="AL749" i="1"/>
  <c r="AM749" i="1"/>
  <c r="AN749" i="1"/>
  <c r="AO749" i="1"/>
  <c r="AP749" i="1"/>
  <c r="AQ749" i="1"/>
  <c r="AR749" i="1"/>
  <c r="AB750" i="1"/>
  <c r="AC750" i="1"/>
  <c r="AD750" i="1"/>
  <c r="AE750" i="1"/>
  <c r="AF750" i="1"/>
  <c r="AG750" i="1"/>
  <c r="AH750" i="1"/>
  <c r="AI750" i="1"/>
  <c r="AJ750" i="1"/>
  <c r="AK750" i="1"/>
  <c r="AL750" i="1"/>
  <c r="AM750" i="1"/>
  <c r="AN750" i="1"/>
  <c r="AO750" i="1"/>
  <c r="AP750" i="1"/>
  <c r="AQ750" i="1"/>
  <c r="AR750" i="1"/>
  <c r="AB751" i="1"/>
  <c r="AC751" i="1"/>
  <c r="AD751" i="1"/>
  <c r="AE751" i="1"/>
  <c r="AF751" i="1"/>
  <c r="AG751" i="1"/>
  <c r="AH751" i="1"/>
  <c r="AI751" i="1"/>
  <c r="AJ751" i="1"/>
  <c r="AK751" i="1"/>
  <c r="AL751" i="1"/>
  <c r="AM751" i="1"/>
  <c r="AN751" i="1"/>
  <c r="AO751" i="1"/>
  <c r="AP751" i="1"/>
  <c r="AQ751" i="1"/>
  <c r="AR751" i="1"/>
  <c r="AB752" i="1"/>
  <c r="AC752" i="1"/>
  <c r="AD752" i="1"/>
  <c r="AE752" i="1"/>
  <c r="AF752" i="1"/>
  <c r="AG752" i="1"/>
  <c r="AH752" i="1"/>
  <c r="AI752" i="1"/>
  <c r="AJ752" i="1"/>
  <c r="AK752" i="1"/>
  <c r="AL752" i="1"/>
  <c r="AM752" i="1"/>
  <c r="AN752" i="1"/>
  <c r="AO752" i="1"/>
  <c r="AP752" i="1"/>
  <c r="AQ752" i="1"/>
  <c r="AR752" i="1"/>
  <c r="AB753" i="1"/>
  <c r="AC753" i="1"/>
  <c r="AD753" i="1"/>
  <c r="AE753" i="1"/>
  <c r="AF753" i="1"/>
  <c r="AG753" i="1"/>
  <c r="AH753" i="1"/>
  <c r="AI753" i="1"/>
  <c r="AJ753" i="1"/>
  <c r="AK753" i="1"/>
  <c r="AL753" i="1"/>
  <c r="AM753" i="1"/>
  <c r="AN753" i="1"/>
  <c r="AO753" i="1"/>
  <c r="AP753" i="1"/>
  <c r="AQ753" i="1"/>
  <c r="AR753" i="1"/>
  <c r="AB754" i="1"/>
  <c r="AC754" i="1"/>
  <c r="AD754" i="1"/>
  <c r="AE754" i="1"/>
  <c r="AF754" i="1"/>
  <c r="AG754" i="1"/>
  <c r="AH754" i="1"/>
  <c r="AI754" i="1"/>
  <c r="AJ754" i="1"/>
  <c r="AK754" i="1"/>
  <c r="AL754" i="1"/>
  <c r="AM754" i="1"/>
  <c r="AN754" i="1"/>
  <c r="AO754" i="1"/>
  <c r="AP754" i="1"/>
  <c r="AQ754" i="1"/>
  <c r="AR754" i="1"/>
  <c r="AB755" i="1"/>
  <c r="AC755" i="1"/>
  <c r="AD755" i="1"/>
  <c r="AE755" i="1"/>
  <c r="AF755" i="1"/>
  <c r="AG755" i="1"/>
  <c r="AH755" i="1"/>
  <c r="AI755" i="1"/>
  <c r="AJ755" i="1"/>
  <c r="AK755" i="1"/>
  <c r="AL755" i="1"/>
  <c r="AM755" i="1"/>
  <c r="AN755" i="1"/>
  <c r="AO755" i="1"/>
  <c r="AP755" i="1"/>
  <c r="AQ755" i="1"/>
  <c r="AR755" i="1"/>
  <c r="AB756" i="1"/>
  <c r="AC756" i="1"/>
  <c r="AD756" i="1"/>
  <c r="AE756" i="1"/>
  <c r="AF756" i="1"/>
  <c r="AG756" i="1"/>
  <c r="AH756" i="1"/>
  <c r="AI756" i="1"/>
  <c r="AJ756" i="1"/>
  <c r="AK756" i="1"/>
  <c r="AL756" i="1"/>
  <c r="AM756" i="1"/>
  <c r="AN756" i="1"/>
  <c r="AO756" i="1"/>
  <c r="AP756" i="1"/>
  <c r="AQ756" i="1"/>
  <c r="AR756" i="1"/>
  <c r="AB757" i="1"/>
  <c r="AC757" i="1"/>
  <c r="AD757" i="1"/>
  <c r="AE757" i="1"/>
  <c r="AF757" i="1"/>
  <c r="AG757" i="1"/>
  <c r="AH757" i="1"/>
  <c r="AI757" i="1"/>
  <c r="AJ757" i="1"/>
  <c r="AK757" i="1"/>
  <c r="AL757" i="1"/>
  <c r="AM757" i="1"/>
  <c r="AN757" i="1"/>
  <c r="AO757" i="1"/>
  <c r="AP757" i="1"/>
  <c r="AQ757" i="1"/>
  <c r="AR757" i="1"/>
  <c r="AB758" i="1"/>
  <c r="AC758" i="1"/>
  <c r="AD758" i="1"/>
  <c r="AE758" i="1"/>
  <c r="AF758" i="1"/>
  <c r="AG758" i="1"/>
  <c r="AH758" i="1"/>
  <c r="AI758" i="1"/>
  <c r="AJ758" i="1"/>
  <c r="AK758" i="1"/>
  <c r="AL758" i="1"/>
  <c r="AM758" i="1"/>
  <c r="AN758" i="1"/>
  <c r="AO758" i="1"/>
  <c r="AP758" i="1"/>
  <c r="AQ758" i="1"/>
  <c r="AR758" i="1"/>
  <c r="AB759" i="1"/>
  <c r="AC759" i="1"/>
  <c r="AD759" i="1"/>
  <c r="AE759" i="1"/>
  <c r="AF759" i="1"/>
  <c r="AG759" i="1"/>
  <c r="AH759" i="1"/>
  <c r="AI759" i="1"/>
  <c r="AJ759" i="1"/>
  <c r="AK759" i="1"/>
  <c r="AL759" i="1"/>
  <c r="AM759" i="1"/>
  <c r="AN759" i="1"/>
  <c r="AO759" i="1"/>
  <c r="AP759" i="1"/>
  <c r="AQ759" i="1"/>
  <c r="AR759" i="1"/>
  <c r="AB760" i="1"/>
  <c r="AC760" i="1"/>
  <c r="AD760" i="1"/>
  <c r="AE760" i="1"/>
  <c r="AF760" i="1"/>
  <c r="AG760" i="1"/>
  <c r="AH760" i="1"/>
  <c r="AI760" i="1"/>
  <c r="AJ760" i="1"/>
  <c r="AK760" i="1"/>
  <c r="AL760" i="1"/>
  <c r="AM760" i="1"/>
  <c r="AN760" i="1"/>
  <c r="AO760" i="1"/>
  <c r="AP760" i="1"/>
  <c r="AQ760" i="1"/>
  <c r="AR760" i="1"/>
  <c r="AB761" i="1"/>
  <c r="AC761" i="1"/>
  <c r="AD761" i="1"/>
  <c r="AE761" i="1"/>
  <c r="AF761" i="1"/>
  <c r="AG761" i="1"/>
  <c r="AH761" i="1"/>
  <c r="AI761" i="1"/>
  <c r="AJ761" i="1"/>
  <c r="AK761" i="1"/>
  <c r="AL761" i="1"/>
  <c r="AM761" i="1"/>
  <c r="AN761" i="1"/>
  <c r="AO761" i="1"/>
  <c r="AP761" i="1"/>
  <c r="AQ761" i="1"/>
  <c r="AR761" i="1"/>
  <c r="AB762" i="1"/>
  <c r="AC762" i="1"/>
  <c r="AD762" i="1"/>
  <c r="AE762" i="1"/>
  <c r="AF762" i="1"/>
  <c r="AG762" i="1"/>
  <c r="AH762" i="1"/>
  <c r="AI762" i="1"/>
  <c r="AJ762" i="1"/>
  <c r="AK762" i="1"/>
  <c r="AL762" i="1"/>
  <c r="AM762" i="1"/>
  <c r="AN762" i="1"/>
  <c r="AO762" i="1"/>
  <c r="AP762" i="1"/>
  <c r="AQ762" i="1"/>
  <c r="AR762" i="1"/>
  <c r="AB763" i="1"/>
  <c r="AC763" i="1"/>
  <c r="AD763" i="1"/>
  <c r="AE763" i="1"/>
  <c r="AF763" i="1"/>
  <c r="AG763" i="1"/>
  <c r="AH763" i="1"/>
  <c r="AI763" i="1"/>
  <c r="AJ763" i="1"/>
  <c r="AK763" i="1"/>
  <c r="AL763" i="1"/>
  <c r="AM763" i="1"/>
  <c r="AN763" i="1"/>
  <c r="AO763" i="1"/>
  <c r="AP763" i="1"/>
  <c r="AQ763" i="1"/>
  <c r="AR763" i="1"/>
  <c r="AB764" i="1"/>
  <c r="AC764" i="1"/>
  <c r="AD764" i="1"/>
  <c r="AE764" i="1"/>
  <c r="AF764" i="1"/>
  <c r="AG764" i="1"/>
  <c r="AH764" i="1"/>
  <c r="AI764" i="1"/>
  <c r="AJ764" i="1"/>
  <c r="AK764" i="1"/>
  <c r="AL764" i="1"/>
  <c r="AM764" i="1"/>
  <c r="AN764" i="1"/>
  <c r="AO764" i="1"/>
  <c r="AP764" i="1"/>
  <c r="AQ764" i="1"/>
  <c r="AR764" i="1"/>
  <c r="AB765" i="1"/>
  <c r="AC765" i="1"/>
  <c r="AD765" i="1"/>
  <c r="AE765" i="1"/>
  <c r="AF765" i="1"/>
  <c r="AG765" i="1"/>
  <c r="AH765" i="1"/>
  <c r="AI765" i="1"/>
  <c r="AJ765" i="1"/>
  <c r="AK765" i="1"/>
  <c r="AL765" i="1"/>
  <c r="AM765" i="1"/>
  <c r="AN765" i="1"/>
  <c r="AO765" i="1"/>
  <c r="AP765" i="1"/>
  <c r="AQ765" i="1"/>
  <c r="AR765" i="1"/>
  <c r="AB766" i="1"/>
  <c r="AC766" i="1"/>
  <c r="AD766" i="1"/>
  <c r="AE766" i="1"/>
  <c r="AF766" i="1"/>
  <c r="AG766" i="1"/>
  <c r="AH766" i="1"/>
  <c r="AI766" i="1"/>
  <c r="AJ766" i="1"/>
  <c r="AK766" i="1"/>
  <c r="AL766" i="1"/>
  <c r="AM766" i="1"/>
  <c r="AN766" i="1"/>
  <c r="AO766" i="1"/>
  <c r="AP766" i="1"/>
  <c r="AQ766" i="1"/>
  <c r="AR766" i="1"/>
  <c r="AB767" i="1"/>
  <c r="AC767" i="1"/>
  <c r="AD767" i="1"/>
  <c r="AE767" i="1"/>
  <c r="AF767" i="1"/>
  <c r="AG767" i="1"/>
  <c r="AH767" i="1"/>
  <c r="AI767" i="1"/>
  <c r="AJ767" i="1"/>
  <c r="AK767" i="1"/>
  <c r="AL767" i="1"/>
  <c r="AM767" i="1"/>
  <c r="AN767" i="1"/>
  <c r="AO767" i="1"/>
  <c r="AP767" i="1"/>
  <c r="AQ767" i="1"/>
  <c r="AR767" i="1"/>
  <c r="AB768" i="1"/>
  <c r="AC768" i="1"/>
  <c r="AD768" i="1"/>
  <c r="AE768" i="1"/>
  <c r="AF768" i="1"/>
  <c r="AG768" i="1"/>
  <c r="AH768" i="1"/>
  <c r="AI768" i="1"/>
  <c r="AJ768" i="1"/>
  <c r="AK768" i="1"/>
  <c r="AL768" i="1"/>
  <c r="AM768" i="1"/>
  <c r="AN768" i="1"/>
  <c r="AO768" i="1"/>
  <c r="AP768" i="1"/>
  <c r="AQ768" i="1"/>
  <c r="AR768" i="1"/>
  <c r="AB769" i="1"/>
  <c r="AC769" i="1"/>
  <c r="AD769" i="1"/>
  <c r="AE769" i="1"/>
  <c r="AF769" i="1"/>
  <c r="AG769" i="1"/>
  <c r="AH769" i="1"/>
  <c r="AI769" i="1"/>
  <c r="AJ769" i="1"/>
  <c r="AK769" i="1"/>
  <c r="AL769" i="1"/>
  <c r="AM769" i="1"/>
  <c r="AN769" i="1"/>
  <c r="AO769" i="1"/>
  <c r="AP769" i="1"/>
  <c r="AQ769" i="1"/>
  <c r="AR769" i="1"/>
  <c r="AB770" i="1"/>
  <c r="AC770" i="1"/>
  <c r="AD770" i="1"/>
  <c r="AE770" i="1"/>
  <c r="AF770" i="1"/>
  <c r="AG770" i="1"/>
  <c r="AH770" i="1"/>
  <c r="AI770" i="1"/>
  <c r="AJ770" i="1"/>
  <c r="AK770" i="1"/>
  <c r="AL770" i="1"/>
  <c r="AM770" i="1"/>
  <c r="AN770" i="1"/>
  <c r="AO770" i="1"/>
  <c r="AP770" i="1"/>
  <c r="AQ770" i="1"/>
  <c r="AR770" i="1"/>
  <c r="AB771" i="1"/>
  <c r="AC771" i="1"/>
  <c r="AD771" i="1"/>
  <c r="AE771" i="1"/>
  <c r="AF771" i="1"/>
  <c r="AG771" i="1"/>
  <c r="AH771" i="1"/>
  <c r="AI771" i="1"/>
  <c r="AJ771" i="1"/>
  <c r="AK771" i="1"/>
  <c r="AL771" i="1"/>
  <c r="AM771" i="1"/>
  <c r="AN771" i="1"/>
  <c r="AO771" i="1"/>
  <c r="AP771" i="1"/>
  <c r="AQ771" i="1"/>
  <c r="AR771" i="1"/>
  <c r="AB772" i="1"/>
  <c r="AC772" i="1"/>
  <c r="AD772" i="1"/>
  <c r="AE772" i="1"/>
  <c r="AF772" i="1"/>
  <c r="AG772" i="1"/>
  <c r="AH772" i="1"/>
  <c r="AI772" i="1"/>
  <c r="AJ772" i="1"/>
  <c r="AK772" i="1"/>
  <c r="AL772" i="1"/>
  <c r="AM772" i="1"/>
  <c r="AN772" i="1"/>
  <c r="AO772" i="1"/>
  <c r="AP772" i="1"/>
  <c r="AQ772" i="1"/>
  <c r="AR772" i="1"/>
  <c r="AB773" i="1"/>
  <c r="AC773" i="1"/>
  <c r="AD773" i="1"/>
  <c r="AE773" i="1"/>
  <c r="AF773" i="1"/>
  <c r="AG773" i="1"/>
  <c r="AH773" i="1"/>
  <c r="AI773" i="1"/>
  <c r="AJ773" i="1"/>
  <c r="AK773" i="1"/>
  <c r="AL773" i="1"/>
  <c r="AM773" i="1"/>
  <c r="AN773" i="1"/>
  <c r="AO773" i="1"/>
  <c r="AP773" i="1"/>
  <c r="AQ773" i="1"/>
  <c r="AR773" i="1"/>
  <c r="AB774" i="1"/>
  <c r="AC774" i="1"/>
  <c r="AD774" i="1"/>
  <c r="AE774" i="1"/>
  <c r="AF774" i="1"/>
  <c r="AG774" i="1"/>
  <c r="AH774" i="1"/>
  <c r="AI774" i="1"/>
  <c r="AJ774" i="1"/>
  <c r="AK774" i="1"/>
  <c r="AL774" i="1"/>
  <c r="AM774" i="1"/>
  <c r="AN774" i="1"/>
  <c r="AO774" i="1"/>
  <c r="AP774" i="1"/>
  <c r="AQ774" i="1"/>
  <c r="AR774" i="1"/>
  <c r="AB775" i="1"/>
  <c r="AC775" i="1"/>
  <c r="AD775" i="1"/>
  <c r="AE775" i="1"/>
  <c r="AF775" i="1"/>
  <c r="AG775" i="1"/>
  <c r="AH775" i="1"/>
  <c r="AI775" i="1"/>
  <c r="AJ775" i="1"/>
  <c r="AK775" i="1"/>
  <c r="AL775" i="1"/>
  <c r="AM775" i="1"/>
  <c r="AN775" i="1"/>
  <c r="AO775" i="1"/>
  <c r="AP775" i="1"/>
  <c r="AQ775" i="1"/>
  <c r="AR775" i="1"/>
  <c r="AB776" i="1"/>
  <c r="AC776" i="1"/>
  <c r="AD776" i="1"/>
  <c r="AE776" i="1"/>
  <c r="AF776" i="1"/>
  <c r="AG776" i="1"/>
  <c r="AH776" i="1"/>
  <c r="AI776" i="1"/>
  <c r="AJ776" i="1"/>
  <c r="AK776" i="1"/>
  <c r="AL776" i="1"/>
  <c r="AM776" i="1"/>
  <c r="AN776" i="1"/>
  <c r="AO776" i="1"/>
  <c r="AP776" i="1"/>
  <c r="AQ776" i="1"/>
  <c r="AR776" i="1"/>
  <c r="AB777" i="1"/>
  <c r="AC777" i="1"/>
  <c r="AD777" i="1"/>
  <c r="AE777" i="1"/>
  <c r="AF777" i="1"/>
  <c r="AG777" i="1"/>
  <c r="AH777" i="1"/>
  <c r="AI777" i="1"/>
  <c r="AJ777" i="1"/>
  <c r="AK777" i="1"/>
  <c r="AL777" i="1"/>
  <c r="AM777" i="1"/>
  <c r="AN777" i="1"/>
  <c r="AO777" i="1"/>
  <c r="AP777" i="1"/>
  <c r="AQ777" i="1"/>
  <c r="AR777" i="1"/>
  <c r="AB778" i="1"/>
  <c r="AC778" i="1"/>
  <c r="AD778" i="1"/>
  <c r="AE778" i="1"/>
  <c r="AF778" i="1"/>
  <c r="AG778" i="1"/>
  <c r="AH778" i="1"/>
  <c r="AI778" i="1"/>
  <c r="AJ778" i="1"/>
  <c r="AK778" i="1"/>
  <c r="AL778" i="1"/>
  <c r="AM778" i="1"/>
  <c r="AN778" i="1"/>
  <c r="AO778" i="1"/>
  <c r="AP778" i="1"/>
  <c r="AQ778" i="1"/>
  <c r="AR778" i="1"/>
  <c r="AB779" i="1"/>
  <c r="AC779" i="1"/>
  <c r="AD779" i="1"/>
  <c r="AE779" i="1"/>
  <c r="AF779" i="1"/>
  <c r="AG779" i="1"/>
  <c r="AH779" i="1"/>
  <c r="AI779" i="1"/>
  <c r="AJ779" i="1"/>
  <c r="AK779" i="1"/>
  <c r="AL779" i="1"/>
  <c r="AM779" i="1"/>
  <c r="AN779" i="1"/>
  <c r="AO779" i="1"/>
  <c r="AP779" i="1"/>
  <c r="AQ779" i="1"/>
  <c r="AR779" i="1"/>
  <c r="AB780" i="1"/>
  <c r="AC780" i="1"/>
  <c r="AD780" i="1"/>
  <c r="AE780" i="1"/>
  <c r="AF780" i="1"/>
  <c r="AG780" i="1"/>
  <c r="AH780" i="1"/>
  <c r="AI780" i="1"/>
  <c r="AJ780" i="1"/>
  <c r="AK780" i="1"/>
  <c r="AL780" i="1"/>
  <c r="AM780" i="1"/>
  <c r="AN780" i="1"/>
  <c r="AO780" i="1"/>
  <c r="AP780" i="1"/>
  <c r="AQ780" i="1"/>
  <c r="AR780" i="1"/>
  <c r="AB781" i="1"/>
  <c r="AC781" i="1"/>
  <c r="AD781" i="1"/>
  <c r="AE781" i="1"/>
  <c r="AF781" i="1"/>
  <c r="AG781" i="1"/>
  <c r="AH781" i="1"/>
  <c r="AI781" i="1"/>
  <c r="AJ781" i="1"/>
  <c r="AK781" i="1"/>
  <c r="AL781" i="1"/>
  <c r="AM781" i="1"/>
  <c r="AN781" i="1"/>
  <c r="AO781" i="1"/>
  <c r="AP781" i="1"/>
  <c r="AQ781" i="1"/>
  <c r="AR781" i="1"/>
  <c r="AB782" i="1"/>
  <c r="AC782" i="1"/>
  <c r="AD782" i="1"/>
  <c r="AE782" i="1"/>
  <c r="AF782" i="1"/>
  <c r="AG782" i="1"/>
  <c r="AH782" i="1"/>
  <c r="AI782" i="1"/>
  <c r="AJ782" i="1"/>
  <c r="AK782" i="1"/>
  <c r="AL782" i="1"/>
  <c r="AM782" i="1"/>
  <c r="AN782" i="1"/>
  <c r="AO782" i="1"/>
  <c r="AP782" i="1"/>
  <c r="AQ782" i="1"/>
  <c r="AR782" i="1"/>
  <c r="AB783" i="1"/>
  <c r="AC783" i="1"/>
  <c r="AD783" i="1"/>
  <c r="AE783" i="1"/>
  <c r="AF783" i="1"/>
  <c r="AG783" i="1"/>
  <c r="AH783" i="1"/>
  <c r="AI783" i="1"/>
  <c r="AJ783" i="1"/>
  <c r="AK783" i="1"/>
  <c r="AL783" i="1"/>
  <c r="AM783" i="1"/>
  <c r="AN783" i="1"/>
  <c r="AO783" i="1"/>
  <c r="AP783" i="1"/>
  <c r="AQ783" i="1"/>
  <c r="AR783" i="1"/>
  <c r="AB784" i="1"/>
  <c r="AC784" i="1"/>
  <c r="AD784" i="1"/>
  <c r="AE784" i="1"/>
  <c r="AF784" i="1"/>
  <c r="AG784" i="1"/>
  <c r="AH784" i="1"/>
  <c r="AI784" i="1"/>
  <c r="AJ784" i="1"/>
  <c r="AK784" i="1"/>
  <c r="AL784" i="1"/>
  <c r="AM784" i="1"/>
  <c r="AN784" i="1"/>
  <c r="AO784" i="1"/>
  <c r="AP784" i="1"/>
  <c r="AQ784" i="1"/>
  <c r="AR784" i="1"/>
  <c r="AB785" i="1"/>
  <c r="AC785" i="1"/>
  <c r="AD785" i="1"/>
  <c r="AE785" i="1"/>
  <c r="AF785" i="1"/>
  <c r="AG785" i="1"/>
  <c r="AH785" i="1"/>
  <c r="AI785" i="1"/>
  <c r="AJ785" i="1"/>
  <c r="AK785" i="1"/>
  <c r="AL785" i="1"/>
  <c r="AM785" i="1"/>
  <c r="AN785" i="1"/>
  <c r="AO785" i="1"/>
  <c r="AP785" i="1"/>
  <c r="AQ785" i="1"/>
  <c r="AR785" i="1"/>
  <c r="AB786" i="1"/>
  <c r="AC786" i="1"/>
  <c r="AD786" i="1"/>
  <c r="AE786" i="1"/>
  <c r="AF786" i="1"/>
  <c r="AG786" i="1"/>
  <c r="AH786" i="1"/>
  <c r="AI786" i="1"/>
  <c r="AJ786" i="1"/>
  <c r="AK786" i="1"/>
  <c r="AL786" i="1"/>
  <c r="AM786" i="1"/>
  <c r="AN786" i="1"/>
  <c r="AO786" i="1"/>
  <c r="AP786" i="1"/>
  <c r="AQ786" i="1"/>
  <c r="AR786" i="1"/>
  <c r="AB787" i="1"/>
  <c r="AC787" i="1"/>
  <c r="AD787" i="1"/>
  <c r="AE787" i="1"/>
  <c r="AF787" i="1"/>
  <c r="AG787" i="1"/>
  <c r="AH787" i="1"/>
  <c r="AI787" i="1"/>
  <c r="AJ787" i="1"/>
  <c r="AK787" i="1"/>
  <c r="AL787" i="1"/>
  <c r="AM787" i="1"/>
  <c r="AN787" i="1"/>
  <c r="AO787" i="1"/>
  <c r="AP787" i="1"/>
  <c r="AQ787" i="1"/>
  <c r="AR787" i="1"/>
  <c r="AB788" i="1"/>
  <c r="AC788" i="1"/>
  <c r="AD788" i="1"/>
  <c r="AE788" i="1"/>
  <c r="AF788" i="1"/>
  <c r="AG788" i="1"/>
  <c r="AH788" i="1"/>
  <c r="AI788" i="1"/>
  <c r="AJ788" i="1"/>
  <c r="AK788" i="1"/>
  <c r="AL788" i="1"/>
  <c r="AM788" i="1"/>
  <c r="AN788" i="1"/>
  <c r="AO788" i="1"/>
  <c r="AP788" i="1"/>
  <c r="AQ788" i="1"/>
  <c r="AR788" i="1"/>
  <c r="AB789" i="1"/>
  <c r="AC789" i="1"/>
  <c r="AD789" i="1"/>
  <c r="AE789" i="1"/>
  <c r="AF789" i="1"/>
  <c r="AG789" i="1"/>
  <c r="AH789" i="1"/>
  <c r="AI789" i="1"/>
  <c r="AJ789" i="1"/>
  <c r="AK789" i="1"/>
  <c r="AL789" i="1"/>
  <c r="AM789" i="1"/>
  <c r="AN789" i="1"/>
  <c r="AO789" i="1"/>
  <c r="AP789" i="1"/>
  <c r="AQ789" i="1"/>
  <c r="AR789" i="1"/>
  <c r="AB790" i="1"/>
  <c r="AC790" i="1"/>
  <c r="AD790" i="1"/>
  <c r="AE790" i="1"/>
  <c r="AF790" i="1"/>
  <c r="AG790" i="1"/>
  <c r="AH790" i="1"/>
  <c r="AI790" i="1"/>
  <c r="AJ790" i="1"/>
  <c r="AK790" i="1"/>
  <c r="AL790" i="1"/>
  <c r="AM790" i="1"/>
  <c r="AN790" i="1"/>
  <c r="AO790" i="1"/>
  <c r="AP790" i="1"/>
  <c r="AQ790" i="1"/>
  <c r="AR790" i="1"/>
  <c r="AB791" i="1"/>
  <c r="AC791" i="1"/>
  <c r="AD791" i="1"/>
  <c r="AE791" i="1"/>
  <c r="AF791" i="1"/>
  <c r="AG791" i="1"/>
  <c r="AH791" i="1"/>
  <c r="AI791" i="1"/>
  <c r="AJ791" i="1"/>
  <c r="AK791" i="1"/>
  <c r="AL791" i="1"/>
  <c r="AM791" i="1"/>
  <c r="AN791" i="1"/>
  <c r="AO791" i="1"/>
  <c r="AP791" i="1"/>
  <c r="AQ791" i="1"/>
  <c r="AR791" i="1"/>
  <c r="AB792" i="1"/>
  <c r="AC792" i="1"/>
  <c r="AD792" i="1"/>
  <c r="AE792" i="1"/>
  <c r="AF792" i="1"/>
  <c r="AG792" i="1"/>
  <c r="AH792" i="1"/>
  <c r="AI792" i="1"/>
  <c r="AJ792" i="1"/>
  <c r="AK792" i="1"/>
  <c r="AL792" i="1"/>
  <c r="AM792" i="1"/>
  <c r="AN792" i="1"/>
  <c r="AO792" i="1"/>
  <c r="AP792" i="1"/>
  <c r="AQ792" i="1"/>
  <c r="AR792" i="1"/>
  <c r="AB793" i="1"/>
  <c r="AC793" i="1"/>
  <c r="AD793" i="1"/>
  <c r="AE793" i="1"/>
  <c r="AF793" i="1"/>
  <c r="AG793" i="1"/>
  <c r="AH793" i="1"/>
  <c r="AI793" i="1"/>
  <c r="AJ793" i="1"/>
  <c r="AK793" i="1"/>
  <c r="AL793" i="1"/>
  <c r="AM793" i="1"/>
  <c r="AN793" i="1"/>
  <c r="AO793" i="1"/>
  <c r="AP793" i="1"/>
  <c r="AQ793" i="1"/>
  <c r="AR793" i="1"/>
  <c r="AB794" i="1"/>
  <c r="AC794" i="1"/>
  <c r="AD794" i="1"/>
  <c r="AE794" i="1"/>
  <c r="AF794" i="1"/>
  <c r="AG794" i="1"/>
  <c r="AH794" i="1"/>
  <c r="AI794" i="1"/>
  <c r="AJ794" i="1"/>
  <c r="AK794" i="1"/>
  <c r="AL794" i="1"/>
  <c r="AM794" i="1"/>
  <c r="AN794" i="1"/>
  <c r="AO794" i="1"/>
  <c r="AP794" i="1"/>
  <c r="AQ794" i="1"/>
  <c r="AR794" i="1"/>
  <c r="AB795" i="1"/>
  <c r="AC795" i="1"/>
  <c r="AD795" i="1"/>
  <c r="AE795" i="1"/>
  <c r="AF795" i="1"/>
  <c r="AG795" i="1"/>
  <c r="AH795" i="1"/>
  <c r="AI795" i="1"/>
  <c r="AJ795" i="1"/>
  <c r="AK795" i="1"/>
  <c r="AL795" i="1"/>
  <c r="AM795" i="1"/>
  <c r="AN795" i="1"/>
  <c r="AO795" i="1"/>
  <c r="AP795" i="1"/>
  <c r="AQ795" i="1"/>
  <c r="AR795" i="1"/>
  <c r="AB796" i="1"/>
  <c r="AC796" i="1"/>
  <c r="AD796" i="1"/>
  <c r="AE796" i="1"/>
  <c r="AF796" i="1"/>
  <c r="AG796" i="1"/>
  <c r="AH796" i="1"/>
  <c r="AI796" i="1"/>
  <c r="AJ796" i="1"/>
  <c r="AK796" i="1"/>
  <c r="AL796" i="1"/>
  <c r="AM796" i="1"/>
  <c r="AN796" i="1"/>
  <c r="AO796" i="1"/>
  <c r="AP796" i="1"/>
  <c r="AQ796" i="1"/>
  <c r="AR796" i="1"/>
  <c r="AB797" i="1"/>
  <c r="AC797" i="1"/>
  <c r="AD797" i="1"/>
  <c r="AE797" i="1"/>
  <c r="AF797" i="1"/>
  <c r="AG797" i="1"/>
  <c r="AH797" i="1"/>
  <c r="AI797" i="1"/>
  <c r="AJ797" i="1"/>
  <c r="AK797" i="1"/>
  <c r="AL797" i="1"/>
  <c r="AM797" i="1"/>
  <c r="AN797" i="1"/>
  <c r="AO797" i="1"/>
  <c r="AP797" i="1"/>
  <c r="AQ797" i="1"/>
  <c r="AR797" i="1"/>
  <c r="AB798" i="1"/>
  <c r="AC798" i="1"/>
  <c r="AD798" i="1"/>
  <c r="AE798" i="1"/>
  <c r="AF798" i="1"/>
  <c r="AG798" i="1"/>
  <c r="AH798" i="1"/>
  <c r="AI798" i="1"/>
  <c r="AJ798" i="1"/>
  <c r="AK798" i="1"/>
  <c r="AL798" i="1"/>
  <c r="AM798" i="1"/>
  <c r="AN798" i="1"/>
  <c r="AO798" i="1"/>
  <c r="AP798" i="1"/>
  <c r="AQ798" i="1"/>
  <c r="AR798" i="1"/>
  <c r="AB799" i="1"/>
  <c r="AC799" i="1"/>
  <c r="AD799" i="1"/>
  <c r="AE799" i="1"/>
  <c r="AF799" i="1"/>
  <c r="AG799" i="1"/>
  <c r="AH799" i="1"/>
  <c r="AI799" i="1"/>
  <c r="AJ799" i="1"/>
  <c r="AK799" i="1"/>
  <c r="AL799" i="1"/>
  <c r="AM799" i="1"/>
  <c r="AN799" i="1"/>
  <c r="AO799" i="1"/>
  <c r="AP799" i="1"/>
  <c r="AQ799" i="1"/>
  <c r="AR799" i="1"/>
  <c r="AB800" i="1"/>
  <c r="AC800" i="1"/>
  <c r="AD800" i="1"/>
  <c r="AE800" i="1"/>
  <c r="AF800" i="1"/>
  <c r="AG800" i="1"/>
  <c r="AH800" i="1"/>
  <c r="AI800" i="1"/>
  <c r="AJ800" i="1"/>
  <c r="AK800" i="1"/>
  <c r="AL800" i="1"/>
  <c r="AM800" i="1"/>
  <c r="AN800" i="1"/>
  <c r="AO800" i="1"/>
  <c r="AP800" i="1"/>
  <c r="AQ800" i="1"/>
  <c r="AR800" i="1"/>
  <c r="AB801" i="1"/>
  <c r="AC801" i="1"/>
  <c r="AD801" i="1"/>
  <c r="AE801" i="1"/>
  <c r="AF801" i="1"/>
  <c r="AG801" i="1"/>
  <c r="AH801" i="1"/>
  <c r="AI801" i="1"/>
  <c r="AJ801" i="1"/>
  <c r="AK801" i="1"/>
  <c r="AL801" i="1"/>
  <c r="AM801" i="1"/>
  <c r="AN801" i="1"/>
  <c r="AO801" i="1"/>
  <c r="AP801" i="1"/>
  <c r="AQ801" i="1"/>
  <c r="AR801" i="1"/>
  <c r="AB802" i="1"/>
  <c r="AC802" i="1"/>
  <c r="AD802" i="1"/>
  <c r="AE802" i="1"/>
  <c r="AF802" i="1"/>
  <c r="AG802" i="1"/>
  <c r="AH802" i="1"/>
  <c r="AI802" i="1"/>
  <c r="AJ802" i="1"/>
  <c r="AK802" i="1"/>
  <c r="AL802" i="1"/>
  <c r="AM802" i="1"/>
  <c r="AN802" i="1"/>
  <c r="AO802" i="1"/>
  <c r="AP802" i="1"/>
  <c r="AQ802" i="1"/>
  <c r="AR802" i="1"/>
  <c r="AB803" i="1"/>
  <c r="AC803" i="1"/>
  <c r="AD803" i="1"/>
  <c r="AE803" i="1"/>
  <c r="AF803" i="1"/>
  <c r="AG803" i="1"/>
  <c r="AH803" i="1"/>
  <c r="AI803" i="1"/>
  <c r="AJ803" i="1"/>
  <c r="AK803" i="1"/>
  <c r="AL803" i="1"/>
  <c r="AM803" i="1"/>
  <c r="AN803" i="1"/>
  <c r="AO803" i="1"/>
  <c r="AP803" i="1"/>
  <c r="AQ803" i="1"/>
  <c r="AR803" i="1"/>
  <c r="AB804" i="1"/>
  <c r="AC804" i="1"/>
  <c r="AD804" i="1"/>
  <c r="AE804" i="1"/>
  <c r="AF804" i="1"/>
  <c r="AG804" i="1"/>
  <c r="AH804" i="1"/>
  <c r="AI804" i="1"/>
  <c r="AJ804" i="1"/>
  <c r="AK804" i="1"/>
  <c r="AL804" i="1"/>
  <c r="AM804" i="1"/>
  <c r="AN804" i="1"/>
  <c r="AO804" i="1"/>
  <c r="AP804" i="1"/>
  <c r="AQ804" i="1"/>
  <c r="AR804" i="1"/>
  <c r="AB805" i="1"/>
  <c r="AC805" i="1"/>
  <c r="AD805" i="1"/>
  <c r="AE805" i="1"/>
  <c r="AF805" i="1"/>
  <c r="AG805" i="1"/>
  <c r="AH805" i="1"/>
  <c r="AI805" i="1"/>
  <c r="AJ805" i="1"/>
  <c r="AK805" i="1"/>
  <c r="AL805" i="1"/>
  <c r="AM805" i="1"/>
  <c r="AN805" i="1"/>
  <c r="AO805" i="1"/>
  <c r="AP805" i="1"/>
  <c r="AQ805" i="1"/>
  <c r="AR805" i="1"/>
  <c r="AB806" i="1"/>
  <c r="AC806" i="1"/>
  <c r="AD806" i="1"/>
  <c r="AE806" i="1"/>
  <c r="AF806" i="1"/>
  <c r="AG806" i="1"/>
  <c r="AH806" i="1"/>
  <c r="AI806" i="1"/>
  <c r="AJ806" i="1"/>
  <c r="AK806" i="1"/>
  <c r="AL806" i="1"/>
  <c r="AM806" i="1"/>
  <c r="AN806" i="1"/>
  <c r="AO806" i="1"/>
  <c r="AP806" i="1"/>
  <c r="AQ806" i="1"/>
  <c r="AR806" i="1"/>
  <c r="AB807" i="1"/>
  <c r="AC807" i="1"/>
  <c r="AD807" i="1"/>
  <c r="AE807" i="1"/>
  <c r="AF807" i="1"/>
  <c r="AG807" i="1"/>
  <c r="AH807" i="1"/>
  <c r="AI807" i="1"/>
  <c r="AJ807" i="1"/>
  <c r="AK807" i="1"/>
  <c r="AL807" i="1"/>
  <c r="AM807" i="1"/>
  <c r="AN807" i="1"/>
  <c r="AO807" i="1"/>
  <c r="AP807" i="1"/>
  <c r="AQ807" i="1"/>
  <c r="AR807" i="1"/>
  <c r="AB808" i="1"/>
  <c r="AC808" i="1"/>
  <c r="AD808" i="1"/>
  <c r="AE808" i="1"/>
  <c r="AF808" i="1"/>
  <c r="AG808" i="1"/>
  <c r="AH808" i="1"/>
  <c r="AI808" i="1"/>
  <c r="AJ808" i="1"/>
  <c r="AK808" i="1"/>
  <c r="AL808" i="1"/>
  <c r="AM808" i="1"/>
  <c r="AN808" i="1"/>
  <c r="AO808" i="1"/>
  <c r="AP808" i="1"/>
  <c r="AQ808" i="1"/>
  <c r="AR808" i="1"/>
  <c r="AB809" i="1"/>
  <c r="AC809" i="1"/>
  <c r="AD809" i="1"/>
  <c r="AE809" i="1"/>
  <c r="AF809" i="1"/>
  <c r="AG809" i="1"/>
  <c r="AH809" i="1"/>
  <c r="AI809" i="1"/>
  <c r="AJ809" i="1"/>
  <c r="AK809" i="1"/>
  <c r="AL809" i="1"/>
  <c r="AM809" i="1"/>
  <c r="AN809" i="1"/>
  <c r="AO809" i="1"/>
  <c r="AP809" i="1"/>
  <c r="AQ809" i="1"/>
  <c r="AR809" i="1"/>
  <c r="AB810" i="1"/>
  <c r="AC810" i="1"/>
  <c r="AD810" i="1"/>
  <c r="AE810" i="1"/>
  <c r="AF810" i="1"/>
  <c r="AG810" i="1"/>
  <c r="AH810" i="1"/>
  <c r="AI810" i="1"/>
  <c r="AJ810" i="1"/>
  <c r="AK810" i="1"/>
  <c r="AL810" i="1"/>
  <c r="AM810" i="1"/>
  <c r="AN810" i="1"/>
  <c r="AO810" i="1"/>
  <c r="AP810" i="1"/>
  <c r="AQ810" i="1"/>
  <c r="AR810" i="1"/>
  <c r="AB811" i="1"/>
  <c r="AC811" i="1"/>
  <c r="AD811" i="1"/>
  <c r="AE811" i="1"/>
  <c r="AF811" i="1"/>
  <c r="AG811" i="1"/>
  <c r="AH811" i="1"/>
  <c r="AI811" i="1"/>
  <c r="AJ811" i="1"/>
  <c r="AK811" i="1"/>
  <c r="AL811" i="1"/>
  <c r="AM811" i="1"/>
  <c r="AN811" i="1"/>
  <c r="AO811" i="1"/>
  <c r="AP811" i="1"/>
  <c r="AQ811" i="1"/>
  <c r="AR811" i="1"/>
  <c r="AB812" i="1"/>
  <c r="AC812" i="1"/>
  <c r="AD812" i="1"/>
  <c r="AE812" i="1"/>
  <c r="AF812" i="1"/>
  <c r="AG812" i="1"/>
  <c r="AH812" i="1"/>
  <c r="AI812" i="1"/>
  <c r="AJ812" i="1"/>
  <c r="AK812" i="1"/>
  <c r="AL812" i="1"/>
  <c r="AM812" i="1"/>
  <c r="AN812" i="1"/>
  <c r="AO812" i="1"/>
  <c r="AP812" i="1"/>
  <c r="AQ812" i="1"/>
  <c r="AR812" i="1"/>
  <c r="AB813" i="1"/>
  <c r="AC813" i="1"/>
  <c r="AD813" i="1"/>
  <c r="AE813" i="1"/>
  <c r="AF813" i="1"/>
  <c r="AG813" i="1"/>
  <c r="AH813" i="1"/>
  <c r="AI813" i="1"/>
  <c r="AJ813" i="1"/>
  <c r="AK813" i="1"/>
  <c r="AL813" i="1"/>
  <c r="AM813" i="1"/>
  <c r="AN813" i="1"/>
  <c r="AO813" i="1"/>
  <c r="AP813" i="1"/>
  <c r="AQ813" i="1"/>
  <c r="AR813" i="1"/>
  <c r="AB814" i="1"/>
  <c r="AC814" i="1"/>
  <c r="AD814" i="1"/>
  <c r="AE814" i="1"/>
  <c r="AF814" i="1"/>
  <c r="AG814" i="1"/>
  <c r="AH814" i="1"/>
  <c r="AI814" i="1"/>
  <c r="AJ814" i="1"/>
  <c r="AK814" i="1"/>
  <c r="AL814" i="1"/>
  <c r="AM814" i="1"/>
  <c r="AN814" i="1"/>
  <c r="AO814" i="1"/>
  <c r="AP814" i="1"/>
  <c r="AQ814" i="1"/>
  <c r="AR814" i="1"/>
  <c r="AB815" i="1"/>
  <c r="AC815" i="1"/>
  <c r="AD815" i="1"/>
  <c r="AE815" i="1"/>
  <c r="AF815" i="1"/>
  <c r="AG815" i="1"/>
  <c r="AH815" i="1"/>
  <c r="AI815" i="1"/>
  <c r="AJ815" i="1"/>
  <c r="AK815" i="1"/>
  <c r="AL815" i="1"/>
  <c r="AM815" i="1"/>
  <c r="AN815" i="1"/>
  <c r="AO815" i="1"/>
  <c r="AP815" i="1"/>
  <c r="AQ815" i="1"/>
  <c r="AR815" i="1"/>
  <c r="AB816" i="1"/>
  <c r="AC816" i="1"/>
  <c r="AD816" i="1"/>
  <c r="AE816" i="1"/>
  <c r="AF816" i="1"/>
  <c r="AG816" i="1"/>
  <c r="AH816" i="1"/>
  <c r="AI816" i="1"/>
  <c r="AJ816" i="1"/>
  <c r="AK816" i="1"/>
  <c r="AL816" i="1"/>
  <c r="AM816" i="1"/>
  <c r="AN816" i="1"/>
  <c r="AO816" i="1"/>
  <c r="AP816" i="1"/>
  <c r="AQ816" i="1"/>
  <c r="AR816" i="1"/>
  <c r="AB817" i="1"/>
  <c r="AC817" i="1"/>
  <c r="AD817" i="1"/>
  <c r="AE817" i="1"/>
  <c r="AF817" i="1"/>
  <c r="AG817" i="1"/>
  <c r="AH817" i="1"/>
  <c r="AI817" i="1"/>
  <c r="AJ817" i="1"/>
  <c r="AK817" i="1"/>
  <c r="AL817" i="1"/>
  <c r="AM817" i="1"/>
  <c r="AN817" i="1"/>
  <c r="AO817" i="1"/>
  <c r="AP817" i="1"/>
  <c r="AQ817" i="1"/>
  <c r="AR817" i="1"/>
  <c r="AB818" i="1"/>
  <c r="AC818" i="1"/>
  <c r="AD818" i="1"/>
  <c r="AE818" i="1"/>
  <c r="AF818" i="1"/>
  <c r="AG818" i="1"/>
  <c r="AH818" i="1"/>
  <c r="AI818" i="1"/>
  <c r="AJ818" i="1"/>
  <c r="AK818" i="1"/>
  <c r="AL818" i="1"/>
  <c r="AM818" i="1"/>
  <c r="AN818" i="1"/>
  <c r="AO818" i="1"/>
  <c r="AP818" i="1"/>
  <c r="AQ818" i="1"/>
  <c r="AR818" i="1"/>
  <c r="AB819" i="1"/>
  <c r="AC819" i="1"/>
  <c r="AD819" i="1"/>
  <c r="AE819" i="1"/>
  <c r="AF819" i="1"/>
  <c r="AG819" i="1"/>
  <c r="AH819" i="1"/>
  <c r="AI819" i="1"/>
  <c r="AJ819" i="1"/>
  <c r="AK819" i="1"/>
  <c r="AL819" i="1"/>
  <c r="AM819" i="1"/>
  <c r="AN819" i="1"/>
  <c r="AO819" i="1"/>
  <c r="AP819" i="1"/>
  <c r="AQ819" i="1"/>
  <c r="AR819" i="1"/>
  <c r="AB820" i="1"/>
  <c r="AC820" i="1"/>
  <c r="AD820" i="1"/>
  <c r="AE820" i="1"/>
  <c r="AF820" i="1"/>
  <c r="AG820" i="1"/>
  <c r="AH820" i="1"/>
  <c r="AI820" i="1"/>
  <c r="AJ820" i="1"/>
  <c r="AK820" i="1"/>
  <c r="AL820" i="1"/>
  <c r="AM820" i="1"/>
  <c r="AN820" i="1"/>
  <c r="AO820" i="1"/>
  <c r="AP820" i="1"/>
  <c r="AQ820" i="1"/>
  <c r="AR820" i="1"/>
  <c r="AB821" i="1"/>
  <c r="AC821" i="1"/>
  <c r="AD821" i="1"/>
  <c r="AE821" i="1"/>
  <c r="AF821" i="1"/>
  <c r="AG821" i="1"/>
  <c r="AH821" i="1"/>
  <c r="AI821" i="1"/>
  <c r="AJ821" i="1"/>
  <c r="AK821" i="1"/>
  <c r="AL821" i="1"/>
  <c r="AM821" i="1"/>
  <c r="AN821" i="1"/>
  <c r="AO821" i="1"/>
  <c r="AP821" i="1"/>
  <c r="AQ821" i="1"/>
  <c r="AR821" i="1"/>
  <c r="AB822" i="1"/>
  <c r="AC822" i="1"/>
  <c r="AD822" i="1"/>
  <c r="AE822" i="1"/>
  <c r="AF822" i="1"/>
  <c r="AG822" i="1"/>
  <c r="AH822" i="1"/>
  <c r="AI822" i="1"/>
  <c r="AJ822" i="1"/>
  <c r="AK822" i="1"/>
  <c r="AL822" i="1"/>
  <c r="AM822" i="1"/>
  <c r="AN822" i="1"/>
  <c r="AO822" i="1"/>
  <c r="AP822" i="1"/>
  <c r="AQ822" i="1"/>
  <c r="AR822" i="1"/>
  <c r="AB823" i="1"/>
  <c r="AC823" i="1"/>
  <c r="AD823" i="1"/>
  <c r="AE823" i="1"/>
  <c r="AF823" i="1"/>
  <c r="AG823" i="1"/>
  <c r="AH823" i="1"/>
  <c r="AI823" i="1"/>
  <c r="AJ823" i="1"/>
  <c r="AK823" i="1"/>
  <c r="AL823" i="1"/>
  <c r="AM823" i="1"/>
  <c r="AN823" i="1"/>
  <c r="AO823" i="1"/>
  <c r="AP823" i="1"/>
  <c r="AQ823" i="1"/>
  <c r="AR823" i="1"/>
  <c r="AB824" i="1"/>
  <c r="AC824" i="1"/>
  <c r="AD824" i="1"/>
  <c r="AE824" i="1"/>
  <c r="AF824" i="1"/>
  <c r="AG824" i="1"/>
  <c r="AH824" i="1"/>
  <c r="AI824" i="1"/>
  <c r="AJ824" i="1"/>
  <c r="AK824" i="1"/>
  <c r="AL824" i="1"/>
  <c r="AM824" i="1"/>
  <c r="AN824" i="1"/>
  <c r="AO824" i="1"/>
  <c r="AP824" i="1"/>
  <c r="AQ824" i="1"/>
  <c r="AR824" i="1"/>
  <c r="AB825" i="1"/>
  <c r="AC825" i="1"/>
  <c r="AD825" i="1"/>
  <c r="AE825" i="1"/>
  <c r="AF825" i="1"/>
  <c r="AG825" i="1"/>
  <c r="AH825" i="1"/>
  <c r="AI825" i="1"/>
  <c r="AJ825" i="1"/>
  <c r="AK825" i="1"/>
  <c r="AL825" i="1"/>
  <c r="AM825" i="1"/>
  <c r="AN825" i="1"/>
  <c r="AO825" i="1"/>
  <c r="AP825" i="1"/>
  <c r="AQ825" i="1"/>
  <c r="AR825" i="1"/>
  <c r="AB826" i="1"/>
  <c r="AC826" i="1"/>
  <c r="AD826" i="1"/>
  <c r="AE826" i="1"/>
  <c r="AF826" i="1"/>
  <c r="AG826" i="1"/>
  <c r="AH826" i="1"/>
  <c r="AI826" i="1"/>
  <c r="AJ826" i="1"/>
  <c r="AK826" i="1"/>
  <c r="AL826" i="1"/>
  <c r="AM826" i="1"/>
  <c r="AN826" i="1"/>
  <c r="AO826" i="1"/>
  <c r="AP826" i="1"/>
  <c r="AQ826" i="1"/>
  <c r="AR826" i="1"/>
  <c r="AB827" i="1"/>
  <c r="AC827" i="1"/>
  <c r="AD827" i="1"/>
  <c r="AE827" i="1"/>
  <c r="AF827" i="1"/>
  <c r="AG827" i="1"/>
  <c r="AH827" i="1"/>
  <c r="AI827" i="1"/>
  <c r="AJ827" i="1"/>
  <c r="AK827" i="1"/>
  <c r="AL827" i="1"/>
  <c r="AM827" i="1"/>
  <c r="AN827" i="1"/>
  <c r="AO827" i="1"/>
  <c r="AP827" i="1"/>
  <c r="AQ827" i="1"/>
  <c r="AR827" i="1"/>
  <c r="AB828" i="1"/>
  <c r="AC828" i="1"/>
  <c r="AD828" i="1"/>
  <c r="AE828" i="1"/>
  <c r="AF828" i="1"/>
  <c r="AG828" i="1"/>
  <c r="AH828" i="1"/>
  <c r="AI828" i="1"/>
  <c r="AJ828" i="1"/>
  <c r="AK828" i="1"/>
  <c r="AL828" i="1"/>
  <c r="AM828" i="1"/>
  <c r="AN828" i="1"/>
  <c r="AO828" i="1"/>
  <c r="AP828" i="1"/>
  <c r="AQ828" i="1"/>
  <c r="AR828" i="1"/>
  <c r="AB829" i="1"/>
  <c r="AC829" i="1"/>
  <c r="AD829" i="1"/>
  <c r="AE829" i="1"/>
  <c r="AF829" i="1"/>
  <c r="AG829" i="1"/>
  <c r="AH829" i="1"/>
  <c r="AI829" i="1"/>
  <c r="AJ829" i="1"/>
  <c r="AK829" i="1"/>
  <c r="AL829" i="1"/>
  <c r="AM829" i="1"/>
  <c r="AN829" i="1"/>
  <c r="AO829" i="1"/>
  <c r="AP829" i="1"/>
  <c r="AQ829" i="1"/>
  <c r="AR829" i="1"/>
  <c r="AB830" i="1"/>
  <c r="AC830" i="1"/>
  <c r="AD830" i="1"/>
  <c r="AE830" i="1"/>
  <c r="AF830" i="1"/>
  <c r="AG830" i="1"/>
  <c r="AH830" i="1"/>
  <c r="AI830" i="1"/>
  <c r="AJ830" i="1"/>
  <c r="AK830" i="1"/>
  <c r="AL830" i="1"/>
  <c r="AM830" i="1"/>
  <c r="AN830" i="1"/>
  <c r="AO830" i="1"/>
  <c r="AP830" i="1"/>
  <c r="AQ830" i="1"/>
  <c r="AR830" i="1"/>
  <c r="AB831" i="1"/>
  <c r="AC831" i="1"/>
  <c r="AD831" i="1"/>
  <c r="AE831" i="1"/>
  <c r="AF831" i="1"/>
  <c r="AG831" i="1"/>
  <c r="AH831" i="1"/>
  <c r="AI831" i="1"/>
  <c r="AJ831" i="1"/>
  <c r="AK831" i="1"/>
  <c r="AL831" i="1"/>
  <c r="AM831" i="1"/>
  <c r="AN831" i="1"/>
  <c r="AO831" i="1"/>
  <c r="AP831" i="1"/>
  <c r="AQ831" i="1"/>
  <c r="AR831" i="1"/>
  <c r="AB832" i="1"/>
  <c r="AC832" i="1"/>
  <c r="AD832" i="1"/>
  <c r="AE832" i="1"/>
  <c r="AF832" i="1"/>
  <c r="AG832" i="1"/>
  <c r="AH832" i="1"/>
  <c r="AI832" i="1"/>
  <c r="AJ832" i="1"/>
  <c r="AK832" i="1"/>
  <c r="AL832" i="1"/>
  <c r="AM832" i="1"/>
  <c r="AN832" i="1"/>
  <c r="AO832" i="1"/>
  <c r="AP832" i="1"/>
  <c r="AQ832" i="1"/>
  <c r="AR832" i="1"/>
  <c r="AB833" i="1"/>
  <c r="AC833" i="1"/>
  <c r="AD833" i="1"/>
  <c r="AE833" i="1"/>
  <c r="AF833" i="1"/>
  <c r="AG833" i="1"/>
  <c r="AH833" i="1"/>
  <c r="AI833" i="1"/>
  <c r="AJ833" i="1"/>
  <c r="AK833" i="1"/>
  <c r="AL833" i="1"/>
  <c r="AM833" i="1"/>
  <c r="AN833" i="1"/>
  <c r="AO833" i="1"/>
  <c r="AP833" i="1"/>
  <c r="AQ833" i="1"/>
  <c r="AR833" i="1"/>
  <c r="AB834" i="1"/>
  <c r="AC834" i="1"/>
  <c r="AD834" i="1"/>
  <c r="AE834" i="1"/>
  <c r="AF834" i="1"/>
  <c r="AG834" i="1"/>
  <c r="AH834" i="1"/>
  <c r="AI834" i="1"/>
  <c r="AJ834" i="1"/>
  <c r="AK834" i="1"/>
  <c r="AL834" i="1"/>
  <c r="AM834" i="1"/>
  <c r="AN834" i="1"/>
  <c r="AO834" i="1"/>
  <c r="AP834" i="1"/>
  <c r="AQ834" i="1"/>
  <c r="AR834" i="1"/>
  <c r="AB835" i="1"/>
  <c r="AC835" i="1"/>
  <c r="AD835" i="1"/>
  <c r="AE835" i="1"/>
  <c r="AF835" i="1"/>
  <c r="AG835" i="1"/>
  <c r="AH835" i="1"/>
  <c r="AI835" i="1"/>
  <c r="AJ835" i="1"/>
  <c r="AK835" i="1"/>
  <c r="AL835" i="1"/>
  <c r="AM835" i="1"/>
  <c r="AN835" i="1"/>
  <c r="AO835" i="1"/>
  <c r="AP835" i="1"/>
  <c r="AQ835" i="1"/>
  <c r="AR835" i="1"/>
  <c r="AB836" i="1"/>
  <c r="AC836" i="1"/>
  <c r="AD836" i="1"/>
  <c r="AE836" i="1"/>
  <c r="AF836" i="1"/>
  <c r="AG836" i="1"/>
  <c r="AH836" i="1"/>
  <c r="AI836" i="1"/>
  <c r="AJ836" i="1"/>
  <c r="AK836" i="1"/>
  <c r="AL836" i="1"/>
  <c r="AM836" i="1"/>
  <c r="AN836" i="1"/>
  <c r="AO836" i="1"/>
  <c r="AP836" i="1"/>
  <c r="AQ836" i="1"/>
  <c r="AR836" i="1"/>
  <c r="AB837" i="1"/>
  <c r="AC837" i="1"/>
  <c r="AD837" i="1"/>
  <c r="AE837" i="1"/>
  <c r="AF837" i="1"/>
  <c r="AG837" i="1"/>
  <c r="AH837" i="1"/>
  <c r="AI837" i="1"/>
  <c r="AJ837" i="1"/>
  <c r="AK837" i="1"/>
  <c r="AL837" i="1"/>
  <c r="AM837" i="1"/>
  <c r="AN837" i="1"/>
  <c r="AO837" i="1"/>
  <c r="AP837" i="1"/>
  <c r="AQ837" i="1"/>
  <c r="AR837" i="1"/>
  <c r="AB838" i="1"/>
  <c r="AC838" i="1"/>
  <c r="AD838" i="1"/>
  <c r="AE838" i="1"/>
  <c r="AF838" i="1"/>
  <c r="AG838" i="1"/>
  <c r="AH838" i="1"/>
  <c r="AI838" i="1"/>
  <c r="AJ838" i="1"/>
  <c r="AK838" i="1"/>
  <c r="AL838" i="1"/>
  <c r="AM838" i="1"/>
  <c r="AN838" i="1"/>
  <c r="AO838" i="1"/>
  <c r="AP838" i="1"/>
  <c r="AQ838" i="1"/>
  <c r="AR838" i="1"/>
  <c r="AB839" i="1"/>
  <c r="AC839" i="1"/>
  <c r="AD839" i="1"/>
  <c r="AE839" i="1"/>
  <c r="AF839" i="1"/>
  <c r="AG839" i="1"/>
  <c r="AH839" i="1"/>
  <c r="AI839" i="1"/>
  <c r="AJ839" i="1"/>
  <c r="AK839" i="1"/>
  <c r="AL839" i="1"/>
  <c r="AM839" i="1"/>
  <c r="AN839" i="1"/>
  <c r="AO839" i="1"/>
  <c r="AP839" i="1"/>
  <c r="AQ839" i="1"/>
  <c r="AR839" i="1"/>
  <c r="AB840" i="1"/>
  <c r="AC840" i="1"/>
  <c r="AD840" i="1"/>
  <c r="AE840" i="1"/>
  <c r="AF840" i="1"/>
  <c r="AG840" i="1"/>
  <c r="AH840" i="1"/>
  <c r="AI840" i="1"/>
  <c r="AJ840" i="1"/>
  <c r="AK840" i="1"/>
  <c r="AL840" i="1"/>
  <c r="AM840" i="1"/>
  <c r="AN840" i="1"/>
  <c r="AO840" i="1"/>
  <c r="AP840" i="1"/>
  <c r="AQ840" i="1"/>
  <c r="AR840" i="1"/>
  <c r="AB841" i="1"/>
  <c r="AC841" i="1"/>
  <c r="AD841" i="1"/>
  <c r="AE841" i="1"/>
  <c r="AF841" i="1"/>
  <c r="AG841" i="1"/>
  <c r="AH841" i="1"/>
  <c r="AI841" i="1"/>
  <c r="AJ841" i="1"/>
  <c r="AK841" i="1"/>
  <c r="AL841" i="1"/>
  <c r="AM841" i="1"/>
  <c r="AN841" i="1"/>
  <c r="AO841" i="1"/>
  <c r="AP841" i="1"/>
  <c r="AQ841" i="1"/>
  <c r="AR841" i="1"/>
  <c r="AB842" i="1"/>
  <c r="AC842" i="1"/>
  <c r="AD842" i="1"/>
  <c r="AE842" i="1"/>
  <c r="AF842" i="1"/>
  <c r="AG842" i="1"/>
  <c r="AH842" i="1"/>
  <c r="AI842" i="1"/>
  <c r="AJ842" i="1"/>
  <c r="AK842" i="1"/>
  <c r="AL842" i="1"/>
  <c r="AM842" i="1"/>
  <c r="AN842" i="1"/>
  <c r="AO842" i="1"/>
  <c r="AP842" i="1"/>
  <c r="AQ842" i="1"/>
  <c r="AR842" i="1"/>
  <c r="AB843" i="1"/>
  <c r="AC843" i="1"/>
  <c r="AD843" i="1"/>
  <c r="AE843" i="1"/>
  <c r="AF843" i="1"/>
  <c r="AG843" i="1"/>
  <c r="AH843" i="1"/>
  <c r="AI843" i="1"/>
  <c r="AJ843" i="1"/>
  <c r="AK843" i="1"/>
  <c r="AL843" i="1"/>
  <c r="AM843" i="1"/>
  <c r="AN843" i="1"/>
  <c r="AO843" i="1"/>
  <c r="AP843" i="1"/>
  <c r="AQ843" i="1"/>
  <c r="AR843" i="1"/>
  <c r="AB844" i="1"/>
  <c r="AC844" i="1"/>
  <c r="AD844" i="1"/>
  <c r="AE844" i="1"/>
  <c r="AF844" i="1"/>
  <c r="AG844" i="1"/>
  <c r="AH844" i="1"/>
  <c r="AI844" i="1"/>
  <c r="AJ844" i="1"/>
  <c r="AK844" i="1"/>
  <c r="AL844" i="1"/>
  <c r="AM844" i="1"/>
  <c r="AN844" i="1"/>
  <c r="AO844" i="1"/>
  <c r="AP844" i="1"/>
  <c r="AQ844" i="1"/>
  <c r="AR844" i="1"/>
  <c r="AB845" i="1"/>
  <c r="AC845" i="1"/>
  <c r="AD845" i="1"/>
  <c r="AE845" i="1"/>
  <c r="AF845" i="1"/>
  <c r="AG845" i="1"/>
  <c r="AH845" i="1"/>
  <c r="AI845" i="1"/>
  <c r="AJ845" i="1"/>
  <c r="AK845" i="1"/>
  <c r="AL845" i="1"/>
  <c r="AM845" i="1"/>
  <c r="AN845" i="1"/>
  <c r="AO845" i="1"/>
  <c r="AP845" i="1"/>
  <c r="AQ845" i="1"/>
  <c r="AR845" i="1"/>
  <c r="AB846" i="1"/>
  <c r="AC846" i="1"/>
  <c r="AD846" i="1"/>
  <c r="AE846" i="1"/>
  <c r="AF846" i="1"/>
  <c r="AG846" i="1"/>
  <c r="AH846" i="1"/>
  <c r="AI846" i="1"/>
  <c r="AJ846" i="1"/>
  <c r="AK846" i="1"/>
  <c r="AL846" i="1"/>
  <c r="AM846" i="1"/>
  <c r="AN846" i="1"/>
  <c r="AO846" i="1"/>
  <c r="AP846" i="1"/>
  <c r="AQ846" i="1"/>
  <c r="AR846" i="1"/>
  <c r="AB847" i="1"/>
  <c r="AC847" i="1"/>
  <c r="AD847" i="1"/>
  <c r="AE847" i="1"/>
  <c r="AF847" i="1"/>
  <c r="AG847" i="1"/>
  <c r="AH847" i="1"/>
  <c r="AI847" i="1"/>
  <c r="AJ847" i="1"/>
  <c r="AK847" i="1"/>
  <c r="AL847" i="1"/>
  <c r="AM847" i="1"/>
  <c r="AN847" i="1"/>
  <c r="AO847" i="1"/>
  <c r="AP847" i="1"/>
  <c r="AQ847" i="1"/>
  <c r="AR847" i="1"/>
  <c r="AB848" i="1"/>
  <c r="AC848" i="1"/>
  <c r="AD848" i="1"/>
  <c r="AE848" i="1"/>
  <c r="AF848" i="1"/>
  <c r="AG848" i="1"/>
  <c r="AH848" i="1"/>
  <c r="AI848" i="1"/>
  <c r="AJ848" i="1"/>
  <c r="AK848" i="1"/>
  <c r="AL848" i="1"/>
  <c r="AM848" i="1"/>
  <c r="AN848" i="1"/>
  <c r="AO848" i="1"/>
  <c r="AP848" i="1"/>
  <c r="AQ848" i="1"/>
  <c r="AR848" i="1"/>
  <c r="AB849" i="1"/>
  <c r="AC849" i="1"/>
  <c r="AD849" i="1"/>
  <c r="AE849" i="1"/>
  <c r="AF849" i="1"/>
  <c r="AG849" i="1"/>
  <c r="AH849" i="1"/>
  <c r="AI849" i="1"/>
  <c r="AJ849" i="1"/>
  <c r="AK849" i="1"/>
  <c r="AL849" i="1"/>
  <c r="AM849" i="1"/>
  <c r="AN849" i="1"/>
  <c r="AO849" i="1"/>
  <c r="AP849" i="1"/>
  <c r="AQ849" i="1"/>
  <c r="AR849" i="1"/>
  <c r="AB850" i="1"/>
  <c r="AC850" i="1"/>
  <c r="AD850" i="1"/>
  <c r="AE850" i="1"/>
  <c r="AF850" i="1"/>
  <c r="AG850" i="1"/>
  <c r="AH850" i="1"/>
  <c r="AI850" i="1"/>
  <c r="AJ850" i="1"/>
  <c r="AK850" i="1"/>
  <c r="AL850" i="1"/>
  <c r="AM850" i="1"/>
  <c r="AN850" i="1"/>
  <c r="AO850" i="1"/>
  <c r="AP850" i="1"/>
  <c r="AQ850" i="1"/>
  <c r="AR850" i="1"/>
  <c r="AB851" i="1"/>
  <c r="AC851" i="1"/>
  <c r="AD851" i="1"/>
  <c r="AE851" i="1"/>
  <c r="AF851" i="1"/>
  <c r="AG851" i="1"/>
  <c r="AH851" i="1"/>
  <c r="AI851" i="1"/>
  <c r="AJ851" i="1"/>
  <c r="AK851" i="1"/>
  <c r="AL851" i="1"/>
  <c r="AM851" i="1"/>
  <c r="AN851" i="1"/>
  <c r="AO851" i="1"/>
  <c r="AP851" i="1"/>
  <c r="AQ851" i="1"/>
  <c r="AR851" i="1"/>
  <c r="AB852" i="1"/>
  <c r="AC852" i="1"/>
  <c r="AD852" i="1"/>
  <c r="AE852" i="1"/>
  <c r="AF852" i="1"/>
  <c r="AG852" i="1"/>
  <c r="AH852" i="1"/>
  <c r="AI852" i="1"/>
  <c r="AJ852" i="1"/>
  <c r="AK852" i="1"/>
  <c r="AL852" i="1"/>
  <c r="AM852" i="1"/>
  <c r="AN852" i="1"/>
  <c r="AO852" i="1"/>
  <c r="AP852" i="1"/>
  <c r="AQ852" i="1"/>
  <c r="AR852" i="1"/>
  <c r="AB853" i="1"/>
  <c r="AC853" i="1"/>
  <c r="AD853" i="1"/>
  <c r="AE853" i="1"/>
  <c r="AF853" i="1"/>
  <c r="AG853" i="1"/>
  <c r="AH853" i="1"/>
  <c r="AI853" i="1"/>
  <c r="AJ853" i="1"/>
  <c r="AK853" i="1"/>
  <c r="AL853" i="1"/>
  <c r="AM853" i="1"/>
  <c r="AN853" i="1"/>
  <c r="AO853" i="1"/>
  <c r="AP853" i="1"/>
  <c r="AQ853" i="1"/>
  <c r="AR853" i="1"/>
  <c r="AB854" i="1"/>
  <c r="AC854" i="1"/>
  <c r="AD854" i="1"/>
  <c r="AE854" i="1"/>
  <c r="AF854" i="1"/>
  <c r="AG854" i="1"/>
  <c r="AH854" i="1"/>
  <c r="AI854" i="1"/>
  <c r="AJ854" i="1"/>
  <c r="AK854" i="1"/>
  <c r="AL854" i="1"/>
  <c r="AM854" i="1"/>
  <c r="AN854" i="1"/>
  <c r="AO854" i="1"/>
  <c r="AP854" i="1"/>
  <c r="AQ854" i="1"/>
  <c r="AR854" i="1"/>
  <c r="AB855" i="1"/>
  <c r="AC855" i="1"/>
  <c r="AD855" i="1"/>
  <c r="AE855" i="1"/>
  <c r="AF855" i="1"/>
  <c r="AG855" i="1"/>
  <c r="AH855" i="1"/>
  <c r="AI855" i="1"/>
  <c r="AJ855" i="1"/>
  <c r="AK855" i="1"/>
  <c r="AL855" i="1"/>
  <c r="AM855" i="1"/>
  <c r="AN855" i="1"/>
  <c r="AO855" i="1"/>
  <c r="AP855" i="1"/>
  <c r="AQ855" i="1"/>
  <c r="AR855" i="1"/>
  <c r="AB856" i="1"/>
  <c r="AC856" i="1"/>
  <c r="AD856" i="1"/>
  <c r="AE856" i="1"/>
  <c r="AF856" i="1"/>
  <c r="AG856" i="1"/>
  <c r="AH856" i="1"/>
  <c r="AI856" i="1"/>
  <c r="AJ856" i="1"/>
  <c r="AK856" i="1"/>
  <c r="AL856" i="1"/>
  <c r="AM856" i="1"/>
  <c r="AN856" i="1"/>
  <c r="AO856" i="1"/>
  <c r="AP856" i="1"/>
  <c r="AQ856" i="1"/>
  <c r="AR856" i="1"/>
  <c r="AB857" i="1"/>
  <c r="AC857" i="1"/>
  <c r="AD857" i="1"/>
  <c r="AE857" i="1"/>
  <c r="AF857" i="1"/>
  <c r="AG857" i="1"/>
  <c r="AH857" i="1"/>
  <c r="AI857" i="1"/>
  <c r="AJ857" i="1"/>
  <c r="AK857" i="1"/>
  <c r="AL857" i="1"/>
  <c r="AM857" i="1"/>
  <c r="AN857" i="1"/>
  <c r="AO857" i="1"/>
  <c r="AP857" i="1"/>
  <c r="AQ857" i="1"/>
  <c r="AR857" i="1"/>
  <c r="AB858" i="1"/>
  <c r="AC858" i="1"/>
  <c r="AD858" i="1"/>
  <c r="AE858" i="1"/>
  <c r="AF858" i="1"/>
  <c r="AG858" i="1"/>
  <c r="AH858" i="1"/>
  <c r="AI858" i="1"/>
  <c r="AJ858" i="1"/>
  <c r="AK858" i="1"/>
  <c r="AL858" i="1"/>
  <c r="AM858" i="1"/>
  <c r="AN858" i="1"/>
  <c r="AO858" i="1"/>
  <c r="AP858" i="1"/>
  <c r="AQ858" i="1"/>
  <c r="AR858" i="1"/>
  <c r="AB859" i="1"/>
  <c r="AC859" i="1"/>
  <c r="AD859" i="1"/>
  <c r="AE859" i="1"/>
  <c r="AF859" i="1"/>
  <c r="AG859" i="1"/>
  <c r="AH859" i="1"/>
  <c r="AI859" i="1"/>
  <c r="AJ859" i="1"/>
  <c r="AK859" i="1"/>
  <c r="AL859" i="1"/>
  <c r="AM859" i="1"/>
  <c r="AN859" i="1"/>
  <c r="AO859" i="1"/>
  <c r="AP859" i="1"/>
  <c r="AQ859" i="1"/>
  <c r="AR859" i="1"/>
  <c r="AB860" i="1"/>
  <c r="AC860" i="1"/>
  <c r="AD860" i="1"/>
  <c r="AE860" i="1"/>
  <c r="AF860" i="1"/>
  <c r="AG860" i="1"/>
  <c r="AH860" i="1"/>
  <c r="AI860" i="1"/>
  <c r="AJ860" i="1"/>
  <c r="AK860" i="1"/>
  <c r="AL860" i="1"/>
  <c r="AM860" i="1"/>
  <c r="AN860" i="1"/>
  <c r="AO860" i="1"/>
  <c r="AP860" i="1"/>
  <c r="AQ860" i="1"/>
  <c r="AR860" i="1"/>
  <c r="AB861" i="1"/>
  <c r="AC861" i="1"/>
  <c r="AD861" i="1"/>
  <c r="AE861" i="1"/>
  <c r="AF861" i="1"/>
  <c r="AG861" i="1"/>
  <c r="AH861" i="1"/>
  <c r="AI861" i="1"/>
  <c r="AJ861" i="1"/>
  <c r="AK861" i="1"/>
  <c r="AL861" i="1"/>
  <c r="AM861" i="1"/>
  <c r="AN861" i="1"/>
  <c r="AO861" i="1"/>
  <c r="AP861" i="1"/>
  <c r="AQ861" i="1"/>
  <c r="AR861" i="1"/>
  <c r="AB862" i="1"/>
  <c r="AC862" i="1"/>
  <c r="AD862" i="1"/>
  <c r="AE862" i="1"/>
  <c r="AF862" i="1"/>
  <c r="AG862" i="1"/>
  <c r="AH862" i="1"/>
  <c r="AI862" i="1"/>
  <c r="AJ862" i="1"/>
  <c r="AK862" i="1"/>
  <c r="AL862" i="1"/>
  <c r="AM862" i="1"/>
  <c r="AN862" i="1"/>
  <c r="AO862" i="1"/>
  <c r="AP862" i="1"/>
  <c r="AQ862" i="1"/>
  <c r="AR862" i="1"/>
  <c r="AB863" i="1"/>
  <c r="AC863" i="1"/>
  <c r="AD863" i="1"/>
  <c r="AE863" i="1"/>
  <c r="AF863" i="1"/>
  <c r="AG863" i="1"/>
  <c r="AH863" i="1"/>
  <c r="AI863" i="1"/>
  <c r="AJ863" i="1"/>
  <c r="AK863" i="1"/>
  <c r="AL863" i="1"/>
  <c r="AM863" i="1"/>
  <c r="AN863" i="1"/>
  <c r="AO863" i="1"/>
  <c r="AP863" i="1"/>
  <c r="AQ863" i="1"/>
  <c r="AR863" i="1"/>
  <c r="AB864" i="1"/>
  <c r="AC864" i="1"/>
  <c r="AD864" i="1"/>
  <c r="AE864" i="1"/>
  <c r="AF864" i="1"/>
  <c r="AG864" i="1"/>
  <c r="AH864" i="1"/>
  <c r="AI864" i="1"/>
  <c r="AJ864" i="1"/>
  <c r="AK864" i="1"/>
  <c r="AL864" i="1"/>
  <c r="AM864" i="1"/>
  <c r="AN864" i="1"/>
  <c r="AO864" i="1"/>
  <c r="AP864" i="1"/>
  <c r="AQ864" i="1"/>
  <c r="AR864" i="1"/>
  <c r="AB865" i="1"/>
  <c r="AC865" i="1"/>
  <c r="AD865" i="1"/>
  <c r="AE865" i="1"/>
  <c r="AF865" i="1"/>
  <c r="AG865" i="1"/>
  <c r="AH865" i="1"/>
  <c r="AI865" i="1"/>
  <c r="AJ865" i="1"/>
  <c r="AK865" i="1"/>
  <c r="AL865" i="1"/>
  <c r="AM865" i="1"/>
  <c r="AN865" i="1"/>
  <c r="AO865" i="1"/>
  <c r="AP865" i="1"/>
  <c r="AQ865" i="1"/>
  <c r="AR865" i="1"/>
  <c r="AB866" i="1"/>
  <c r="AC866" i="1"/>
  <c r="AD866" i="1"/>
  <c r="AE866" i="1"/>
  <c r="AF866" i="1"/>
  <c r="AG866" i="1"/>
  <c r="AH866" i="1"/>
  <c r="AI866" i="1"/>
  <c r="AJ866" i="1"/>
  <c r="AK866" i="1"/>
  <c r="AL866" i="1"/>
  <c r="AM866" i="1"/>
  <c r="AN866" i="1"/>
  <c r="AO866" i="1"/>
  <c r="AP866" i="1"/>
  <c r="AQ866" i="1"/>
  <c r="AR866" i="1"/>
  <c r="AB867" i="1"/>
  <c r="AC867" i="1"/>
  <c r="AD867" i="1"/>
  <c r="AE867" i="1"/>
  <c r="AF867" i="1"/>
  <c r="AG867" i="1"/>
  <c r="AH867" i="1"/>
  <c r="AI867" i="1"/>
  <c r="AJ867" i="1"/>
  <c r="AK867" i="1"/>
  <c r="AL867" i="1"/>
  <c r="AM867" i="1"/>
  <c r="AN867" i="1"/>
  <c r="AO867" i="1"/>
  <c r="AP867" i="1"/>
  <c r="AQ867" i="1"/>
  <c r="AR867" i="1"/>
  <c r="AB868" i="1"/>
  <c r="AC868" i="1"/>
  <c r="AD868" i="1"/>
  <c r="AE868" i="1"/>
  <c r="AF868" i="1"/>
  <c r="AG868" i="1"/>
  <c r="AH868" i="1"/>
  <c r="AI868" i="1"/>
  <c r="AJ868" i="1"/>
  <c r="AK868" i="1"/>
  <c r="AL868" i="1"/>
  <c r="AM868" i="1"/>
  <c r="AN868" i="1"/>
  <c r="AO868" i="1"/>
  <c r="AP868" i="1"/>
  <c r="AQ868" i="1"/>
  <c r="AR868" i="1"/>
  <c r="AB869" i="1"/>
  <c r="AC869" i="1"/>
  <c r="AD869" i="1"/>
  <c r="AE869" i="1"/>
  <c r="AF869" i="1"/>
  <c r="AG869" i="1"/>
  <c r="AH869" i="1"/>
  <c r="AI869" i="1"/>
  <c r="AJ869" i="1"/>
  <c r="AK869" i="1"/>
  <c r="AL869" i="1"/>
  <c r="AM869" i="1"/>
  <c r="AN869" i="1"/>
  <c r="AO869" i="1"/>
  <c r="AP869" i="1"/>
  <c r="AQ869" i="1"/>
  <c r="AR869" i="1"/>
  <c r="AB870" i="1"/>
  <c r="AC870" i="1"/>
  <c r="AD870" i="1"/>
  <c r="AE870" i="1"/>
  <c r="AF870" i="1"/>
  <c r="AG870" i="1"/>
  <c r="AH870" i="1"/>
  <c r="AI870" i="1"/>
  <c r="AJ870" i="1"/>
  <c r="AK870" i="1"/>
  <c r="AL870" i="1"/>
  <c r="AM870" i="1"/>
  <c r="AN870" i="1"/>
  <c r="AO870" i="1"/>
  <c r="AP870" i="1"/>
  <c r="AQ870" i="1"/>
  <c r="AR870" i="1"/>
  <c r="AB871" i="1"/>
  <c r="AC871" i="1"/>
  <c r="AD871" i="1"/>
  <c r="AE871" i="1"/>
  <c r="AF871" i="1"/>
  <c r="AG871" i="1"/>
  <c r="AH871" i="1"/>
  <c r="AI871" i="1"/>
  <c r="AJ871" i="1"/>
  <c r="AK871" i="1"/>
  <c r="AL871" i="1"/>
  <c r="AM871" i="1"/>
  <c r="AN871" i="1"/>
  <c r="AO871" i="1"/>
  <c r="AP871" i="1"/>
  <c r="AQ871" i="1"/>
  <c r="AR871" i="1"/>
  <c r="AB872" i="1"/>
  <c r="AC872" i="1"/>
  <c r="AD872" i="1"/>
  <c r="AE872" i="1"/>
  <c r="AF872" i="1"/>
  <c r="AG872" i="1"/>
  <c r="AH872" i="1"/>
  <c r="AI872" i="1"/>
  <c r="AJ872" i="1"/>
  <c r="AK872" i="1"/>
  <c r="AL872" i="1"/>
  <c r="AM872" i="1"/>
  <c r="AN872" i="1"/>
  <c r="AO872" i="1"/>
  <c r="AP872" i="1"/>
  <c r="AQ872" i="1"/>
  <c r="AR872" i="1"/>
  <c r="AB873" i="1"/>
  <c r="AC873" i="1"/>
  <c r="AD873" i="1"/>
  <c r="AE873" i="1"/>
  <c r="AF873" i="1"/>
  <c r="AG873" i="1"/>
  <c r="AH873" i="1"/>
  <c r="AI873" i="1"/>
  <c r="AJ873" i="1"/>
  <c r="AK873" i="1"/>
  <c r="AL873" i="1"/>
  <c r="AM873" i="1"/>
  <c r="AN873" i="1"/>
  <c r="AO873" i="1"/>
  <c r="AP873" i="1"/>
  <c r="AQ873" i="1"/>
  <c r="AR873" i="1"/>
  <c r="AB874" i="1"/>
  <c r="AC874" i="1"/>
  <c r="AD874" i="1"/>
  <c r="AE874" i="1"/>
  <c r="AF874" i="1"/>
  <c r="AG874" i="1"/>
  <c r="AH874" i="1"/>
  <c r="AI874" i="1"/>
  <c r="AJ874" i="1"/>
  <c r="AK874" i="1"/>
  <c r="AL874" i="1"/>
  <c r="AM874" i="1"/>
  <c r="AN874" i="1"/>
  <c r="AO874" i="1"/>
  <c r="AP874" i="1"/>
  <c r="AQ874" i="1"/>
  <c r="AR874" i="1"/>
  <c r="AB875" i="1"/>
  <c r="AC875" i="1"/>
  <c r="AD875" i="1"/>
  <c r="AE875" i="1"/>
  <c r="AF875" i="1"/>
  <c r="AG875" i="1"/>
  <c r="AH875" i="1"/>
  <c r="AI875" i="1"/>
  <c r="AJ875" i="1"/>
  <c r="AK875" i="1"/>
  <c r="AL875" i="1"/>
  <c r="AM875" i="1"/>
  <c r="AN875" i="1"/>
  <c r="AO875" i="1"/>
  <c r="AP875" i="1"/>
  <c r="AQ875" i="1"/>
  <c r="AR875" i="1"/>
  <c r="AB876" i="1"/>
  <c r="AC876" i="1"/>
  <c r="AD876" i="1"/>
  <c r="AE876" i="1"/>
  <c r="AF876" i="1"/>
  <c r="AG876" i="1"/>
  <c r="AH876" i="1"/>
  <c r="AI876" i="1"/>
  <c r="AJ876" i="1"/>
  <c r="AK876" i="1"/>
  <c r="AL876" i="1"/>
  <c r="AM876" i="1"/>
  <c r="AN876" i="1"/>
  <c r="AO876" i="1"/>
  <c r="AP876" i="1"/>
  <c r="AQ876" i="1"/>
  <c r="AR876" i="1"/>
  <c r="AB877" i="1"/>
  <c r="AC877" i="1"/>
  <c r="AD877" i="1"/>
  <c r="AE877" i="1"/>
  <c r="AF877" i="1"/>
  <c r="AG877" i="1"/>
  <c r="AH877" i="1"/>
  <c r="AI877" i="1"/>
  <c r="AJ877" i="1"/>
  <c r="AK877" i="1"/>
  <c r="AL877" i="1"/>
  <c r="AM877" i="1"/>
  <c r="AN877" i="1"/>
  <c r="AO877" i="1"/>
  <c r="AP877" i="1"/>
  <c r="AQ877" i="1"/>
  <c r="AR877" i="1"/>
  <c r="AB878" i="1"/>
  <c r="AC878" i="1"/>
  <c r="AD878" i="1"/>
  <c r="AE878" i="1"/>
  <c r="AF878" i="1"/>
  <c r="AG878" i="1"/>
  <c r="AH878" i="1"/>
  <c r="AI878" i="1"/>
  <c r="AJ878" i="1"/>
  <c r="AK878" i="1"/>
  <c r="AL878" i="1"/>
  <c r="AM878" i="1"/>
  <c r="AN878" i="1"/>
  <c r="AO878" i="1"/>
  <c r="AP878" i="1"/>
  <c r="AQ878" i="1"/>
  <c r="AR878" i="1"/>
  <c r="AB879" i="1"/>
  <c r="AC879" i="1"/>
  <c r="AD879" i="1"/>
  <c r="AE879" i="1"/>
  <c r="AF879" i="1"/>
  <c r="AG879" i="1"/>
  <c r="AH879" i="1"/>
  <c r="AI879" i="1"/>
  <c r="AJ879" i="1"/>
  <c r="AK879" i="1"/>
  <c r="AL879" i="1"/>
  <c r="AM879" i="1"/>
  <c r="AN879" i="1"/>
  <c r="AO879" i="1"/>
  <c r="AP879" i="1"/>
  <c r="AQ879" i="1"/>
  <c r="AR879" i="1"/>
  <c r="AB880" i="1"/>
  <c r="AC880" i="1"/>
  <c r="AD880" i="1"/>
  <c r="AE880" i="1"/>
  <c r="AF880" i="1"/>
  <c r="AG880" i="1"/>
  <c r="AH880" i="1"/>
  <c r="AI880" i="1"/>
  <c r="AJ880" i="1"/>
  <c r="AK880" i="1"/>
  <c r="AL880" i="1"/>
  <c r="AM880" i="1"/>
  <c r="AN880" i="1"/>
  <c r="AO880" i="1"/>
  <c r="AP880" i="1"/>
  <c r="AQ880" i="1"/>
  <c r="AR880" i="1"/>
  <c r="AB881" i="1"/>
  <c r="AC881" i="1"/>
  <c r="AD881" i="1"/>
  <c r="AE881" i="1"/>
  <c r="AF881" i="1"/>
  <c r="AG881" i="1"/>
  <c r="AH881" i="1"/>
  <c r="AI881" i="1"/>
  <c r="AJ881" i="1"/>
  <c r="AK881" i="1"/>
  <c r="AL881" i="1"/>
  <c r="AM881" i="1"/>
  <c r="AN881" i="1"/>
  <c r="AO881" i="1"/>
  <c r="AP881" i="1"/>
  <c r="AQ881" i="1"/>
  <c r="AR881" i="1"/>
  <c r="AB882" i="1"/>
  <c r="AC882" i="1"/>
  <c r="AD882" i="1"/>
  <c r="AE882" i="1"/>
  <c r="AF882" i="1"/>
  <c r="AG882" i="1"/>
  <c r="AH882" i="1"/>
  <c r="AI882" i="1"/>
  <c r="AJ882" i="1"/>
  <c r="AK882" i="1"/>
  <c r="AL882" i="1"/>
  <c r="AM882" i="1"/>
  <c r="AN882" i="1"/>
  <c r="AO882" i="1"/>
  <c r="AP882" i="1"/>
  <c r="AQ882" i="1"/>
  <c r="AR882" i="1"/>
  <c r="AB883" i="1"/>
  <c r="AC883" i="1"/>
  <c r="AD883" i="1"/>
  <c r="AE883" i="1"/>
  <c r="AF883" i="1"/>
  <c r="AG883" i="1"/>
  <c r="AH883" i="1"/>
  <c r="AI883" i="1"/>
  <c r="AJ883" i="1"/>
  <c r="AK883" i="1"/>
  <c r="AL883" i="1"/>
  <c r="AM883" i="1"/>
  <c r="AN883" i="1"/>
  <c r="AO883" i="1"/>
  <c r="AP883" i="1"/>
  <c r="AQ883" i="1"/>
  <c r="AR883" i="1"/>
  <c r="AB884" i="1"/>
  <c r="AC884" i="1"/>
  <c r="AD884" i="1"/>
  <c r="AE884" i="1"/>
  <c r="AF884" i="1"/>
  <c r="AG884" i="1"/>
  <c r="AH884" i="1"/>
  <c r="AI884" i="1"/>
  <c r="AJ884" i="1"/>
  <c r="AK884" i="1"/>
  <c r="AL884" i="1"/>
  <c r="AM884" i="1"/>
  <c r="AN884" i="1"/>
  <c r="AO884" i="1"/>
  <c r="AP884" i="1"/>
  <c r="AQ884" i="1"/>
  <c r="AR884" i="1"/>
  <c r="AB885" i="1"/>
  <c r="AC885" i="1"/>
  <c r="AD885" i="1"/>
  <c r="AE885" i="1"/>
  <c r="AF885" i="1"/>
  <c r="AG885" i="1"/>
  <c r="AH885" i="1"/>
  <c r="AI885" i="1"/>
  <c r="AJ885" i="1"/>
  <c r="AK885" i="1"/>
  <c r="AL885" i="1"/>
  <c r="AM885" i="1"/>
  <c r="AN885" i="1"/>
  <c r="AO885" i="1"/>
  <c r="AP885" i="1"/>
  <c r="AQ885" i="1"/>
  <c r="AR885" i="1"/>
  <c r="AB886" i="1"/>
  <c r="AC886" i="1"/>
  <c r="AD886" i="1"/>
  <c r="AE886" i="1"/>
  <c r="AF886" i="1"/>
  <c r="AG886" i="1"/>
  <c r="AH886" i="1"/>
  <c r="AI886" i="1"/>
  <c r="AJ886" i="1"/>
  <c r="AK886" i="1"/>
  <c r="AL886" i="1"/>
  <c r="AM886" i="1"/>
  <c r="AN886" i="1"/>
  <c r="AO886" i="1"/>
  <c r="AP886" i="1"/>
  <c r="AQ886" i="1"/>
  <c r="AR886" i="1"/>
  <c r="AB887" i="1"/>
  <c r="AC887" i="1"/>
  <c r="AD887" i="1"/>
  <c r="AE887" i="1"/>
  <c r="AF887" i="1"/>
  <c r="AG887" i="1"/>
  <c r="AH887" i="1"/>
  <c r="AI887" i="1"/>
  <c r="AJ887" i="1"/>
  <c r="AK887" i="1"/>
  <c r="AL887" i="1"/>
  <c r="AM887" i="1"/>
  <c r="AN887" i="1"/>
  <c r="AO887" i="1"/>
  <c r="AP887" i="1"/>
  <c r="AQ887" i="1"/>
  <c r="AR887" i="1"/>
  <c r="AB888" i="1"/>
  <c r="AC888" i="1"/>
  <c r="AD888" i="1"/>
  <c r="AE888" i="1"/>
  <c r="AF888" i="1"/>
  <c r="AG888" i="1"/>
  <c r="AH888" i="1"/>
  <c r="AI888" i="1"/>
  <c r="AJ888" i="1"/>
  <c r="AK888" i="1"/>
  <c r="AL888" i="1"/>
  <c r="AM888" i="1"/>
  <c r="AN888" i="1"/>
  <c r="AO888" i="1"/>
  <c r="AP888" i="1"/>
  <c r="AQ888" i="1"/>
  <c r="AR888" i="1"/>
  <c r="AB889" i="1"/>
  <c r="AC889" i="1"/>
  <c r="AD889" i="1"/>
  <c r="AE889" i="1"/>
  <c r="AF889" i="1"/>
  <c r="AG889" i="1"/>
  <c r="AH889" i="1"/>
  <c r="AI889" i="1"/>
  <c r="AJ889" i="1"/>
  <c r="AK889" i="1"/>
  <c r="AL889" i="1"/>
  <c r="AM889" i="1"/>
  <c r="AN889" i="1"/>
  <c r="AO889" i="1"/>
  <c r="AP889" i="1"/>
  <c r="AQ889" i="1"/>
  <c r="AR889" i="1"/>
  <c r="AB890" i="1"/>
  <c r="AC890" i="1"/>
  <c r="AD890" i="1"/>
  <c r="AE890" i="1"/>
  <c r="AF890" i="1"/>
  <c r="AG890" i="1"/>
  <c r="AH890" i="1"/>
  <c r="AI890" i="1"/>
  <c r="AJ890" i="1"/>
  <c r="AK890" i="1"/>
  <c r="AL890" i="1"/>
  <c r="AM890" i="1"/>
  <c r="AN890" i="1"/>
  <c r="AO890" i="1"/>
  <c r="AP890" i="1"/>
  <c r="AQ890" i="1"/>
  <c r="AR890" i="1"/>
  <c r="AB891" i="1"/>
  <c r="AC891" i="1"/>
  <c r="AD891" i="1"/>
  <c r="AE891" i="1"/>
  <c r="AF891" i="1"/>
  <c r="AG891" i="1"/>
  <c r="AH891" i="1"/>
  <c r="AI891" i="1"/>
  <c r="AJ891" i="1"/>
  <c r="AK891" i="1"/>
  <c r="AL891" i="1"/>
  <c r="AM891" i="1"/>
  <c r="AN891" i="1"/>
  <c r="AO891" i="1"/>
  <c r="AP891" i="1"/>
  <c r="AQ891" i="1"/>
  <c r="AR891" i="1"/>
  <c r="AB892" i="1"/>
  <c r="AC892" i="1"/>
  <c r="AD892" i="1"/>
  <c r="AE892" i="1"/>
  <c r="AF892" i="1"/>
  <c r="AG892" i="1"/>
  <c r="AH892" i="1"/>
  <c r="AI892" i="1"/>
  <c r="AJ892" i="1"/>
  <c r="AK892" i="1"/>
  <c r="AL892" i="1"/>
  <c r="AM892" i="1"/>
  <c r="AN892" i="1"/>
  <c r="AO892" i="1"/>
  <c r="AP892" i="1"/>
  <c r="AQ892" i="1"/>
  <c r="AR892" i="1"/>
  <c r="AB893" i="1"/>
  <c r="AC893" i="1"/>
  <c r="AD893" i="1"/>
  <c r="AE893" i="1"/>
  <c r="AF893" i="1"/>
  <c r="AG893" i="1"/>
  <c r="AH893" i="1"/>
  <c r="AI893" i="1"/>
  <c r="AJ893" i="1"/>
  <c r="AK893" i="1"/>
  <c r="AL893" i="1"/>
  <c r="AM893" i="1"/>
  <c r="AN893" i="1"/>
  <c r="AO893" i="1"/>
  <c r="AP893" i="1"/>
  <c r="AQ893" i="1"/>
  <c r="AR893" i="1"/>
  <c r="AB894" i="1"/>
  <c r="AC894" i="1"/>
  <c r="AD894" i="1"/>
  <c r="AE894" i="1"/>
  <c r="AF894" i="1"/>
  <c r="AG894" i="1"/>
  <c r="AH894" i="1"/>
  <c r="AI894" i="1"/>
  <c r="AJ894" i="1"/>
  <c r="AK894" i="1"/>
  <c r="AL894" i="1"/>
  <c r="AM894" i="1"/>
  <c r="AN894" i="1"/>
  <c r="AO894" i="1"/>
  <c r="AP894" i="1"/>
  <c r="AQ894" i="1"/>
  <c r="AR894" i="1"/>
  <c r="AB895" i="1"/>
  <c r="AC895" i="1"/>
  <c r="AD895" i="1"/>
  <c r="AE895" i="1"/>
  <c r="AF895" i="1"/>
  <c r="AG895" i="1"/>
  <c r="AH895" i="1"/>
  <c r="AI895" i="1"/>
  <c r="AJ895" i="1"/>
  <c r="AK895" i="1"/>
  <c r="AL895" i="1"/>
  <c r="AM895" i="1"/>
  <c r="AN895" i="1"/>
  <c r="AO895" i="1"/>
  <c r="AP895" i="1"/>
  <c r="AQ895" i="1"/>
  <c r="AR895" i="1"/>
  <c r="AB896" i="1"/>
  <c r="AC896" i="1"/>
  <c r="AD896" i="1"/>
  <c r="AE896" i="1"/>
  <c r="AF896" i="1"/>
  <c r="AG896" i="1"/>
  <c r="AH896" i="1"/>
  <c r="AI896" i="1"/>
  <c r="AJ896" i="1"/>
  <c r="AK896" i="1"/>
  <c r="AL896" i="1"/>
  <c r="AM896" i="1"/>
  <c r="AN896" i="1"/>
  <c r="AO896" i="1"/>
  <c r="AP896" i="1"/>
  <c r="AQ896" i="1"/>
  <c r="AR896" i="1"/>
  <c r="AB897" i="1"/>
  <c r="AC897" i="1"/>
  <c r="AD897" i="1"/>
  <c r="AE897" i="1"/>
  <c r="AF897" i="1"/>
  <c r="AG897" i="1"/>
  <c r="AH897" i="1"/>
  <c r="AI897" i="1"/>
  <c r="AJ897" i="1"/>
  <c r="AK897" i="1"/>
  <c r="AL897" i="1"/>
  <c r="AM897" i="1"/>
  <c r="AN897" i="1"/>
  <c r="AO897" i="1"/>
  <c r="AP897" i="1"/>
  <c r="AQ897" i="1"/>
  <c r="AR897" i="1"/>
  <c r="AB898" i="1"/>
  <c r="AC898" i="1"/>
  <c r="AD898" i="1"/>
  <c r="AE898" i="1"/>
  <c r="AF898" i="1"/>
  <c r="AG898" i="1"/>
  <c r="AH898" i="1"/>
  <c r="AI898" i="1"/>
  <c r="AJ898" i="1"/>
  <c r="AK898" i="1"/>
  <c r="AL898" i="1"/>
  <c r="AM898" i="1"/>
  <c r="AN898" i="1"/>
  <c r="AO898" i="1"/>
  <c r="AP898" i="1"/>
  <c r="AQ898" i="1"/>
  <c r="AR898" i="1"/>
  <c r="AB899" i="1"/>
  <c r="AC899" i="1"/>
  <c r="AD899" i="1"/>
  <c r="AE899" i="1"/>
  <c r="AF899" i="1"/>
  <c r="AG899" i="1"/>
  <c r="AH899" i="1"/>
  <c r="AI899" i="1"/>
  <c r="AJ899" i="1"/>
  <c r="AK899" i="1"/>
  <c r="AL899" i="1"/>
  <c r="AM899" i="1"/>
  <c r="AN899" i="1"/>
  <c r="AO899" i="1"/>
  <c r="AP899" i="1"/>
  <c r="AQ899" i="1"/>
  <c r="AR899" i="1"/>
  <c r="AB900" i="1"/>
  <c r="AC900" i="1"/>
  <c r="AD900" i="1"/>
  <c r="AE900" i="1"/>
  <c r="AF900" i="1"/>
  <c r="AG900" i="1"/>
  <c r="AH900" i="1"/>
  <c r="AI900" i="1"/>
  <c r="AJ900" i="1"/>
  <c r="AK900" i="1"/>
  <c r="AL900" i="1"/>
  <c r="AM900" i="1"/>
  <c r="AN900" i="1"/>
  <c r="AO900" i="1"/>
  <c r="AP900" i="1"/>
  <c r="AQ900" i="1"/>
  <c r="AR900" i="1"/>
  <c r="AB901" i="1"/>
  <c r="AC901" i="1"/>
  <c r="AD901" i="1"/>
  <c r="AE901" i="1"/>
  <c r="AF901" i="1"/>
  <c r="AG901" i="1"/>
  <c r="AH901" i="1"/>
  <c r="AI901" i="1"/>
  <c r="AJ901" i="1"/>
  <c r="AK901" i="1"/>
  <c r="AL901" i="1"/>
  <c r="AM901" i="1"/>
  <c r="AN901" i="1"/>
  <c r="AO901" i="1"/>
  <c r="AP901" i="1"/>
  <c r="AQ901" i="1"/>
  <c r="AR901" i="1"/>
  <c r="AB902" i="1"/>
  <c r="AC902" i="1"/>
  <c r="AD902" i="1"/>
  <c r="AE902" i="1"/>
  <c r="AF902" i="1"/>
  <c r="AG902" i="1"/>
  <c r="AH902" i="1"/>
  <c r="AI902" i="1"/>
  <c r="AJ902" i="1"/>
  <c r="AK902" i="1"/>
  <c r="AL902" i="1"/>
  <c r="AM902" i="1"/>
  <c r="AN902" i="1"/>
  <c r="AO902" i="1"/>
  <c r="AP902" i="1"/>
  <c r="AQ902" i="1"/>
  <c r="AR902" i="1"/>
  <c r="AB903" i="1"/>
  <c r="AC903" i="1"/>
  <c r="AD903" i="1"/>
  <c r="AE903" i="1"/>
  <c r="AF903" i="1"/>
  <c r="AG903" i="1"/>
  <c r="AH903" i="1"/>
  <c r="AI903" i="1"/>
  <c r="AJ903" i="1"/>
  <c r="AK903" i="1"/>
  <c r="AL903" i="1"/>
  <c r="AM903" i="1"/>
  <c r="AN903" i="1"/>
  <c r="AO903" i="1"/>
  <c r="AP903" i="1"/>
  <c r="AQ903" i="1"/>
  <c r="AR903" i="1"/>
  <c r="AB904" i="1"/>
  <c r="AC904" i="1"/>
  <c r="AD904" i="1"/>
  <c r="AE904" i="1"/>
  <c r="AF904" i="1"/>
  <c r="AG904" i="1"/>
  <c r="AH904" i="1"/>
  <c r="AI904" i="1"/>
  <c r="AJ904" i="1"/>
  <c r="AK904" i="1"/>
  <c r="AL904" i="1"/>
  <c r="AM904" i="1"/>
  <c r="AN904" i="1"/>
  <c r="AO904" i="1"/>
  <c r="AP904" i="1"/>
  <c r="AQ904" i="1"/>
  <c r="AR904" i="1"/>
  <c r="AB905" i="1"/>
  <c r="AC905" i="1"/>
  <c r="AD905" i="1"/>
  <c r="AE905" i="1"/>
  <c r="AF905" i="1"/>
  <c r="AG905" i="1"/>
  <c r="AH905" i="1"/>
  <c r="AI905" i="1"/>
  <c r="AJ905" i="1"/>
  <c r="AK905" i="1"/>
  <c r="AL905" i="1"/>
  <c r="AM905" i="1"/>
  <c r="AN905" i="1"/>
  <c r="AO905" i="1"/>
  <c r="AP905" i="1"/>
  <c r="AQ905" i="1"/>
  <c r="AR905" i="1"/>
  <c r="AB906" i="1"/>
  <c r="AC906" i="1"/>
  <c r="AD906" i="1"/>
  <c r="AE906" i="1"/>
  <c r="AF906" i="1"/>
  <c r="AG906" i="1"/>
  <c r="AH906" i="1"/>
  <c r="AI906" i="1"/>
  <c r="AJ906" i="1"/>
  <c r="AK906" i="1"/>
  <c r="AL906" i="1"/>
  <c r="AM906" i="1"/>
  <c r="AN906" i="1"/>
  <c r="AO906" i="1"/>
  <c r="AP906" i="1"/>
  <c r="AQ906" i="1"/>
  <c r="AR906" i="1"/>
  <c r="AB907" i="1"/>
  <c r="AC907" i="1"/>
  <c r="AD907" i="1"/>
  <c r="AE907" i="1"/>
  <c r="AF907" i="1"/>
  <c r="AG907" i="1"/>
  <c r="AH907" i="1"/>
  <c r="AI907" i="1"/>
  <c r="AJ907" i="1"/>
  <c r="AK907" i="1"/>
  <c r="AL907" i="1"/>
  <c r="AM907" i="1"/>
  <c r="AN907" i="1"/>
  <c r="AO907" i="1"/>
  <c r="AP907" i="1"/>
  <c r="AQ907" i="1"/>
  <c r="AR907" i="1"/>
  <c r="AB908" i="1"/>
  <c r="AC908" i="1"/>
  <c r="AD908" i="1"/>
  <c r="AE908" i="1"/>
  <c r="AF908" i="1"/>
  <c r="AG908" i="1"/>
  <c r="AH908" i="1"/>
  <c r="AI908" i="1"/>
  <c r="AJ908" i="1"/>
  <c r="AK908" i="1"/>
  <c r="AL908" i="1"/>
  <c r="AM908" i="1"/>
  <c r="AN908" i="1"/>
  <c r="AO908" i="1"/>
  <c r="AP908" i="1"/>
  <c r="AQ908" i="1"/>
  <c r="AR908" i="1"/>
  <c r="AB909" i="1"/>
  <c r="AC909" i="1"/>
  <c r="AD909" i="1"/>
  <c r="AE909" i="1"/>
  <c r="AF909" i="1"/>
  <c r="AG909" i="1"/>
  <c r="AH909" i="1"/>
  <c r="AI909" i="1"/>
  <c r="AJ909" i="1"/>
  <c r="AK909" i="1"/>
  <c r="AL909" i="1"/>
  <c r="AM909" i="1"/>
  <c r="AN909" i="1"/>
  <c r="AO909" i="1"/>
  <c r="AP909" i="1"/>
  <c r="AQ909" i="1"/>
  <c r="AR909" i="1"/>
  <c r="AB910" i="1"/>
  <c r="AC910" i="1"/>
  <c r="AD910" i="1"/>
  <c r="AE910" i="1"/>
  <c r="AF910" i="1"/>
  <c r="AG910" i="1"/>
  <c r="AH910" i="1"/>
  <c r="AI910" i="1"/>
  <c r="AJ910" i="1"/>
  <c r="AK910" i="1"/>
  <c r="AL910" i="1"/>
  <c r="AM910" i="1"/>
  <c r="AN910" i="1"/>
  <c r="AO910" i="1"/>
  <c r="AP910" i="1"/>
  <c r="AQ910" i="1"/>
  <c r="AR910" i="1"/>
  <c r="AB911" i="1"/>
  <c r="AC911" i="1"/>
  <c r="AD911" i="1"/>
  <c r="AE911" i="1"/>
  <c r="AF911" i="1"/>
  <c r="AG911" i="1"/>
  <c r="AH911" i="1"/>
  <c r="AI911" i="1"/>
  <c r="AJ911" i="1"/>
  <c r="AK911" i="1"/>
  <c r="AL911" i="1"/>
  <c r="AM911" i="1"/>
  <c r="AN911" i="1"/>
  <c r="AO911" i="1"/>
  <c r="AP911" i="1"/>
  <c r="AQ911" i="1"/>
  <c r="AR911" i="1"/>
  <c r="AB912" i="1"/>
  <c r="AC912" i="1"/>
  <c r="AD912" i="1"/>
  <c r="AE912" i="1"/>
  <c r="AF912" i="1"/>
  <c r="AG912" i="1"/>
  <c r="AH912" i="1"/>
  <c r="AI912" i="1"/>
  <c r="AJ912" i="1"/>
  <c r="AK912" i="1"/>
  <c r="AL912" i="1"/>
  <c r="AM912" i="1"/>
  <c r="AN912" i="1"/>
  <c r="AO912" i="1"/>
  <c r="AP912" i="1"/>
  <c r="AQ912" i="1"/>
  <c r="AR912" i="1"/>
  <c r="AB913" i="1"/>
  <c r="AC913" i="1"/>
  <c r="AD913" i="1"/>
  <c r="AE913" i="1"/>
  <c r="AF913" i="1"/>
  <c r="AG913" i="1"/>
  <c r="AH913" i="1"/>
  <c r="AI913" i="1"/>
  <c r="AJ913" i="1"/>
  <c r="AK913" i="1"/>
  <c r="AL913" i="1"/>
  <c r="AM913" i="1"/>
  <c r="AN913" i="1"/>
  <c r="AO913" i="1"/>
  <c r="AP913" i="1"/>
  <c r="AQ913" i="1"/>
  <c r="AR913" i="1"/>
  <c r="AB914" i="1"/>
  <c r="AC914" i="1"/>
  <c r="AD914" i="1"/>
  <c r="AE914" i="1"/>
  <c r="AF914" i="1"/>
  <c r="AG914" i="1"/>
  <c r="AH914" i="1"/>
  <c r="AI914" i="1"/>
  <c r="AJ914" i="1"/>
  <c r="AK914" i="1"/>
  <c r="AL914" i="1"/>
  <c r="AM914" i="1"/>
  <c r="AN914" i="1"/>
  <c r="AO914" i="1"/>
  <c r="AP914" i="1"/>
  <c r="AQ914" i="1"/>
  <c r="AR914" i="1"/>
  <c r="AB915" i="1"/>
  <c r="AC915" i="1"/>
  <c r="AD915" i="1"/>
  <c r="AE915" i="1"/>
  <c r="AF915" i="1"/>
  <c r="AG915" i="1"/>
  <c r="AH915" i="1"/>
  <c r="AI915" i="1"/>
  <c r="AJ915" i="1"/>
  <c r="AK915" i="1"/>
  <c r="AL915" i="1"/>
  <c r="AM915" i="1"/>
  <c r="AN915" i="1"/>
  <c r="AO915" i="1"/>
  <c r="AP915" i="1"/>
  <c r="AQ915" i="1"/>
  <c r="AR915" i="1"/>
  <c r="AB916" i="1"/>
  <c r="AC916" i="1"/>
  <c r="AD916" i="1"/>
  <c r="AE916" i="1"/>
  <c r="AF916" i="1"/>
  <c r="AG916" i="1"/>
  <c r="AH916" i="1"/>
  <c r="AI916" i="1"/>
  <c r="AJ916" i="1"/>
  <c r="AK916" i="1"/>
  <c r="AL916" i="1"/>
  <c r="AM916" i="1"/>
  <c r="AN916" i="1"/>
  <c r="AO916" i="1"/>
  <c r="AP916" i="1"/>
  <c r="AQ916" i="1"/>
  <c r="AR916" i="1"/>
  <c r="AB917" i="1"/>
  <c r="AC917" i="1"/>
  <c r="AD917" i="1"/>
  <c r="AE917" i="1"/>
  <c r="AF917" i="1"/>
  <c r="AG917" i="1"/>
  <c r="AH917" i="1"/>
  <c r="AI917" i="1"/>
  <c r="AJ917" i="1"/>
  <c r="AK917" i="1"/>
  <c r="AL917" i="1"/>
  <c r="AM917" i="1"/>
  <c r="AN917" i="1"/>
  <c r="AO917" i="1"/>
  <c r="AP917" i="1"/>
  <c r="AQ917" i="1"/>
  <c r="AR917" i="1"/>
  <c r="AB918" i="1"/>
  <c r="AC918" i="1"/>
  <c r="AD918" i="1"/>
  <c r="AE918" i="1"/>
  <c r="AF918" i="1"/>
  <c r="AG918" i="1"/>
  <c r="AH918" i="1"/>
  <c r="AI918" i="1"/>
  <c r="AJ918" i="1"/>
  <c r="AK918" i="1"/>
  <c r="AL918" i="1"/>
  <c r="AM918" i="1"/>
  <c r="AN918" i="1"/>
  <c r="AO918" i="1"/>
  <c r="AP918" i="1"/>
  <c r="AQ918" i="1"/>
  <c r="AR918" i="1"/>
  <c r="AB919" i="1"/>
  <c r="AC919" i="1"/>
  <c r="AD919" i="1"/>
  <c r="AE919" i="1"/>
  <c r="AF919" i="1"/>
  <c r="AG919" i="1"/>
  <c r="AH919" i="1"/>
  <c r="AI919" i="1"/>
  <c r="AJ919" i="1"/>
  <c r="AK919" i="1"/>
  <c r="AL919" i="1"/>
  <c r="AM919" i="1"/>
  <c r="AN919" i="1"/>
  <c r="AO919" i="1"/>
  <c r="AP919" i="1"/>
  <c r="AQ919" i="1"/>
  <c r="AR919" i="1"/>
  <c r="AB920" i="1"/>
  <c r="AC920" i="1"/>
  <c r="AD920" i="1"/>
  <c r="AE920" i="1"/>
  <c r="AF920" i="1"/>
  <c r="AG920" i="1"/>
  <c r="AH920" i="1"/>
  <c r="AI920" i="1"/>
  <c r="AJ920" i="1"/>
  <c r="AK920" i="1"/>
  <c r="AL920" i="1"/>
  <c r="AM920" i="1"/>
  <c r="AN920" i="1"/>
  <c r="AO920" i="1"/>
  <c r="AP920" i="1"/>
  <c r="AQ920" i="1"/>
  <c r="AR920" i="1"/>
  <c r="AB921" i="1"/>
  <c r="AC921" i="1"/>
  <c r="AD921" i="1"/>
  <c r="AE921" i="1"/>
  <c r="AF921" i="1"/>
  <c r="AG921" i="1"/>
  <c r="AH921" i="1"/>
  <c r="AI921" i="1"/>
  <c r="AJ921" i="1"/>
  <c r="AK921" i="1"/>
  <c r="AL921" i="1"/>
  <c r="AM921" i="1"/>
  <c r="AN921" i="1"/>
  <c r="AO921" i="1"/>
  <c r="AP921" i="1"/>
  <c r="AQ921" i="1"/>
  <c r="AR921" i="1"/>
  <c r="AB922" i="1"/>
  <c r="AC922" i="1"/>
  <c r="AD922" i="1"/>
  <c r="AE922" i="1"/>
  <c r="AF922" i="1"/>
  <c r="AG922" i="1"/>
  <c r="AH922" i="1"/>
  <c r="AI922" i="1"/>
  <c r="AJ922" i="1"/>
  <c r="AK922" i="1"/>
  <c r="AL922" i="1"/>
  <c r="AM922" i="1"/>
  <c r="AN922" i="1"/>
  <c r="AO922" i="1"/>
  <c r="AP922" i="1"/>
  <c r="AQ922" i="1"/>
  <c r="AR922" i="1"/>
  <c r="AB923" i="1"/>
  <c r="AC923" i="1"/>
  <c r="AD923" i="1"/>
  <c r="AE923" i="1"/>
  <c r="AF923" i="1"/>
  <c r="AG923" i="1"/>
  <c r="AH923" i="1"/>
  <c r="AI923" i="1"/>
  <c r="AJ923" i="1"/>
  <c r="AK923" i="1"/>
  <c r="AL923" i="1"/>
  <c r="AM923" i="1"/>
  <c r="AN923" i="1"/>
  <c r="AO923" i="1"/>
  <c r="AP923" i="1"/>
  <c r="AQ923" i="1"/>
  <c r="AR923" i="1"/>
  <c r="AB924" i="1"/>
  <c r="AC924" i="1"/>
  <c r="AD924" i="1"/>
  <c r="AE924" i="1"/>
  <c r="AF924" i="1"/>
  <c r="AG924" i="1"/>
  <c r="AH924" i="1"/>
  <c r="AI924" i="1"/>
  <c r="AJ924" i="1"/>
  <c r="AK924" i="1"/>
  <c r="AL924" i="1"/>
  <c r="AM924" i="1"/>
  <c r="AN924" i="1"/>
  <c r="AO924" i="1"/>
  <c r="AP924" i="1"/>
  <c r="AQ924" i="1"/>
  <c r="AR924" i="1"/>
  <c r="AB925" i="1"/>
  <c r="AC925" i="1"/>
  <c r="AD925" i="1"/>
  <c r="AE925" i="1"/>
  <c r="AF925" i="1"/>
  <c r="AG925" i="1"/>
  <c r="AH925" i="1"/>
  <c r="AI925" i="1"/>
  <c r="AJ925" i="1"/>
  <c r="AK925" i="1"/>
  <c r="AL925" i="1"/>
  <c r="AM925" i="1"/>
  <c r="AN925" i="1"/>
  <c r="AO925" i="1"/>
  <c r="AP925" i="1"/>
  <c r="AQ925" i="1"/>
  <c r="AR925" i="1"/>
  <c r="AB926" i="1"/>
  <c r="AC926" i="1"/>
  <c r="AD926" i="1"/>
  <c r="AE926" i="1"/>
  <c r="AF926" i="1"/>
  <c r="AG926" i="1"/>
  <c r="AH926" i="1"/>
  <c r="AI926" i="1"/>
  <c r="AJ926" i="1"/>
  <c r="AK926" i="1"/>
  <c r="AL926" i="1"/>
  <c r="AM926" i="1"/>
  <c r="AN926" i="1"/>
  <c r="AO926" i="1"/>
  <c r="AP926" i="1"/>
  <c r="AQ926" i="1"/>
  <c r="AR926" i="1"/>
  <c r="AB927" i="1"/>
  <c r="AC927" i="1"/>
  <c r="AD927" i="1"/>
  <c r="AE927" i="1"/>
  <c r="AF927" i="1"/>
  <c r="AG927" i="1"/>
  <c r="AH927" i="1"/>
  <c r="AI927" i="1"/>
  <c r="AJ927" i="1"/>
  <c r="AK927" i="1"/>
  <c r="AL927" i="1"/>
  <c r="AM927" i="1"/>
  <c r="AN927" i="1"/>
  <c r="AO927" i="1"/>
  <c r="AP927" i="1"/>
  <c r="AQ927" i="1"/>
  <c r="AR927" i="1"/>
  <c r="AB928" i="1"/>
  <c r="AC928" i="1"/>
  <c r="AD928" i="1"/>
  <c r="AE928" i="1"/>
  <c r="AF928" i="1"/>
  <c r="AG928" i="1"/>
  <c r="AH928" i="1"/>
  <c r="AI928" i="1"/>
  <c r="AJ928" i="1"/>
  <c r="AK928" i="1"/>
  <c r="AL928" i="1"/>
  <c r="AM928" i="1"/>
  <c r="AN928" i="1"/>
  <c r="AO928" i="1"/>
  <c r="AP928" i="1"/>
  <c r="AQ928" i="1"/>
  <c r="AR928" i="1"/>
  <c r="AB929" i="1"/>
  <c r="AC929" i="1"/>
  <c r="AD929" i="1"/>
  <c r="AE929" i="1"/>
  <c r="AF929" i="1"/>
  <c r="AG929" i="1"/>
  <c r="AH929" i="1"/>
  <c r="AI929" i="1"/>
  <c r="AJ929" i="1"/>
  <c r="AK929" i="1"/>
  <c r="AL929" i="1"/>
  <c r="AM929" i="1"/>
  <c r="AN929" i="1"/>
  <c r="AO929" i="1"/>
  <c r="AP929" i="1"/>
  <c r="AQ929" i="1"/>
  <c r="AR929" i="1"/>
  <c r="AB930" i="1"/>
  <c r="AC930" i="1"/>
  <c r="AD930" i="1"/>
  <c r="AE930" i="1"/>
  <c r="AF930" i="1"/>
  <c r="AG930" i="1"/>
  <c r="AH930" i="1"/>
  <c r="AI930" i="1"/>
  <c r="AJ930" i="1"/>
  <c r="AK930" i="1"/>
  <c r="AL930" i="1"/>
  <c r="AM930" i="1"/>
  <c r="AN930" i="1"/>
  <c r="AO930" i="1"/>
  <c r="AP930" i="1"/>
  <c r="AQ930" i="1"/>
  <c r="AR930" i="1"/>
  <c r="AB931" i="1"/>
  <c r="AC931" i="1"/>
  <c r="AD931" i="1"/>
  <c r="AE931" i="1"/>
  <c r="AF931" i="1"/>
  <c r="AG931" i="1"/>
  <c r="AH931" i="1"/>
  <c r="AI931" i="1"/>
  <c r="AJ931" i="1"/>
  <c r="AK931" i="1"/>
  <c r="AL931" i="1"/>
  <c r="AM931" i="1"/>
  <c r="AN931" i="1"/>
  <c r="AO931" i="1"/>
  <c r="AP931" i="1"/>
  <c r="AQ931" i="1"/>
  <c r="AR931" i="1"/>
  <c r="AB932" i="1"/>
  <c r="AC932" i="1"/>
  <c r="AD932" i="1"/>
  <c r="AE932" i="1"/>
  <c r="AF932" i="1"/>
  <c r="AG932" i="1"/>
  <c r="AH932" i="1"/>
  <c r="AI932" i="1"/>
  <c r="AJ932" i="1"/>
  <c r="AK932" i="1"/>
  <c r="AL932" i="1"/>
  <c r="AM932" i="1"/>
  <c r="AN932" i="1"/>
  <c r="AO932" i="1"/>
  <c r="AP932" i="1"/>
  <c r="AQ932" i="1"/>
  <c r="AR932" i="1"/>
  <c r="AB933" i="1"/>
  <c r="AC933" i="1"/>
  <c r="AD933" i="1"/>
  <c r="AE933" i="1"/>
  <c r="AF933" i="1"/>
  <c r="AG933" i="1"/>
  <c r="AH933" i="1"/>
  <c r="AI933" i="1"/>
  <c r="AJ933" i="1"/>
  <c r="AK933" i="1"/>
  <c r="AL933" i="1"/>
  <c r="AM933" i="1"/>
  <c r="AN933" i="1"/>
  <c r="AO933" i="1"/>
  <c r="AP933" i="1"/>
  <c r="AQ933" i="1"/>
  <c r="AR933" i="1"/>
  <c r="AB934" i="1"/>
  <c r="AC934" i="1"/>
  <c r="AD934" i="1"/>
  <c r="AE934" i="1"/>
  <c r="AF934" i="1"/>
  <c r="AG934" i="1"/>
  <c r="AH934" i="1"/>
  <c r="AI934" i="1"/>
  <c r="AJ934" i="1"/>
  <c r="AK934" i="1"/>
  <c r="AL934" i="1"/>
  <c r="AM934" i="1"/>
  <c r="AN934" i="1"/>
  <c r="AO934" i="1"/>
  <c r="AP934" i="1"/>
  <c r="AQ934" i="1"/>
  <c r="AR934" i="1"/>
  <c r="AB935" i="1"/>
  <c r="AC935" i="1"/>
  <c r="AD935" i="1"/>
  <c r="AE935" i="1"/>
  <c r="AF935" i="1"/>
  <c r="AG935" i="1"/>
  <c r="AH935" i="1"/>
  <c r="AI935" i="1"/>
  <c r="AJ935" i="1"/>
  <c r="AK935" i="1"/>
  <c r="AL935" i="1"/>
  <c r="AM935" i="1"/>
  <c r="AN935" i="1"/>
  <c r="AO935" i="1"/>
  <c r="AP935" i="1"/>
  <c r="AQ935" i="1"/>
  <c r="AR935" i="1"/>
  <c r="AB936" i="1"/>
  <c r="AC936" i="1"/>
  <c r="AD936" i="1"/>
  <c r="AE936" i="1"/>
  <c r="AF936" i="1"/>
  <c r="AG936" i="1"/>
  <c r="AH936" i="1"/>
  <c r="AI936" i="1"/>
  <c r="AJ936" i="1"/>
  <c r="AK936" i="1"/>
  <c r="AL936" i="1"/>
  <c r="AM936" i="1"/>
  <c r="AN936" i="1"/>
  <c r="AO936" i="1"/>
  <c r="AP936" i="1"/>
  <c r="AQ936" i="1"/>
  <c r="AR936" i="1"/>
  <c r="AB937" i="1"/>
  <c r="AC937" i="1"/>
  <c r="AD937" i="1"/>
  <c r="AE937" i="1"/>
  <c r="AF937" i="1"/>
  <c r="AG937" i="1"/>
  <c r="AH937" i="1"/>
  <c r="AI937" i="1"/>
  <c r="AJ937" i="1"/>
  <c r="AK937" i="1"/>
  <c r="AL937" i="1"/>
  <c r="AM937" i="1"/>
  <c r="AN937" i="1"/>
  <c r="AO937" i="1"/>
  <c r="AP937" i="1"/>
  <c r="AQ937" i="1"/>
  <c r="AR937" i="1"/>
  <c r="AB938" i="1"/>
  <c r="AC938" i="1"/>
  <c r="AD938" i="1"/>
  <c r="AE938" i="1"/>
  <c r="AF938" i="1"/>
  <c r="AG938" i="1"/>
  <c r="AH938" i="1"/>
  <c r="AI938" i="1"/>
  <c r="AJ938" i="1"/>
  <c r="AK938" i="1"/>
  <c r="AL938" i="1"/>
  <c r="AM938" i="1"/>
  <c r="AN938" i="1"/>
  <c r="AO938" i="1"/>
  <c r="AP938" i="1"/>
  <c r="AQ938" i="1"/>
  <c r="AR938" i="1"/>
  <c r="AB939" i="1"/>
  <c r="AC939" i="1"/>
  <c r="AD939" i="1"/>
  <c r="AE939" i="1"/>
  <c r="AF939" i="1"/>
  <c r="AG939" i="1"/>
  <c r="AH939" i="1"/>
  <c r="AI939" i="1"/>
  <c r="AJ939" i="1"/>
  <c r="AK939" i="1"/>
  <c r="AL939" i="1"/>
  <c r="AM939" i="1"/>
  <c r="AN939" i="1"/>
  <c r="AO939" i="1"/>
  <c r="AP939" i="1"/>
  <c r="AQ939" i="1"/>
  <c r="AR939" i="1"/>
  <c r="AB940" i="1"/>
  <c r="AC940" i="1"/>
  <c r="AD940" i="1"/>
  <c r="AE940" i="1"/>
  <c r="AF940" i="1"/>
  <c r="AG940" i="1"/>
  <c r="AH940" i="1"/>
  <c r="AI940" i="1"/>
  <c r="AJ940" i="1"/>
  <c r="AK940" i="1"/>
  <c r="AL940" i="1"/>
  <c r="AM940" i="1"/>
  <c r="AN940" i="1"/>
  <c r="AO940" i="1"/>
  <c r="AP940" i="1"/>
  <c r="AQ940" i="1"/>
  <c r="AR940" i="1"/>
  <c r="AB941" i="1"/>
  <c r="AC941" i="1"/>
  <c r="AD941" i="1"/>
  <c r="AE941" i="1"/>
  <c r="AF941" i="1"/>
  <c r="AG941" i="1"/>
  <c r="AH941" i="1"/>
  <c r="AI941" i="1"/>
  <c r="AJ941" i="1"/>
  <c r="AK941" i="1"/>
  <c r="AL941" i="1"/>
  <c r="AM941" i="1"/>
  <c r="AN941" i="1"/>
  <c r="AO941" i="1"/>
  <c r="AP941" i="1"/>
  <c r="AQ941" i="1"/>
  <c r="AR941" i="1"/>
  <c r="AB942" i="1"/>
  <c r="AC942" i="1"/>
  <c r="AD942" i="1"/>
  <c r="AE942" i="1"/>
  <c r="AF942" i="1"/>
  <c r="AG942" i="1"/>
  <c r="AH942" i="1"/>
  <c r="AI942" i="1"/>
  <c r="AJ942" i="1"/>
  <c r="AK942" i="1"/>
  <c r="AL942" i="1"/>
  <c r="AM942" i="1"/>
  <c r="AN942" i="1"/>
  <c r="AO942" i="1"/>
  <c r="AP942" i="1"/>
  <c r="AQ942" i="1"/>
  <c r="AR942" i="1"/>
  <c r="AB943" i="1"/>
  <c r="AC943" i="1"/>
  <c r="AD943" i="1"/>
  <c r="AE943" i="1"/>
  <c r="AF943" i="1"/>
  <c r="AG943" i="1"/>
  <c r="AH943" i="1"/>
  <c r="AI943" i="1"/>
  <c r="AJ943" i="1"/>
  <c r="AK943" i="1"/>
  <c r="AL943" i="1"/>
  <c r="AM943" i="1"/>
  <c r="AN943" i="1"/>
  <c r="AO943" i="1"/>
  <c r="AP943" i="1"/>
  <c r="AQ943" i="1"/>
  <c r="AR943" i="1"/>
  <c r="AB944" i="1"/>
  <c r="AC944" i="1"/>
  <c r="AD944" i="1"/>
  <c r="AE944" i="1"/>
  <c r="AF944" i="1"/>
  <c r="AG944" i="1"/>
  <c r="AH944" i="1"/>
  <c r="AI944" i="1"/>
  <c r="AJ944" i="1"/>
  <c r="AK944" i="1"/>
  <c r="AL944" i="1"/>
  <c r="AM944" i="1"/>
  <c r="AN944" i="1"/>
  <c r="AO944" i="1"/>
  <c r="AP944" i="1"/>
  <c r="AQ944" i="1"/>
  <c r="AR944" i="1"/>
  <c r="AB945" i="1"/>
  <c r="AC945" i="1"/>
  <c r="AD945" i="1"/>
  <c r="AE945" i="1"/>
  <c r="AF945" i="1"/>
  <c r="AG945" i="1"/>
  <c r="AH945" i="1"/>
  <c r="AI945" i="1"/>
  <c r="AJ945" i="1"/>
  <c r="AK945" i="1"/>
  <c r="AL945" i="1"/>
  <c r="AM945" i="1"/>
  <c r="AN945" i="1"/>
  <c r="AO945" i="1"/>
  <c r="AP945" i="1"/>
  <c r="AQ945" i="1"/>
  <c r="AR945" i="1"/>
  <c r="AB946" i="1"/>
  <c r="AC946" i="1"/>
  <c r="AD946" i="1"/>
  <c r="AE946" i="1"/>
  <c r="AF946" i="1"/>
  <c r="AG946" i="1"/>
  <c r="AH946" i="1"/>
  <c r="AI946" i="1"/>
  <c r="AJ946" i="1"/>
  <c r="AK946" i="1"/>
  <c r="AL946" i="1"/>
  <c r="AM946" i="1"/>
  <c r="AN946" i="1"/>
  <c r="AO946" i="1"/>
  <c r="AP946" i="1"/>
  <c r="AQ946" i="1"/>
  <c r="AR946" i="1"/>
  <c r="AB947" i="1"/>
  <c r="AC947" i="1"/>
  <c r="AD947" i="1"/>
  <c r="AE947" i="1"/>
  <c r="AF947" i="1"/>
  <c r="AG947" i="1"/>
  <c r="AH947" i="1"/>
  <c r="AI947" i="1"/>
  <c r="AJ947" i="1"/>
  <c r="AK947" i="1"/>
  <c r="AL947" i="1"/>
  <c r="AM947" i="1"/>
  <c r="AN947" i="1"/>
  <c r="AO947" i="1"/>
  <c r="AP947" i="1"/>
  <c r="AQ947" i="1"/>
  <c r="AR947" i="1"/>
  <c r="AB948" i="1"/>
  <c r="AC948" i="1"/>
  <c r="AD948" i="1"/>
  <c r="AE948" i="1"/>
  <c r="AF948" i="1"/>
  <c r="AG948" i="1"/>
  <c r="AH948" i="1"/>
  <c r="AI948" i="1"/>
  <c r="AJ948" i="1"/>
  <c r="AK948" i="1"/>
  <c r="AL948" i="1"/>
  <c r="AM948" i="1"/>
  <c r="AN948" i="1"/>
  <c r="AO948" i="1"/>
  <c r="AP948" i="1"/>
  <c r="AQ948" i="1"/>
  <c r="AR948" i="1"/>
  <c r="AB949" i="1"/>
  <c r="AC949" i="1"/>
  <c r="AD949" i="1"/>
  <c r="AE949" i="1"/>
  <c r="AF949" i="1"/>
  <c r="AG949" i="1"/>
  <c r="AH949" i="1"/>
  <c r="AI949" i="1"/>
  <c r="AJ949" i="1"/>
  <c r="AK949" i="1"/>
  <c r="AL949" i="1"/>
  <c r="AM949" i="1"/>
  <c r="AN949" i="1"/>
  <c r="AO949" i="1"/>
  <c r="AP949" i="1"/>
  <c r="AQ949" i="1"/>
  <c r="AR949" i="1"/>
  <c r="AB950" i="1"/>
  <c r="AC950" i="1"/>
  <c r="AD950" i="1"/>
  <c r="AE950" i="1"/>
  <c r="AF950" i="1"/>
  <c r="AG950" i="1"/>
  <c r="AH950" i="1"/>
  <c r="AI950" i="1"/>
  <c r="AJ950" i="1"/>
  <c r="AK950" i="1"/>
  <c r="AL950" i="1"/>
  <c r="AM950" i="1"/>
  <c r="AN950" i="1"/>
  <c r="AO950" i="1"/>
  <c r="AP950" i="1"/>
  <c r="AQ950" i="1"/>
  <c r="AR950" i="1"/>
  <c r="AB951" i="1"/>
  <c r="AC951" i="1"/>
  <c r="AD951" i="1"/>
  <c r="AE951" i="1"/>
  <c r="AF951" i="1"/>
  <c r="AG951" i="1"/>
  <c r="AH951" i="1"/>
  <c r="AI951" i="1"/>
  <c r="AJ951" i="1"/>
  <c r="AK951" i="1"/>
  <c r="AL951" i="1"/>
  <c r="AM951" i="1"/>
  <c r="AN951" i="1"/>
  <c r="AO951" i="1"/>
  <c r="AP951" i="1"/>
  <c r="AQ951" i="1"/>
  <c r="AR951" i="1"/>
  <c r="AB952" i="1"/>
  <c r="AC952" i="1"/>
  <c r="AD952" i="1"/>
  <c r="AE952" i="1"/>
  <c r="AF952" i="1"/>
  <c r="AG952" i="1"/>
  <c r="AH952" i="1"/>
  <c r="AI952" i="1"/>
  <c r="AJ952" i="1"/>
  <c r="AK952" i="1"/>
  <c r="AL952" i="1"/>
  <c r="AM952" i="1"/>
  <c r="AN952" i="1"/>
  <c r="AO952" i="1"/>
  <c r="AP952" i="1"/>
  <c r="AQ952" i="1"/>
  <c r="AR952" i="1"/>
  <c r="AB953" i="1"/>
  <c r="AC953" i="1"/>
  <c r="AD953" i="1"/>
  <c r="AE953" i="1"/>
  <c r="AF953" i="1"/>
  <c r="AG953" i="1"/>
  <c r="AH953" i="1"/>
  <c r="AI953" i="1"/>
  <c r="AJ953" i="1"/>
  <c r="AK953" i="1"/>
  <c r="AL953" i="1"/>
  <c r="AM953" i="1"/>
  <c r="AN953" i="1"/>
  <c r="AO953" i="1"/>
  <c r="AP953" i="1"/>
  <c r="AQ953" i="1"/>
  <c r="AR953" i="1"/>
  <c r="AB954" i="1"/>
  <c r="AC954" i="1"/>
  <c r="AD954" i="1"/>
  <c r="AE954" i="1"/>
  <c r="AF954" i="1"/>
  <c r="AG954" i="1"/>
  <c r="AH954" i="1"/>
  <c r="AI954" i="1"/>
  <c r="AJ954" i="1"/>
  <c r="AK954" i="1"/>
  <c r="AL954" i="1"/>
  <c r="AM954" i="1"/>
  <c r="AN954" i="1"/>
  <c r="AO954" i="1"/>
  <c r="AP954" i="1"/>
  <c r="AQ954" i="1"/>
  <c r="AR954" i="1"/>
  <c r="AB955" i="1"/>
  <c r="AC955" i="1"/>
  <c r="AD955" i="1"/>
  <c r="AE955" i="1"/>
  <c r="AF955" i="1"/>
  <c r="AG955" i="1"/>
  <c r="AH955" i="1"/>
  <c r="AI955" i="1"/>
  <c r="AJ955" i="1"/>
  <c r="AK955" i="1"/>
  <c r="AL955" i="1"/>
  <c r="AM955" i="1"/>
  <c r="AN955" i="1"/>
  <c r="AO955" i="1"/>
  <c r="AP955" i="1"/>
  <c r="AQ955" i="1"/>
  <c r="AR955" i="1"/>
  <c r="AB956" i="1"/>
  <c r="AC956" i="1"/>
  <c r="AD956" i="1"/>
  <c r="AE956" i="1"/>
  <c r="AF956" i="1"/>
  <c r="AG956" i="1"/>
  <c r="AH956" i="1"/>
  <c r="AI956" i="1"/>
  <c r="AJ956" i="1"/>
  <c r="AK956" i="1"/>
  <c r="AL956" i="1"/>
  <c r="AM956" i="1"/>
  <c r="AN956" i="1"/>
  <c r="AO956" i="1"/>
  <c r="AP956" i="1"/>
  <c r="AQ956" i="1"/>
  <c r="AR956" i="1"/>
  <c r="AB957" i="1"/>
  <c r="AC957" i="1"/>
  <c r="AD957" i="1"/>
  <c r="AE957" i="1"/>
  <c r="AF957" i="1"/>
  <c r="AG957" i="1"/>
  <c r="AH957" i="1"/>
  <c r="AI957" i="1"/>
  <c r="AJ957" i="1"/>
  <c r="AK957" i="1"/>
  <c r="AL957" i="1"/>
  <c r="AM957" i="1"/>
  <c r="AN957" i="1"/>
  <c r="AO957" i="1"/>
  <c r="AP957" i="1"/>
  <c r="AQ957" i="1"/>
  <c r="AR957" i="1"/>
  <c r="AB958" i="1"/>
  <c r="AC958" i="1"/>
  <c r="AD958" i="1"/>
  <c r="AE958" i="1"/>
  <c r="AF958" i="1"/>
  <c r="AG958" i="1"/>
  <c r="AH958" i="1"/>
  <c r="AI958" i="1"/>
  <c r="AJ958" i="1"/>
  <c r="AK958" i="1"/>
  <c r="AL958" i="1"/>
  <c r="AM958" i="1"/>
  <c r="AN958" i="1"/>
  <c r="AO958" i="1"/>
  <c r="AP958" i="1"/>
  <c r="AQ958" i="1"/>
  <c r="AR958" i="1"/>
  <c r="AB959" i="1"/>
  <c r="AC959" i="1"/>
  <c r="AD959" i="1"/>
  <c r="AE959" i="1"/>
  <c r="AF959" i="1"/>
  <c r="AG959" i="1"/>
  <c r="AH959" i="1"/>
  <c r="AI959" i="1"/>
  <c r="AJ959" i="1"/>
  <c r="AK959" i="1"/>
  <c r="AL959" i="1"/>
  <c r="AM959" i="1"/>
  <c r="AN959" i="1"/>
  <c r="AO959" i="1"/>
  <c r="AP959" i="1"/>
  <c r="AQ959" i="1"/>
  <c r="AR959" i="1"/>
  <c r="AB960" i="1"/>
  <c r="AC960" i="1"/>
  <c r="AD960" i="1"/>
  <c r="AE960" i="1"/>
  <c r="AF960" i="1"/>
  <c r="AG960" i="1"/>
  <c r="AH960" i="1"/>
  <c r="AI960" i="1"/>
  <c r="AJ960" i="1"/>
  <c r="AK960" i="1"/>
  <c r="AL960" i="1"/>
  <c r="AM960" i="1"/>
  <c r="AN960" i="1"/>
  <c r="AO960" i="1"/>
  <c r="AP960" i="1"/>
  <c r="AQ960" i="1"/>
  <c r="AR960" i="1"/>
  <c r="AB961" i="1"/>
  <c r="AC961" i="1"/>
  <c r="AD961" i="1"/>
  <c r="AE961" i="1"/>
  <c r="AF961" i="1"/>
  <c r="AG961" i="1"/>
  <c r="AH961" i="1"/>
  <c r="AI961" i="1"/>
  <c r="AJ961" i="1"/>
  <c r="AK961" i="1"/>
  <c r="AL961" i="1"/>
  <c r="AM961" i="1"/>
  <c r="AN961" i="1"/>
  <c r="AO961" i="1"/>
  <c r="AP961" i="1"/>
  <c r="AQ961" i="1"/>
  <c r="AR961" i="1"/>
  <c r="AB962" i="1"/>
  <c r="AC962" i="1"/>
  <c r="AD962" i="1"/>
  <c r="AE962" i="1"/>
  <c r="AF962" i="1"/>
  <c r="AG962" i="1"/>
  <c r="AH962" i="1"/>
  <c r="AI962" i="1"/>
  <c r="AJ962" i="1"/>
  <c r="AK962" i="1"/>
  <c r="AL962" i="1"/>
  <c r="AM962" i="1"/>
  <c r="AN962" i="1"/>
  <c r="AO962" i="1"/>
  <c r="AP962" i="1"/>
  <c r="AQ962" i="1"/>
  <c r="AR962" i="1"/>
  <c r="AB963" i="1"/>
  <c r="AC963" i="1"/>
  <c r="AD963" i="1"/>
  <c r="AE963" i="1"/>
  <c r="AF963" i="1"/>
  <c r="AG963" i="1"/>
  <c r="AH963" i="1"/>
  <c r="AI963" i="1"/>
  <c r="AJ963" i="1"/>
  <c r="AK963" i="1"/>
  <c r="AL963" i="1"/>
  <c r="AM963" i="1"/>
  <c r="AN963" i="1"/>
  <c r="AO963" i="1"/>
  <c r="AP963" i="1"/>
  <c r="AQ963" i="1"/>
  <c r="AR963" i="1"/>
  <c r="AB964" i="1"/>
  <c r="AC964" i="1"/>
  <c r="AD964" i="1"/>
  <c r="AE964" i="1"/>
  <c r="AF964" i="1"/>
  <c r="AG964" i="1"/>
  <c r="AH964" i="1"/>
  <c r="AI964" i="1"/>
  <c r="AJ964" i="1"/>
  <c r="AK964" i="1"/>
  <c r="AL964" i="1"/>
  <c r="AM964" i="1"/>
  <c r="AN964" i="1"/>
  <c r="AO964" i="1"/>
  <c r="AP964" i="1"/>
  <c r="AQ964" i="1"/>
  <c r="AR964" i="1"/>
  <c r="AB965" i="1"/>
  <c r="AC965" i="1"/>
  <c r="AD965" i="1"/>
  <c r="AE965" i="1"/>
  <c r="AF965" i="1"/>
  <c r="AG965" i="1"/>
  <c r="AH965" i="1"/>
  <c r="AI965" i="1"/>
  <c r="AJ965" i="1"/>
  <c r="AK965" i="1"/>
  <c r="AL965" i="1"/>
  <c r="AM965" i="1"/>
  <c r="AN965" i="1"/>
  <c r="AO965" i="1"/>
  <c r="AP965" i="1"/>
  <c r="AQ965" i="1"/>
  <c r="AR965" i="1"/>
  <c r="AB966" i="1"/>
  <c r="AC966" i="1"/>
  <c r="AD966" i="1"/>
  <c r="AE966" i="1"/>
  <c r="AF966" i="1"/>
  <c r="AG966" i="1"/>
  <c r="AH966" i="1"/>
  <c r="AI966" i="1"/>
  <c r="AJ966" i="1"/>
  <c r="AK966" i="1"/>
  <c r="AL966" i="1"/>
  <c r="AM966" i="1"/>
  <c r="AN966" i="1"/>
  <c r="AO966" i="1"/>
  <c r="AP966" i="1"/>
  <c r="AQ966" i="1"/>
  <c r="AR966" i="1"/>
  <c r="AB967" i="1"/>
  <c r="AC967" i="1"/>
  <c r="AD967" i="1"/>
  <c r="AE967" i="1"/>
  <c r="AF967" i="1"/>
  <c r="AG967" i="1"/>
  <c r="AH967" i="1"/>
  <c r="AI967" i="1"/>
  <c r="AJ967" i="1"/>
  <c r="AK967" i="1"/>
  <c r="AL967" i="1"/>
  <c r="AM967" i="1"/>
  <c r="AN967" i="1"/>
  <c r="AO967" i="1"/>
  <c r="AP967" i="1"/>
  <c r="AQ967" i="1"/>
  <c r="AR967" i="1"/>
  <c r="AB968" i="1"/>
  <c r="AC968" i="1"/>
  <c r="AD968" i="1"/>
  <c r="AE968" i="1"/>
  <c r="AF968" i="1"/>
  <c r="AG968" i="1"/>
  <c r="AH968" i="1"/>
  <c r="AI968" i="1"/>
  <c r="AJ968" i="1"/>
  <c r="AK968" i="1"/>
  <c r="AL968" i="1"/>
  <c r="AM968" i="1"/>
  <c r="AN968" i="1"/>
  <c r="AO968" i="1"/>
  <c r="AP968" i="1"/>
  <c r="AQ968" i="1"/>
  <c r="AR968" i="1"/>
  <c r="AB969" i="1"/>
  <c r="AC969" i="1"/>
  <c r="AD969" i="1"/>
  <c r="AE969" i="1"/>
  <c r="AF969" i="1"/>
  <c r="AG969" i="1"/>
  <c r="AH969" i="1"/>
  <c r="AI969" i="1"/>
  <c r="AJ969" i="1"/>
  <c r="AK969" i="1"/>
  <c r="AL969" i="1"/>
  <c r="AM969" i="1"/>
  <c r="AN969" i="1"/>
  <c r="AO969" i="1"/>
  <c r="AP969" i="1"/>
  <c r="AQ969" i="1"/>
  <c r="AR969" i="1"/>
  <c r="AB970" i="1"/>
  <c r="AC970" i="1"/>
  <c r="AD970" i="1"/>
  <c r="AE970" i="1"/>
  <c r="AF970" i="1"/>
  <c r="AG970" i="1"/>
  <c r="AH970" i="1"/>
  <c r="AI970" i="1"/>
  <c r="AJ970" i="1"/>
  <c r="AK970" i="1"/>
  <c r="AL970" i="1"/>
  <c r="AM970" i="1"/>
  <c r="AN970" i="1"/>
  <c r="AO970" i="1"/>
  <c r="AP970" i="1"/>
  <c r="AQ970" i="1"/>
  <c r="AR970" i="1"/>
  <c r="AB971" i="1"/>
  <c r="AC971" i="1"/>
  <c r="AD971" i="1"/>
  <c r="AE971" i="1"/>
  <c r="AF971" i="1"/>
  <c r="AG971" i="1"/>
  <c r="AH971" i="1"/>
  <c r="AI971" i="1"/>
  <c r="AJ971" i="1"/>
  <c r="AK971" i="1"/>
  <c r="AL971" i="1"/>
  <c r="AM971" i="1"/>
  <c r="AN971" i="1"/>
  <c r="AO971" i="1"/>
  <c r="AP971" i="1"/>
  <c r="AQ971" i="1"/>
  <c r="AR971" i="1"/>
  <c r="AB972" i="1"/>
  <c r="AC972" i="1"/>
  <c r="AD972" i="1"/>
  <c r="AE972" i="1"/>
  <c r="AF972" i="1"/>
  <c r="AG972" i="1"/>
  <c r="AH972" i="1"/>
  <c r="AI972" i="1"/>
  <c r="AJ972" i="1"/>
  <c r="AK972" i="1"/>
  <c r="AL972" i="1"/>
  <c r="AM972" i="1"/>
  <c r="AN972" i="1"/>
  <c r="AO972" i="1"/>
  <c r="AP972" i="1"/>
  <c r="AQ972" i="1"/>
  <c r="AR972" i="1"/>
  <c r="AB973" i="1"/>
  <c r="AC973" i="1"/>
  <c r="AD973" i="1"/>
  <c r="AE973" i="1"/>
  <c r="AF973" i="1"/>
  <c r="AG973" i="1"/>
  <c r="AH973" i="1"/>
  <c r="AI973" i="1"/>
  <c r="AJ973" i="1"/>
  <c r="AK973" i="1"/>
  <c r="AL973" i="1"/>
  <c r="AM973" i="1"/>
  <c r="AN973" i="1"/>
  <c r="AO973" i="1"/>
  <c r="AP973" i="1"/>
  <c r="AQ973" i="1"/>
  <c r="AR973" i="1"/>
  <c r="AB974" i="1"/>
  <c r="AC974" i="1"/>
  <c r="AD974" i="1"/>
  <c r="AE974" i="1"/>
  <c r="AF974" i="1"/>
  <c r="AG974" i="1"/>
  <c r="AH974" i="1"/>
  <c r="AI974" i="1"/>
  <c r="AJ974" i="1"/>
  <c r="AK974" i="1"/>
  <c r="AL974" i="1"/>
  <c r="AM974" i="1"/>
  <c r="AN974" i="1"/>
  <c r="AO974" i="1"/>
  <c r="AP974" i="1"/>
  <c r="AQ974" i="1"/>
  <c r="AR974" i="1"/>
  <c r="AB975" i="1"/>
  <c r="AC975" i="1"/>
  <c r="AD975" i="1"/>
  <c r="AE975" i="1"/>
  <c r="AF975" i="1"/>
  <c r="AG975" i="1"/>
  <c r="AH975" i="1"/>
  <c r="AI975" i="1"/>
  <c r="AJ975" i="1"/>
  <c r="AK975" i="1"/>
  <c r="AL975" i="1"/>
  <c r="AM975" i="1"/>
  <c r="AN975" i="1"/>
  <c r="AO975" i="1"/>
  <c r="AP975" i="1"/>
  <c r="AQ975" i="1"/>
  <c r="AR975" i="1"/>
  <c r="AB976" i="1"/>
  <c r="AC976" i="1"/>
  <c r="AD976" i="1"/>
  <c r="AE976" i="1"/>
  <c r="AF976" i="1"/>
  <c r="AG976" i="1"/>
  <c r="AH976" i="1"/>
  <c r="AI976" i="1"/>
  <c r="AJ976" i="1"/>
  <c r="AK976" i="1"/>
  <c r="AL976" i="1"/>
  <c r="AM976" i="1"/>
  <c r="AN976" i="1"/>
  <c r="AO976" i="1"/>
  <c r="AP976" i="1"/>
  <c r="AQ976" i="1"/>
  <c r="AR976" i="1"/>
  <c r="AB977" i="1"/>
  <c r="AC977" i="1"/>
  <c r="AD977" i="1"/>
  <c r="AE977" i="1"/>
  <c r="AF977" i="1"/>
  <c r="AG977" i="1"/>
  <c r="AH977" i="1"/>
  <c r="AI977" i="1"/>
  <c r="AJ977" i="1"/>
  <c r="AK977" i="1"/>
  <c r="AL977" i="1"/>
  <c r="AM977" i="1"/>
  <c r="AN977" i="1"/>
  <c r="AO977" i="1"/>
  <c r="AP977" i="1"/>
  <c r="AQ977" i="1"/>
  <c r="AR977" i="1"/>
  <c r="AB978" i="1"/>
  <c r="AC978" i="1"/>
  <c r="AD978" i="1"/>
  <c r="AE978" i="1"/>
  <c r="AF978" i="1"/>
  <c r="AG978" i="1"/>
  <c r="AH978" i="1"/>
  <c r="AI978" i="1"/>
  <c r="AJ978" i="1"/>
  <c r="AK978" i="1"/>
  <c r="AL978" i="1"/>
  <c r="AM978" i="1"/>
  <c r="AN978" i="1"/>
  <c r="AO978" i="1"/>
  <c r="AP978" i="1"/>
  <c r="AQ978" i="1"/>
  <c r="AR978" i="1"/>
  <c r="AB979" i="1"/>
  <c r="AC979" i="1"/>
  <c r="AD979" i="1"/>
  <c r="AE979" i="1"/>
  <c r="AF979" i="1"/>
  <c r="AG979" i="1"/>
  <c r="AH979" i="1"/>
  <c r="AI979" i="1"/>
  <c r="AJ979" i="1"/>
  <c r="AK979" i="1"/>
  <c r="AL979" i="1"/>
  <c r="AM979" i="1"/>
  <c r="AN979" i="1"/>
  <c r="AO979" i="1"/>
  <c r="AP979" i="1"/>
  <c r="AQ979" i="1"/>
  <c r="AR979" i="1"/>
  <c r="AB980" i="1"/>
  <c r="AC980" i="1"/>
  <c r="AD980" i="1"/>
  <c r="AE980" i="1"/>
  <c r="AF980" i="1"/>
  <c r="AG980" i="1"/>
  <c r="AH980" i="1"/>
  <c r="AI980" i="1"/>
  <c r="AJ980" i="1"/>
  <c r="AK980" i="1"/>
  <c r="AL980" i="1"/>
  <c r="AM980" i="1"/>
  <c r="AN980" i="1"/>
  <c r="AO980" i="1"/>
  <c r="AP980" i="1"/>
  <c r="AQ980" i="1"/>
  <c r="AR980" i="1"/>
  <c r="AB981" i="1"/>
  <c r="AC981" i="1"/>
  <c r="AD981" i="1"/>
  <c r="AE981" i="1"/>
  <c r="AF981" i="1"/>
  <c r="AG981" i="1"/>
  <c r="AH981" i="1"/>
  <c r="AI981" i="1"/>
  <c r="AJ981" i="1"/>
  <c r="AK981" i="1"/>
  <c r="AL981" i="1"/>
  <c r="AM981" i="1"/>
  <c r="AN981" i="1"/>
  <c r="AO981" i="1"/>
  <c r="AP981" i="1"/>
  <c r="AQ981" i="1"/>
  <c r="AR981" i="1"/>
  <c r="AB982" i="1"/>
  <c r="AC982" i="1"/>
  <c r="AD982" i="1"/>
  <c r="AE982" i="1"/>
  <c r="AF982" i="1"/>
  <c r="AG982" i="1"/>
  <c r="AH982" i="1"/>
  <c r="AI982" i="1"/>
  <c r="AJ982" i="1"/>
  <c r="AK982" i="1"/>
  <c r="AL982" i="1"/>
  <c r="AM982" i="1"/>
  <c r="AN982" i="1"/>
  <c r="AO982" i="1"/>
  <c r="AP982" i="1"/>
  <c r="AQ982" i="1"/>
  <c r="AR982" i="1"/>
  <c r="AB983" i="1"/>
  <c r="AC983" i="1"/>
  <c r="AD983" i="1"/>
  <c r="AE983" i="1"/>
  <c r="AF983" i="1"/>
  <c r="AG983" i="1"/>
  <c r="AH983" i="1"/>
  <c r="AI983" i="1"/>
  <c r="AJ983" i="1"/>
  <c r="AK983" i="1"/>
  <c r="AL983" i="1"/>
  <c r="AM983" i="1"/>
  <c r="AN983" i="1"/>
  <c r="AO983" i="1"/>
  <c r="AP983" i="1"/>
  <c r="AQ983" i="1"/>
  <c r="AR983" i="1"/>
  <c r="AB984" i="1"/>
  <c r="AC984" i="1"/>
  <c r="AD984" i="1"/>
  <c r="AE984" i="1"/>
  <c r="AF984" i="1"/>
  <c r="AG984" i="1"/>
  <c r="AH984" i="1"/>
  <c r="AI984" i="1"/>
  <c r="AJ984" i="1"/>
  <c r="AK984" i="1"/>
  <c r="AL984" i="1"/>
  <c r="AM984" i="1"/>
  <c r="AN984" i="1"/>
  <c r="AO984" i="1"/>
  <c r="AP984" i="1"/>
  <c r="AQ984" i="1"/>
  <c r="AR984" i="1"/>
  <c r="AB985" i="1"/>
  <c r="AC985" i="1"/>
  <c r="AD985" i="1"/>
  <c r="AE985" i="1"/>
  <c r="AF985" i="1"/>
  <c r="AG985" i="1"/>
  <c r="AH985" i="1"/>
  <c r="AI985" i="1"/>
  <c r="AJ985" i="1"/>
  <c r="AK985" i="1"/>
  <c r="AL985" i="1"/>
  <c r="AM985" i="1"/>
  <c r="AN985" i="1"/>
  <c r="AO985" i="1"/>
  <c r="AP985" i="1"/>
  <c r="AQ985" i="1"/>
  <c r="AR985" i="1"/>
  <c r="AB986" i="1"/>
  <c r="AC986" i="1"/>
  <c r="AD986" i="1"/>
  <c r="AE986" i="1"/>
  <c r="AF986" i="1"/>
  <c r="AG986" i="1"/>
  <c r="AH986" i="1"/>
  <c r="AI986" i="1"/>
  <c r="AJ986" i="1"/>
  <c r="AK986" i="1"/>
  <c r="AL986" i="1"/>
  <c r="AM986" i="1"/>
  <c r="AN986" i="1"/>
  <c r="AO986" i="1"/>
  <c r="AP986" i="1"/>
  <c r="AQ986" i="1"/>
  <c r="AR986" i="1"/>
  <c r="AB987" i="1"/>
  <c r="AC987" i="1"/>
  <c r="AD987" i="1"/>
  <c r="AE987" i="1"/>
  <c r="AF987" i="1"/>
  <c r="AG987" i="1"/>
  <c r="AH987" i="1"/>
  <c r="AI987" i="1"/>
  <c r="AJ987" i="1"/>
  <c r="AK987" i="1"/>
  <c r="AL987" i="1"/>
  <c r="AM987" i="1"/>
  <c r="AN987" i="1"/>
  <c r="AO987" i="1"/>
  <c r="AP987" i="1"/>
  <c r="AQ987" i="1"/>
  <c r="AR987" i="1"/>
  <c r="AB988" i="1"/>
  <c r="AC988" i="1"/>
  <c r="AD988" i="1"/>
  <c r="AE988" i="1"/>
  <c r="AF988" i="1"/>
  <c r="AG988" i="1"/>
  <c r="AH988" i="1"/>
  <c r="AI988" i="1"/>
  <c r="AJ988" i="1"/>
  <c r="AK988" i="1"/>
  <c r="AL988" i="1"/>
  <c r="AM988" i="1"/>
  <c r="AN988" i="1"/>
  <c r="AO988" i="1"/>
  <c r="AP988" i="1"/>
  <c r="AQ988" i="1"/>
  <c r="AR988" i="1"/>
  <c r="AB989" i="1"/>
  <c r="AC989" i="1"/>
  <c r="AD989" i="1"/>
  <c r="AE989" i="1"/>
  <c r="AF989" i="1"/>
  <c r="AG989" i="1"/>
  <c r="AH989" i="1"/>
  <c r="AI989" i="1"/>
  <c r="AJ989" i="1"/>
  <c r="AK989" i="1"/>
  <c r="AL989" i="1"/>
  <c r="AM989" i="1"/>
  <c r="AN989" i="1"/>
  <c r="AO989" i="1"/>
  <c r="AP989" i="1"/>
  <c r="AQ989" i="1"/>
  <c r="AR989" i="1"/>
  <c r="AB990" i="1"/>
  <c r="AC990" i="1"/>
  <c r="AD990" i="1"/>
  <c r="AE990" i="1"/>
  <c r="AF990" i="1"/>
  <c r="AG990" i="1"/>
  <c r="AH990" i="1"/>
  <c r="AI990" i="1"/>
  <c r="AJ990" i="1"/>
  <c r="AK990" i="1"/>
  <c r="AL990" i="1"/>
  <c r="AM990" i="1"/>
  <c r="AN990" i="1"/>
  <c r="AO990" i="1"/>
  <c r="AP990" i="1"/>
  <c r="AQ990" i="1"/>
  <c r="AR990" i="1"/>
  <c r="AB991" i="1"/>
  <c r="AC991" i="1"/>
  <c r="AD991" i="1"/>
  <c r="AE991" i="1"/>
  <c r="AF991" i="1"/>
  <c r="AG991" i="1"/>
  <c r="AH991" i="1"/>
  <c r="AI991" i="1"/>
  <c r="AJ991" i="1"/>
  <c r="AK991" i="1"/>
  <c r="AL991" i="1"/>
  <c r="AM991" i="1"/>
  <c r="AN991" i="1"/>
  <c r="AO991" i="1"/>
  <c r="AP991" i="1"/>
  <c r="AQ991" i="1"/>
  <c r="AR991" i="1"/>
  <c r="AB992" i="1"/>
  <c r="AC992" i="1"/>
  <c r="AD992" i="1"/>
  <c r="AE992" i="1"/>
  <c r="AF992" i="1"/>
  <c r="AG992" i="1"/>
  <c r="AH992" i="1"/>
  <c r="AI992" i="1"/>
  <c r="AJ992" i="1"/>
  <c r="AK992" i="1"/>
  <c r="AL992" i="1"/>
  <c r="AM992" i="1"/>
  <c r="AN992" i="1"/>
  <c r="AO992" i="1"/>
  <c r="AP992" i="1"/>
  <c r="AQ992" i="1"/>
  <c r="AR992" i="1"/>
  <c r="AB993" i="1"/>
  <c r="AC993" i="1"/>
  <c r="AD993" i="1"/>
  <c r="AE993" i="1"/>
  <c r="AF993" i="1"/>
  <c r="AG993" i="1"/>
  <c r="AH993" i="1"/>
  <c r="AI993" i="1"/>
  <c r="AJ993" i="1"/>
  <c r="AK993" i="1"/>
  <c r="AL993" i="1"/>
  <c r="AM993" i="1"/>
  <c r="AN993" i="1"/>
  <c r="AO993" i="1"/>
  <c r="AP993" i="1"/>
  <c r="AQ993" i="1"/>
  <c r="AR993" i="1"/>
  <c r="AB994" i="1"/>
  <c r="AC994" i="1"/>
  <c r="AD994" i="1"/>
  <c r="AE994" i="1"/>
  <c r="AF994" i="1"/>
  <c r="AG994" i="1"/>
  <c r="AH994" i="1"/>
  <c r="AI994" i="1"/>
  <c r="AJ994" i="1"/>
  <c r="AK994" i="1"/>
  <c r="AL994" i="1"/>
  <c r="AM994" i="1"/>
  <c r="AN994" i="1"/>
  <c r="AO994" i="1"/>
  <c r="AP994" i="1"/>
  <c r="AQ994" i="1"/>
  <c r="AR994" i="1"/>
  <c r="AB995" i="1"/>
  <c r="AC995" i="1"/>
  <c r="AD995" i="1"/>
  <c r="AE995" i="1"/>
  <c r="AF995" i="1"/>
  <c r="AG995" i="1"/>
  <c r="AH995" i="1"/>
  <c r="AI995" i="1"/>
  <c r="AJ995" i="1"/>
  <c r="AK995" i="1"/>
  <c r="AL995" i="1"/>
  <c r="AM995" i="1"/>
  <c r="AN995" i="1"/>
  <c r="AO995" i="1"/>
  <c r="AP995" i="1"/>
  <c r="AQ995" i="1"/>
  <c r="AR995" i="1"/>
  <c r="AB996" i="1"/>
  <c r="AC996" i="1"/>
  <c r="AD996" i="1"/>
  <c r="AE996" i="1"/>
  <c r="AF996" i="1"/>
  <c r="AG996" i="1"/>
  <c r="AH996" i="1"/>
  <c r="AI996" i="1"/>
  <c r="AJ996" i="1"/>
  <c r="AK996" i="1"/>
  <c r="AL996" i="1"/>
  <c r="AM996" i="1"/>
  <c r="AN996" i="1"/>
  <c r="AO996" i="1"/>
  <c r="AP996" i="1"/>
  <c r="AQ996" i="1"/>
  <c r="AR996" i="1"/>
  <c r="AB997" i="1"/>
  <c r="AC997" i="1"/>
  <c r="AD997" i="1"/>
  <c r="AE997" i="1"/>
  <c r="AF997" i="1"/>
  <c r="AG997" i="1"/>
  <c r="AH997" i="1"/>
  <c r="AI997" i="1"/>
  <c r="AJ997" i="1"/>
  <c r="AK997" i="1"/>
  <c r="AL997" i="1"/>
  <c r="AM997" i="1"/>
  <c r="AN997" i="1"/>
  <c r="AO997" i="1"/>
  <c r="AP997" i="1"/>
  <c r="AQ997" i="1"/>
  <c r="AR997" i="1"/>
  <c r="AB998" i="1"/>
  <c r="AC998" i="1"/>
  <c r="AD998" i="1"/>
  <c r="AE998" i="1"/>
  <c r="AF998" i="1"/>
  <c r="AG998" i="1"/>
  <c r="AH998" i="1"/>
  <c r="AI998" i="1"/>
  <c r="AJ998" i="1"/>
  <c r="AK998" i="1"/>
  <c r="AL998" i="1"/>
  <c r="AM998" i="1"/>
  <c r="AN998" i="1"/>
  <c r="AO998" i="1"/>
  <c r="AP998" i="1"/>
  <c r="AQ998" i="1"/>
  <c r="AR998" i="1"/>
  <c r="AB999" i="1"/>
  <c r="AC999" i="1"/>
  <c r="AD999" i="1"/>
  <c r="AE999" i="1"/>
  <c r="AF999" i="1"/>
  <c r="AG999" i="1"/>
  <c r="AH999" i="1"/>
  <c r="AI999" i="1"/>
  <c r="AJ999" i="1"/>
  <c r="AK999" i="1"/>
  <c r="AL999" i="1"/>
  <c r="AM999" i="1"/>
  <c r="AN999" i="1"/>
  <c r="AO999" i="1"/>
  <c r="AP999" i="1"/>
  <c r="AQ999" i="1"/>
  <c r="AR999" i="1"/>
  <c r="AB1000" i="1"/>
  <c r="AC1000" i="1"/>
  <c r="AD1000" i="1"/>
  <c r="AE1000" i="1"/>
  <c r="AF1000" i="1"/>
  <c r="AG1000" i="1"/>
  <c r="AH1000" i="1"/>
  <c r="AI1000" i="1"/>
  <c r="AJ1000" i="1"/>
  <c r="AK1000" i="1"/>
  <c r="AL1000" i="1"/>
  <c r="AM1000" i="1"/>
  <c r="AN1000" i="1"/>
  <c r="AO1000" i="1"/>
  <c r="AP1000" i="1"/>
  <c r="AQ1000" i="1"/>
  <c r="AR1000" i="1"/>
  <c r="AB1001" i="1"/>
  <c r="AC1001" i="1"/>
  <c r="AD1001" i="1"/>
  <c r="AE1001" i="1"/>
  <c r="AF1001" i="1"/>
  <c r="AG1001" i="1"/>
  <c r="AH1001" i="1"/>
  <c r="AI1001" i="1"/>
  <c r="AJ1001" i="1"/>
  <c r="AK1001" i="1"/>
  <c r="AL1001" i="1"/>
  <c r="AM1001" i="1"/>
  <c r="AN1001" i="1"/>
  <c r="AO1001" i="1"/>
  <c r="AP1001" i="1"/>
  <c r="AQ1001" i="1"/>
  <c r="AR1001" i="1"/>
  <c r="AB1002" i="1"/>
  <c r="AC1002" i="1"/>
  <c r="AD1002" i="1"/>
  <c r="AE1002" i="1"/>
  <c r="AF1002" i="1"/>
  <c r="AG1002" i="1"/>
  <c r="AH1002" i="1"/>
  <c r="AI1002" i="1"/>
  <c r="AJ1002" i="1"/>
  <c r="AK1002" i="1"/>
  <c r="AL1002" i="1"/>
  <c r="AM1002" i="1"/>
  <c r="AN1002" i="1"/>
  <c r="AO1002" i="1"/>
  <c r="AP1002" i="1"/>
  <c r="AQ1002" i="1"/>
  <c r="AR1002" i="1"/>
  <c r="AB1003" i="1"/>
  <c r="AC1003" i="1"/>
  <c r="AD1003" i="1"/>
  <c r="AE1003" i="1"/>
  <c r="AF1003" i="1"/>
  <c r="AG1003" i="1"/>
  <c r="AH1003" i="1"/>
  <c r="AI1003" i="1"/>
  <c r="AJ1003" i="1"/>
  <c r="AK1003" i="1"/>
  <c r="AL1003" i="1"/>
  <c r="AM1003" i="1"/>
  <c r="AN1003" i="1"/>
  <c r="AO1003" i="1"/>
  <c r="AP1003" i="1"/>
  <c r="AQ1003" i="1"/>
  <c r="AR1003" i="1"/>
  <c r="AB1004" i="1"/>
  <c r="AC1004" i="1"/>
  <c r="AD1004" i="1"/>
  <c r="AE1004" i="1"/>
  <c r="AF1004" i="1"/>
  <c r="AG1004" i="1"/>
  <c r="AH1004" i="1"/>
  <c r="AI1004" i="1"/>
  <c r="AJ1004" i="1"/>
  <c r="AK1004" i="1"/>
  <c r="AL1004" i="1"/>
  <c r="AM1004" i="1"/>
  <c r="AN1004" i="1"/>
  <c r="AO1004" i="1"/>
  <c r="AP1004" i="1"/>
  <c r="AQ1004" i="1"/>
  <c r="AR1004" i="1"/>
  <c r="AB1005" i="1"/>
  <c r="AC1005" i="1"/>
  <c r="AD1005" i="1"/>
  <c r="AE1005" i="1"/>
  <c r="AF1005" i="1"/>
  <c r="AG1005" i="1"/>
  <c r="AH1005" i="1"/>
  <c r="AI1005" i="1"/>
  <c r="AJ1005" i="1"/>
  <c r="AK1005" i="1"/>
  <c r="AL1005" i="1"/>
  <c r="AM1005" i="1"/>
  <c r="AN1005" i="1"/>
  <c r="AO1005" i="1"/>
  <c r="AP1005" i="1"/>
  <c r="AQ1005" i="1"/>
  <c r="AR1005" i="1"/>
  <c r="AB1006" i="1"/>
  <c r="AC1006" i="1"/>
  <c r="AD1006" i="1"/>
  <c r="AE1006" i="1"/>
  <c r="AF1006" i="1"/>
  <c r="AG1006" i="1"/>
  <c r="AH1006" i="1"/>
  <c r="AI1006" i="1"/>
  <c r="AJ1006" i="1"/>
  <c r="AK1006" i="1"/>
  <c r="AL1006" i="1"/>
  <c r="AM1006" i="1"/>
  <c r="AN1006" i="1"/>
  <c r="AO1006" i="1"/>
  <c r="AP1006" i="1"/>
  <c r="AQ1006" i="1"/>
  <c r="AR1006" i="1"/>
  <c r="AB1007" i="1"/>
  <c r="AC1007" i="1"/>
  <c r="AD1007" i="1"/>
  <c r="AE1007" i="1"/>
  <c r="AF1007" i="1"/>
  <c r="AG1007" i="1"/>
  <c r="AH1007" i="1"/>
  <c r="AI1007" i="1"/>
  <c r="AJ1007" i="1"/>
  <c r="AK1007" i="1"/>
  <c r="AL1007" i="1"/>
  <c r="AM1007" i="1"/>
  <c r="AN1007" i="1"/>
  <c r="AO1007" i="1"/>
  <c r="AP1007" i="1"/>
  <c r="AQ1007" i="1"/>
  <c r="AR1007" i="1"/>
  <c r="AB1008" i="1"/>
  <c r="AC1008" i="1"/>
  <c r="AD1008" i="1"/>
  <c r="AE1008" i="1"/>
  <c r="AF1008" i="1"/>
  <c r="AG1008" i="1"/>
  <c r="AH1008" i="1"/>
  <c r="AI1008" i="1"/>
  <c r="AJ1008" i="1"/>
  <c r="AK1008" i="1"/>
  <c r="AL1008" i="1"/>
  <c r="AM1008" i="1"/>
  <c r="AN1008" i="1"/>
  <c r="AO1008" i="1"/>
  <c r="AP1008" i="1"/>
  <c r="AQ1008" i="1"/>
  <c r="AR1008" i="1"/>
  <c r="AB1009" i="1"/>
  <c r="AC1009" i="1"/>
  <c r="AD1009" i="1"/>
  <c r="AE1009" i="1"/>
  <c r="AF1009" i="1"/>
  <c r="AG1009" i="1"/>
  <c r="AH1009" i="1"/>
  <c r="AI1009" i="1"/>
  <c r="AJ1009" i="1"/>
  <c r="AK1009" i="1"/>
  <c r="AL1009" i="1"/>
  <c r="AM1009" i="1"/>
  <c r="AN1009" i="1"/>
  <c r="AO1009" i="1"/>
  <c r="AP1009" i="1"/>
  <c r="AQ1009" i="1"/>
  <c r="AR1009" i="1"/>
  <c r="AB1010" i="1"/>
  <c r="AC1010" i="1"/>
  <c r="AD1010" i="1"/>
  <c r="AE1010" i="1"/>
  <c r="AF1010" i="1"/>
  <c r="AG1010" i="1"/>
  <c r="AH1010" i="1"/>
  <c r="AI1010" i="1"/>
  <c r="AJ1010" i="1"/>
  <c r="AK1010" i="1"/>
  <c r="AL1010" i="1"/>
  <c r="AM1010" i="1"/>
  <c r="AN1010" i="1"/>
  <c r="AO1010" i="1"/>
  <c r="AP1010" i="1"/>
  <c r="AQ1010" i="1"/>
  <c r="AR1010" i="1"/>
  <c r="AB1011" i="1"/>
  <c r="AC1011" i="1"/>
  <c r="AD1011" i="1"/>
  <c r="AE1011" i="1"/>
  <c r="AF1011" i="1"/>
  <c r="AG1011" i="1"/>
  <c r="AH1011" i="1"/>
  <c r="AI1011" i="1"/>
  <c r="AJ1011" i="1"/>
  <c r="AK1011" i="1"/>
  <c r="AL1011" i="1"/>
  <c r="AM1011" i="1"/>
  <c r="AN1011" i="1"/>
  <c r="AO1011" i="1"/>
  <c r="AP1011" i="1"/>
  <c r="AQ1011" i="1"/>
  <c r="AR1011" i="1"/>
  <c r="AB1012" i="1"/>
  <c r="AC1012" i="1"/>
  <c r="AD1012" i="1"/>
  <c r="AE1012" i="1"/>
  <c r="AF1012" i="1"/>
  <c r="AG1012" i="1"/>
  <c r="AH1012" i="1"/>
  <c r="AI1012" i="1"/>
  <c r="AJ1012" i="1"/>
  <c r="AK1012" i="1"/>
  <c r="AL1012" i="1"/>
  <c r="AM1012" i="1"/>
  <c r="AN1012" i="1"/>
  <c r="AO1012" i="1"/>
  <c r="AP1012" i="1"/>
  <c r="AQ1012" i="1"/>
  <c r="AR1012" i="1"/>
  <c r="AB1013" i="1"/>
  <c r="AC1013" i="1"/>
  <c r="AD1013" i="1"/>
  <c r="AE1013" i="1"/>
  <c r="AF1013" i="1"/>
  <c r="AG1013" i="1"/>
  <c r="AH1013" i="1"/>
  <c r="AI1013" i="1"/>
  <c r="AJ1013" i="1"/>
  <c r="AK1013" i="1"/>
  <c r="AL1013" i="1"/>
  <c r="AM1013" i="1"/>
  <c r="AN1013" i="1"/>
  <c r="AO1013" i="1"/>
  <c r="AP1013" i="1"/>
  <c r="AQ1013" i="1"/>
  <c r="AR1013" i="1"/>
  <c r="AB1014" i="1"/>
  <c r="AC1014" i="1"/>
  <c r="AD1014" i="1"/>
  <c r="AE1014" i="1"/>
  <c r="AF1014" i="1"/>
  <c r="AG1014" i="1"/>
  <c r="AH1014" i="1"/>
  <c r="AI1014" i="1"/>
  <c r="AJ1014" i="1"/>
  <c r="AK1014" i="1"/>
  <c r="AL1014" i="1"/>
  <c r="AM1014" i="1"/>
  <c r="AN1014" i="1"/>
  <c r="AO1014" i="1"/>
  <c r="AP1014" i="1"/>
  <c r="AQ1014" i="1"/>
  <c r="AR1014" i="1"/>
  <c r="AB1015" i="1"/>
  <c r="AC1015" i="1"/>
  <c r="AD1015" i="1"/>
  <c r="AE1015" i="1"/>
  <c r="AF1015" i="1"/>
  <c r="AG1015" i="1"/>
  <c r="AH1015" i="1"/>
  <c r="AI1015" i="1"/>
  <c r="AJ1015" i="1"/>
  <c r="AK1015" i="1"/>
  <c r="AL1015" i="1"/>
  <c r="AM1015" i="1"/>
  <c r="AN1015" i="1"/>
  <c r="AO1015" i="1"/>
  <c r="AP1015" i="1"/>
  <c r="AQ1015" i="1"/>
  <c r="AR1015" i="1"/>
  <c r="AB1016" i="1"/>
  <c r="AC1016" i="1"/>
  <c r="AD1016" i="1"/>
  <c r="AE1016" i="1"/>
  <c r="AF1016" i="1"/>
  <c r="AG1016" i="1"/>
  <c r="AH1016" i="1"/>
  <c r="AI1016" i="1"/>
  <c r="AJ1016" i="1"/>
  <c r="AK1016" i="1"/>
  <c r="AL1016" i="1"/>
  <c r="AM1016" i="1"/>
  <c r="AN1016" i="1"/>
  <c r="AO1016" i="1"/>
  <c r="AP1016" i="1"/>
  <c r="AQ1016" i="1"/>
  <c r="AR1016" i="1"/>
  <c r="AB1017" i="1"/>
  <c r="AC1017" i="1"/>
  <c r="AD1017" i="1"/>
  <c r="AE1017" i="1"/>
  <c r="AF1017" i="1"/>
  <c r="AG1017" i="1"/>
  <c r="AH1017" i="1"/>
  <c r="AI1017" i="1"/>
  <c r="AJ1017" i="1"/>
  <c r="AK1017" i="1"/>
  <c r="AL1017" i="1"/>
  <c r="AM1017" i="1"/>
  <c r="AN1017" i="1"/>
  <c r="AO1017" i="1"/>
  <c r="AP1017" i="1"/>
  <c r="AQ1017" i="1"/>
  <c r="AR1017" i="1"/>
  <c r="AB1018" i="1"/>
  <c r="AC1018" i="1"/>
  <c r="AD1018" i="1"/>
  <c r="AE1018" i="1"/>
  <c r="AF1018" i="1"/>
  <c r="AG1018" i="1"/>
  <c r="AH1018" i="1"/>
  <c r="AI1018" i="1"/>
  <c r="AJ1018" i="1"/>
  <c r="AK1018" i="1"/>
  <c r="AL1018" i="1"/>
  <c r="AM1018" i="1"/>
  <c r="AN1018" i="1"/>
  <c r="AO1018" i="1"/>
  <c r="AP1018" i="1"/>
  <c r="AQ1018" i="1"/>
  <c r="AR1018" i="1"/>
  <c r="AB1019" i="1"/>
  <c r="AC1019" i="1"/>
  <c r="AD1019" i="1"/>
  <c r="AE1019" i="1"/>
  <c r="AF1019" i="1"/>
  <c r="AG1019" i="1"/>
  <c r="AH1019" i="1"/>
  <c r="AI1019" i="1"/>
  <c r="AJ1019" i="1"/>
  <c r="AK1019" i="1"/>
  <c r="AL1019" i="1"/>
  <c r="AM1019" i="1"/>
  <c r="AN1019" i="1"/>
  <c r="AO1019" i="1"/>
  <c r="AP1019" i="1"/>
  <c r="AQ1019" i="1"/>
  <c r="AR1019" i="1"/>
  <c r="AB1020" i="1"/>
  <c r="AC1020" i="1"/>
  <c r="AD1020" i="1"/>
  <c r="AE1020" i="1"/>
  <c r="AF1020" i="1"/>
  <c r="AG1020" i="1"/>
  <c r="AH1020" i="1"/>
  <c r="AI1020" i="1"/>
  <c r="AJ1020" i="1"/>
  <c r="AK1020" i="1"/>
  <c r="AL1020" i="1"/>
  <c r="AM1020" i="1"/>
  <c r="AN1020" i="1"/>
  <c r="AO1020" i="1"/>
  <c r="AP1020" i="1"/>
  <c r="AQ1020" i="1"/>
  <c r="AR1020" i="1"/>
  <c r="AB1021" i="1"/>
  <c r="AC1021" i="1"/>
  <c r="AD1021" i="1"/>
  <c r="AE1021" i="1"/>
  <c r="AF1021" i="1"/>
  <c r="AG1021" i="1"/>
  <c r="AH1021" i="1"/>
  <c r="AI1021" i="1"/>
  <c r="AJ1021" i="1"/>
  <c r="AK1021" i="1"/>
  <c r="AL1021" i="1"/>
  <c r="AM1021" i="1"/>
  <c r="AN1021" i="1"/>
  <c r="AO1021" i="1"/>
  <c r="AP1021" i="1"/>
  <c r="AQ1021" i="1"/>
  <c r="AR1021" i="1"/>
  <c r="AB1022" i="1"/>
  <c r="AC1022" i="1"/>
  <c r="AD1022" i="1"/>
  <c r="AE1022" i="1"/>
  <c r="AF1022" i="1"/>
  <c r="AG1022" i="1"/>
  <c r="AH1022" i="1"/>
  <c r="AI1022" i="1"/>
  <c r="AJ1022" i="1"/>
  <c r="AK1022" i="1"/>
  <c r="AL1022" i="1"/>
  <c r="AM1022" i="1"/>
  <c r="AN1022" i="1"/>
  <c r="AO1022" i="1"/>
  <c r="AP1022" i="1"/>
  <c r="AQ1022" i="1"/>
  <c r="AR1022" i="1"/>
  <c r="AB1023" i="1"/>
  <c r="AC1023" i="1"/>
  <c r="AD1023" i="1"/>
  <c r="AE1023" i="1"/>
  <c r="AF1023" i="1"/>
  <c r="AG1023" i="1"/>
  <c r="AH1023" i="1"/>
  <c r="AI1023" i="1"/>
  <c r="AJ1023" i="1"/>
  <c r="AK1023" i="1"/>
  <c r="AL1023" i="1"/>
  <c r="AM1023" i="1"/>
  <c r="AN1023" i="1"/>
  <c r="AO1023" i="1"/>
  <c r="AP1023" i="1"/>
  <c r="AQ1023" i="1"/>
  <c r="AR1023" i="1"/>
  <c r="AB1024" i="1"/>
  <c r="AC1024" i="1"/>
  <c r="AD1024" i="1"/>
  <c r="AE1024" i="1"/>
  <c r="AF1024" i="1"/>
  <c r="AG1024" i="1"/>
  <c r="AH1024" i="1"/>
  <c r="AI1024" i="1"/>
  <c r="AJ1024" i="1"/>
  <c r="AK1024" i="1"/>
  <c r="AL1024" i="1"/>
  <c r="AM1024" i="1"/>
  <c r="AN1024" i="1"/>
  <c r="AO1024" i="1"/>
  <c r="AP1024" i="1"/>
  <c r="AQ1024" i="1"/>
  <c r="AR1024" i="1"/>
  <c r="AB1025" i="1"/>
  <c r="AC1025" i="1"/>
  <c r="AD1025" i="1"/>
  <c r="AE1025" i="1"/>
  <c r="AF1025" i="1"/>
  <c r="AG1025" i="1"/>
  <c r="AH1025" i="1"/>
  <c r="AI1025" i="1"/>
  <c r="AJ1025" i="1"/>
  <c r="AK1025" i="1"/>
  <c r="AL1025" i="1"/>
  <c r="AM1025" i="1"/>
  <c r="AN1025" i="1"/>
  <c r="AO1025" i="1"/>
  <c r="AP1025" i="1"/>
  <c r="AQ1025" i="1"/>
  <c r="AR1025" i="1"/>
  <c r="AB1026" i="1"/>
  <c r="AC1026" i="1"/>
  <c r="AD1026" i="1"/>
  <c r="AE1026" i="1"/>
  <c r="AF1026" i="1"/>
  <c r="AG1026" i="1"/>
  <c r="AH1026" i="1"/>
  <c r="AI1026" i="1"/>
  <c r="AJ1026" i="1"/>
  <c r="AK1026" i="1"/>
  <c r="AL1026" i="1"/>
  <c r="AM1026" i="1"/>
  <c r="AN1026" i="1"/>
  <c r="AO1026" i="1"/>
  <c r="AP1026" i="1"/>
  <c r="AQ1026" i="1"/>
  <c r="AR1026" i="1"/>
  <c r="AB1027" i="1"/>
  <c r="AC1027" i="1"/>
  <c r="AD1027" i="1"/>
  <c r="AE1027" i="1"/>
  <c r="AF1027" i="1"/>
  <c r="AG1027" i="1"/>
  <c r="AH1027" i="1"/>
  <c r="AI1027" i="1"/>
  <c r="AJ1027" i="1"/>
  <c r="AK1027" i="1"/>
  <c r="AL1027" i="1"/>
  <c r="AM1027" i="1"/>
  <c r="AN1027" i="1"/>
  <c r="AO1027" i="1"/>
  <c r="AP1027" i="1"/>
  <c r="AQ1027" i="1"/>
  <c r="AR1027" i="1"/>
  <c r="AB1028" i="1"/>
  <c r="AC1028" i="1"/>
  <c r="AD1028" i="1"/>
  <c r="AE1028" i="1"/>
  <c r="AF1028" i="1"/>
  <c r="AG1028" i="1"/>
  <c r="AH1028" i="1"/>
  <c r="AI1028" i="1"/>
  <c r="AJ1028" i="1"/>
  <c r="AK1028" i="1"/>
  <c r="AL1028" i="1"/>
  <c r="AM1028" i="1"/>
  <c r="AN1028" i="1"/>
  <c r="AO1028" i="1"/>
  <c r="AP1028" i="1"/>
  <c r="AQ1028" i="1"/>
  <c r="AR1028" i="1"/>
  <c r="AB1029" i="1"/>
  <c r="AC1029" i="1"/>
  <c r="AD1029" i="1"/>
  <c r="AE1029" i="1"/>
  <c r="AF1029" i="1"/>
  <c r="AG1029" i="1"/>
  <c r="AH1029" i="1"/>
  <c r="AI1029" i="1"/>
  <c r="AJ1029" i="1"/>
  <c r="AK1029" i="1"/>
  <c r="AL1029" i="1"/>
  <c r="AM1029" i="1"/>
  <c r="AN1029" i="1"/>
  <c r="AO1029" i="1"/>
  <c r="AP1029" i="1"/>
  <c r="AQ1029" i="1"/>
  <c r="AR1029" i="1"/>
  <c r="AB1030" i="1"/>
  <c r="AC1030" i="1"/>
  <c r="AD1030" i="1"/>
  <c r="AE1030" i="1"/>
  <c r="AF1030" i="1"/>
  <c r="AG1030" i="1"/>
  <c r="AH1030" i="1"/>
  <c r="AI1030" i="1"/>
  <c r="AJ1030" i="1"/>
  <c r="AK1030" i="1"/>
  <c r="AL1030" i="1"/>
  <c r="AM1030" i="1"/>
  <c r="AN1030" i="1"/>
  <c r="AO1030" i="1"/>
  <c r="AP1030" i="1"/>
  <c r="AQ1030" i="1"/>
  <c r="AR1030" i="1"/>
  <c r="AB1031" i="1"/>
  <c r="AC1031" i="1"/>
  <c r="AD1031" i="1"/>
  <c r="AE1031" i="1"/>
  <c r="AF1031" i="1"/>
  <c r="AG1031" i="1"/>
  <c r="AH1031" i="1"/>
  <c r="AI1031" i="1"/>
  <c r="AJ1031" i="1"/>
  <c r="AK1031" i="1"/>
  <c r="AL1031" i="1"/>
  <c r="AM1031" i="1"/>
  <c r="AN1031" i="1"/>
  <c r="AO1031" i="1"/>
  <c r="AP1031" i="1"/>
  <c r="AQ1031" i="1"/>
  <c r="AR1031" i="1"/>
  <c r="AB1032" i="1"/>
  <c r="AC1032" i="1"/>
  <c r="AD1032" i="1"/>
  <c r="AE1032" i="1"/>
  <c r="AF1032" i="1"/>
  <c r="AG1032" i="1"/>
  <c r="AH1032" i="1"/>
  <c r="AI1032" i="1"/>
  <c r="AJ1032" i="1"/>
  <c r="AK1032" i="1"/>
  <c r="AL1032" i="1"/>
  <c r="AM1032" i="1"/>
  <c r="AN1032" i="1"/>
  <c r="AO1032" i="1"/>
  <c r="AP1032" i="1"/>
  <c r="AQ1032" i="1"/>
  <c r="AR1032" i="1"/>
  <c r="AD118" i="1"/>
  <c r="AL118" i="1"/>
  <c r="AQ118" i="1" s="1"/>
  <c r="AO118" i="1"/>
  <c r="AR118" i="1"/>
  <c r="AD119" i="1"/>
  <c r="AL119" i="1"/>
  <c r="AQ119" i="1" s="1"/>
  <c r="AO119" i="1"/>
  <c r="AR119" i="1"/>
  <c r="AD120" i="1"/>
  <c r="AL120" i="1"/>
  <c r="AQ120" i="1" s="1"/>
  <c r="AO120" i="1"/>
  <c r="AR120" i="1"/>
  <c r="AD121" i="1"/>
  <c r="AL121" i="1"/>
  <c r="AP121" i="1" s="1"/>
  <c r="AO121" i="1"/>
  <c r="AR121" i="1"/>
  <c r="AD100" i="1"/>
  <c r="AL100" i="1"/>
  <c r="AQ100" i="1" s="1"/>
  <c r="AM100" i="1"/>
  <c r="AN100" i="1"/>
  <c r="AO100" i="1"/>
  <c r="AR100" i="1"/>
  <c r="AD101" i="1"/>
  <c r="AL101" i="1"/>
  <c r="AQ101" i="1" s="1"/>
  <c r="AM101" i="1"/>
  <c r="AN101" i="1"/>
  <c r="AO101" i="1"/>
  <c r="AP101" i="1"/>
  <c r="AR101" i="1"/>
  <c r="AD102" i="1"/>
  <c r="AL102" i="1"/>
  <c r="AQ102" i="1" s="1"/>
  <c r="AM102" i="1"/>
  <c r="AN102" i="1"/>
  <c r="AO102" i="1"/>
  <c r="AP102" i="1"/>
  <c r="AR102" i="1"/>
  <c r="AD103" i="1"/>
  <c r="AL103" i="1"/>
  <c r="AQ103" i="1" s="1"/>
  <c r="AM103" i="1"/>
  <c r="AN103" i="1"/>
  <c r="AO103" i="1"/>
  <c r="AP103" i="1"/>
  <c r="AR103" i="1"/>
  <c r="AD104" i="1"/>
  <c r="AL104" i="1"/>
  <c r="AQ104" i="1" s="1"/>
  <c r="AM104" i="1"/>
  <c r="AN104" i="1"/>
  <c r="AO104" i="1"/>
  <c r="AP104" i="1"/>
  <c r="AR104" i="1"/>
  <c r="AD105" i="1"/>
  <c r="AL105" i="1"/>
  <c r="AQ105" i="1" s="1"/>
  <c r="AM105" i="1"/>
  <c r="AN105" i="1"/>
  <c r="AO105" i="1"/>
  <c r="AP105" i="1"/>
  <c r="AR105" i="1"/>
  <c r="AD106" i="1"/>
  <c r="AL106" i="1"/>
  <c r="AQ106" i="1" s="1"/>
  <c r="AM106" i="1"/>
  <c r="AN106" i="1"/>
  <c r="AO106" i="1"/>
  <c r="AP106" i="1"/>
  <c r="AR106" i="1"/>
  <c r="AD107" i="1"/>
  <c r="AL107" i="1"/>
  <c r="AQ107" i="1" s="1"/>
  <c r="AM107" i="1"/>
  <c r="AN107" i="1"/>
  <c r="AO107" i="1"/>
  <c r="AR107" i="1"/>
  <c r="AD108" i="1"/>
  <c r="AL108" i="1"/>
  <c r="AQ108" i="1" s="1"/>
  <c r="AM108" i="1"/>
  <c r="AN108" i="1"/>
  <c r="AO108" i="1"/>
  <c r="AR108" i="1"/>
  <c r="AD109" i="1"/>
  <c r="AL109" i="1"/>
  <c r="AQ109" i="1" s="1"/>
  <c r="AM109" i="1"/>
  <c r="AN109" i="1"/>
  <c r="AO109" i="1"/>
  <c r="AP109" i="1"/>
  <c r="AR109" i="1"/>
  <c r="AD110" i="1"/>
  <c r="AL110" i="1"/>
  <c r="AQ110" i="1" s="1"/>
  <c r="AM110" i="1"/>
  <c r="AN110" i="1"/>
  <c r="AO110" i="1"/>
  <c r="AR110" i="1"/>
  <c r="AD111" i="1"/>
  <c r="AL111" i="1"/>
  <c r="AQ111" i="1" s="1"/>
  <c r="AM111" i="1"/>
  <c r="AN111" i="1"/>
  <c r="AO111" i="1"/>
  <c r="AP111" i="1"/>
  <c r="AR111" i="1"/>
  <c r="AD112" i="1"/>
  <c r="AL112" i="1"/>
  <c r="AQ112" i="1" s="1"/>
  <c r="AM112" i="1"/>
  <c r="AN112" i="1"/>
  <c r="AO112" i="1"/>
  <c r="AP112" i="1"/>
  <c r="AR112" i="1"/>
  <c r="AD113" i="1"/>
  <c r="AL113" i="1"/>
  <c r="AP113" i="1" s="1"/>
  <c r="AO113" i="1"/>
  <c r="AR113" i="1"/>
  <c r="AD114" i="1"/>
  <c r="AL114" i="1"/>
  <c r="AQ114" i="1" s="1"/>
  <c r="AO114" i="1"/>
  <c r="AR114" i="1"/>
  <c r="AD115" i="1"/>
  <c r="AL115" i="1"/>
  <c r="AQ115" i="1" s="1"/>
  <c r="AO115" i="1"/>
  <c r="AR115" i="1"/>
  <c r="AD116" i="1"/>
  <c r="AL116" i="1"/>
  <c r="AQ116" i="1" s="1"/>
  <c r="AO116" i="1"/>
  <c r="AR116" i="1"/>
  <c r="AD117" i="1"/>
  <c r="AL117" i="1"/>
  <c r="AP117" i="1" s="1"/>
  <c r="AO117" i="1"/>
  <c r="AR117" i="1"/>
  <c r="AD72" i="1"/>
  <c r="AL72" i="1"/>
  <c r="AQ72" i="1" s="1"/>
  <c r="AM72" i="1"/>
  <c r="AN72" i="1"/>
  <c r="AO72" i="1"/>
  <c r="AP72" i="1"/>
  <c r="AR72" i="1"/>
  <c r="AD73" i="1"/>
  <c r="AL73" i="1"/>
  <c r="AQ73" i="1" s="1"/>
  <c r="AM73" i="1"/>
  <c r="AN73" i="1"/>
  <c r="AO73" i="1"/>
  <c r="AP73" i="1"/>
  <c r="AR73" i="1"/>
  <c r="AD74" i="1"/>
  <c r="AL74" i="1"/>
  <c r="AQ74" i="1" s="1"/>
  <c r="AM74" i="1"/>
  <c r="AN74" i="1"/>
  <c r="AO74" i="1"/>
  <c r="AP74" i="1"/>
  <c r="AR74" i="1"/>
  <c r="AD75" i="1"/>
  <c r="AL75" i="1"/>
  <c r="AQ75" i="1" s="1"/>
  <c r="AM75" i="1"/>
  <c r="AN75" i="1"/>
  <c r="AO75" i="1"/>
  <c r="AP75" i="1"/>
  <c r="AR75" i="1"/>
  <c r="AD76" i="1"/>
  <c r="AL76" i="1"/>
  <c r="AQ76" i="1" s="1"/>
  <c r="AM76" i="1"/>
  <c r="AN76" i="1"/>
  <c r="AO76" i="1"/>
  <c r="AP76" i="1"/>
  <c r="AR76" i="1"/>
  <c r="AD77" i="1"/>
  <c r="AL77" i="1"/>
  <c r="AQ77" i="1" s="1"/>
  <c r="AM77" i="1"/>
  <c r="AN77" i="1"/>
  <c r="AO77" i="1"/>
  <c r="AP77" i="1"/>
  <c r="AR77" i="1"/>
  <c r="AD78" i="1"/>
  <c r="AL78" i="1"/>
  <c r="AQ78" i="1" s="1"/>
  <c r="AM78" i="1"/>
  <c r="AN78" i="1"/>
  <c r="AO78" i="1"/>
  <c r="AP78" i="1"/>
  <c r="AR78" i="1"/>
  <c r="AD79" i="1"/>
  <c r="AL79" i="1"/>
  <c r="AQ79" i="1" s="1"/>
  <c r="AM79" i="1"/>
  <c r="AN79" i="1"/>
  <c r="AO79" i="1"/>
  <c r="AR79" i="1"/>
  <c r="AD80" i="1"/>
  <c r="AL80" i="1"/>
  <c r="AQ80" i="1" s="1"/>
  <c r="AM80" i="1"/>
  <c r="AN80" i="1"/>
  <c r="AO80" i="1"/>
  <c r="AR80" i="1"/>
  <c r="AD81" i="1"/>
  <c r="AL81" i="1"/>
  <c r="AQ81" i="1" s="1"/>
  <c r="AM81" i="1"/>
  <c r="AN81" i="1"/>
  <c r="AO81" i="1"/>
  <c r="AP81" i="1"/>
  <c r="AR81" i="1"/>
  <c r="AD82" i="1"/>
  <c r="AL82" i="1"/>
  <c r="AQ82" i="1" s="1"/>
  <c r="AM82" i="1"/>
  <c r="AN82" i="1"/>
  <c r="AO82" i="1"/>
  <c r="AR82" i="1"/>
  <c r="AD83" i="1"/>
  <c r="AL83" i="1"/>
  <c r="AQ83" i="1" s="1"/>
  <c r="AM83" i="1"/>
  <c r="AN83" i="1"/>
  <c r="AO83" i="1"/>
  <c r="AP83" i="1"/>
  <c r="AR83" i="1"/>
  <c r="AD84" i="1"/>
  <c r="AL84" i="1"/>
  <c r="AQ84" i="1" s="1"/>
  <c r="AM84" i="1"/>
  <c r="AN84" i="1"/>
  <c r="AO84" i="1"/>
  <c r="AP84" i="1"/>
  <c r="AR84" i="1"/>
  <c r="AD85" i="1"/>
  <c r="AL85" i="1"/>
  <c r="AQ85" i="1" s="1"/>
  <c r="AM85" i="1"/>
  <c r="AN85" i="1"/>
  <c r="AO85" i="1"/>
  <c r="AP85" i="1"/>
  <c r="AR85" i="1"/>
  <c r="AD86" i="1"/>
  <c r="AL86" i="1"/>
  <c r="AQ86" i="1" s="1"/>
  <c r="AM86" i="1"/>
  <c r="AN86" i="1"/>
  <c r="AO86" i="1"/>
  <c r="AR86" i="1"/>
  <c r="AD87" i="1"/>
  <c r="AL87" i="1"/>
  <c r="AQ87" i="1" s="1"/>
  <c r="AM87" i="1"/>
  <c r="AN87" i="1"/>
  <c r="AO87" i="1"/>
  <c r="AP87" i="1"/>
  <c r="AR87" i="1"/>
  <c r="AD88" i="1"/>
  <c r="AL88" i="1"/>
  <c r="AQ88" i="1" s="1"/>
  <c r="AM88" i="1"/>
  <c r="AN88" i="1"/>
  <c r="AO88" i="1"/>
  <c r="AR88" i="1"/>
  <c r="AD89" i="1"/>
  <c r="AL89" i="1"/>
  <c r="AQ89" i="1" s="1"/>
  <c r="AM89" i="1"/>
  <c r="AN89" i="1"/>
  <c r="AO89" i="1"/>
  <c r="AP89" i="1"/>
  <c r="AR89" i="1"/>
  <c r="AD90" i="1"/>
  <c r="AL90" i="1"/>
  <c r="AP90" i="1" s="1"/>
  <c r="AM90" i="1"/>
  <c r="AN90" i="1"/>
  <c r="AO90" i="1"/>
  <c r="AQ90" i="1"/>
  <c r="AR90" i="1"/>
  <c r="AD91" i="1"/>
  <c r="AL91" i="1"/>
  <c r="AQ91" i="1" s="1"/>
  <c r="AM91" i="1"/>
  <c r="AN91" i="1"/>
  <c r="AO91" i="1"/>
  <c r="AR91" i="1"/>
  <c r="AD92" i="1"/>
  <c r="AL92" i="1"/>
  <c r="AQ92" i="1" s="1"/>
  <c r="AM92" i="1"/>
  <c r="AN92" i="1"/>
  <c r="AO92" i="1"/>
  <c r="AR92" i="1"/>
  <c r="AD93" i="1"/>
  <c r="AL93" i="1"/>
  <c r="AQ93" i="1" s="1"/>
  <c r="AM93" i="1"/>
  <c r="AN93" i="1"/>
  <c r="AO93" i="1"/>
  <c r="AP93" i="1"/>
  <c r="AR93" i="1"/>
  <c r="AD94" i="1"/>
  <c r="AL94" i="1"/>
  <c r="AQ94" i="1" s="1"/>
  <c r="AM94" i="1"/>
  <c r="AN94" i="1"/>
  <c r="AO94" i="1"/>
  <c r="AP94" i="1"/>
  <c r="AR94" i="1"/>
  <c r="AD95" i="1"/>
  <c r="AL95" i="1"/>
  <c r="AQ95" i="1" s="1"/>
  <c r="AM95" i="1"/>
  <c r="AN95" i="1"/>
  <c r="AO95" i="1"/>
  <c r="AR95" i="1"/>
  <c r="AD96" i="1"/>
  <c r="AL96" i="1"/>
  <c r="AQ96" i="1" s="1"/>
  <c r="AM96" i="1"/>
  <c r="AN96" i="1"/>
  <c r="AO96" i="1"/>
  <c r="AR96" i="1"/>
  <c r="AD97" i="1"/>
  <c r="AL97" i="1"/>
  <c r="AQ97" i="1" s="1"/>
  <c r="AM97" i="1"/>
  <c r="AN97" i="1"/>
  <c r="AO97" i="1"/>
  <c r="AP97" i="1"/>
  <c r="AR97" i="1"/>
  <c r="AD98" i="1"/>
  <c r="AL98" i="1"/>
  <c r="AQ98" i="1" s="1"/>
  <c r="AM98" i="1"/>
  <c r="AN98" i="1"/>
  <c r="AO98" i="1"/>
  <c r="AR98" i="1"/>
  <c r="AD99" i="1"/>
  <c r="AL99" i="1"/>
  <c r="AQ99" i="1" s="1"/>
  <c r="AM99" i="1"/>
  <c r="AN99" i="1"/>
  <c r="AO99" i="1"/>
  <c r="AP99" i="1"/>
  <c r="AR99" i="1"/>
  <c r="AD43" i="1"/>
  <c r="AL43" i="1"/>
  <c r="AQ43" i="1" s="1"/>
  <c r="AM43" i="1"/>
  <c r="AN43" i="1"/>
  <c r="AO43" i="1"/>
  <c r="AR43" i="1"/>
  <c r="AD44" i="1"/>
  <c r="AL44" i="1"/>
  <c r="AQ44" i="1" s="1"/>
  <c r="AM44" i="1"/>
  <c r="AN44" i="1"/>
  <c r="AO44" i="1"/>
  <c r="AR44" i="1"/>
  <c r="AD45" i="1"/>
  <c r="AL45" i="1"/>
  <c r="AQ45" i="1" s="1"/>
  <c r="AM45" i="1"/>
  <c r="AN45" i="1"/>
  <c r="AO45" i="1"/>
  <c r="AR45" i="1"/>
  <c r="AD46" i="1"/>
  <c r="AL46" i="1"/>
  <c r="AQ46" i="1" s="1"/>
  <c r="AM46" i="1"/>
  <c r="AN46" i="1"/>
  <c r="AO46" i="1"/>
  <c r="AP46" i="1"/>
  <c r="AR46" i="1"/>
  <c r="AD47" i="1"/>
  <c r="AL47" i="1"/>
  <c r="AQ47" i="1" s="1"/>
  <c r="AM47" i="1"/>
  <c r="AN47" i="1"/>
  <c r="AO47" i="1"/>
  <c r="AP47" i="1"/>
  <c r="AR47" i="1"/>
  <c r="AD48" i="1"/>
  <c r="AL48" i="1"/>
  <c r="AQ48" i="1" s="1"/>
  <c r="AM48" i="1"/>
  <c r="AN48" i="1"/>
  <c r="AO48" i="1"/>
  <c r="AR48" i="1"/>
  <c r="AD49" i="1"/>
  <c r="AL49" i="1"/>
  <c r="AQ49" i="1" s="1"/>
  <c r="AM49" i="1"/>
  <c r="AN49" i="1"/>
  <c r="AO49" i="1"/>
  <c r="AP49" i="1"/>
  <c r="AR49" i="1"/>
  <c r="AD50" i="1"/>
  <c r="AL50" i="1"/>
  <c r="AQ50" i="1" s="1"/>
  <c r="AM50" i="1"/>
  <c r="AN50" i="1"/>
  <c r="AO50" i="1"/>
  <c r="AR50" i="1"/>
  <c r="AD51" i="1"/>
  <c r="AL51" i="1"/>
  <c r="AQ51" i="1" s="1"/>
  <c r="AM51" i="1"/>
  <c r="AN51" i="1"/>
  <c r="AO51" i="1"/>
  <c r="AP51" i="1"/>
  <c r="AR51" i="1"/>
  <c r="AD52" i="1"/>
  <c r="AL52" i="1"/>
  <c r="AQ52" i="1" s="1"/>
  <c r="AM52" i="1"/>
  <c r="AN52" i="1"/>
  <c r="AO52" i="1"/>
  <c r="AP52" i="1"/>
  <c r="AR52" i="1"/>
  <c r="AD53" i="1"/>
  <c r="AL53" i="1"/>
  <c r="AQ53" i="1" s="1"/>
  <c r="AM53" i="1"/>
  <c r="AN53" i="1"/>
  <c r="AO53" i="1"/>
  <c r="AR53" i="1"/>
  <c r="AD54" i="1"/>
  <c r="AL54" i="1"/>
  <c r="AQ54" i="1" s="1"/>
  <c r="AM54" i="1"/>
  <c r="AN54" i="1"/>
  <c r="AO54" i="1"/>
  <c r="AR54" i="1"/>
  <c r="AD55" i="1"/>
  <c r="AL55" i="1"/>
  <c r="AQ55" i="1" s="1"/>
  <c r="AM55" i="1"/>
  <c r="AN55" i="1"/>
  <c r="AO55" i="1"/>
  <c r="AR55" i="1"/>
  <c r="AD56" i="1"/>
  <c r="AL56" i="1"/>
  <c r="AQ56" i="1" s="1"/>
  <c r="AM56" i="1"/>
  <c r="AN56" i="1"/>
  <c r="AO56" i="1"/>
  <c r="AP56" i="1"/>
  <c r="AR56" i="1"/>
  <c r="AD57" i="1"/>
  <c r="AL57" i="1"/>
  <c r="AQ57" i="1" s="1"/>
  <c r="AM57" i="1"/>
  <c r="AN57" i="1"/>
  <c r="AO57" i="1"/>
  <c r="AP57" i="1"/>
  <c r="AR57" i="1"/>
  <c r="AD58" i="1"/>
  <c r="AL58" i="1"/>
  <c r="AQ58" i="1" s="1"/>
  <c r="AM58" i="1"/>
  <c r="AN58" i="1"/>
  <c r="AO58" i="1"/>
  <c r="AR58" i="1"/>
  <c r="AD59" i="1"/>
  <c r="AL59" i="1"/>
  <c r="AQ59" i="1" s="1"/>
  <c r="AM59" i="1"/>
  <c r="AN59" i="1"/>
  <c r="AO59" i="1"/>
  <c r="AR59" i="1"/>
  <c r="AD60" i="1"/>
  <c r="AL60" i="1"/>
  <c r="AQ60" i="1" s="1"/>
  <c r="AM60" i="1"/>
  <c r="AN60" i="1"/>
  <c r="AO60" i="1"/>
  <c r="AR60" i="1"/>
  <c r="AD61" i="1"/>
  <c r="AL61" i="1"/>
  <c r="AQ61" i="1" s="1"/>
  <c r="AM61" i="1"/>
  <c r="AN61" i="1"/>
  <c r="AO61" i="1"/>
  <c r="AR61" i="1"/>
  <c r="AD62" i="1"/>
  <c r="AL62" i="1"/>
  <c r="AQ62" i="1" s="1"/>
  <c r="AM62" i="1"/>
  <c r="AN62" i="1"/>
  <c r="AO62" i="1"/>
  <c r="AR62" i="1"/>
  <c r="AD63" i="1"/>
  <c r="AL63" i="1"/>
  <c r="AQ63" i="1" s="1"/>
  <c r="AM63" i="1"/>
  <c r="AN63" i="1"/>
  <c r="AO63" i="1"/>
  <c r="AP63" i="1"/>
  <c r="AR63" i="1"/>
  <c r="AD64" i="1"/>
  <c r="AL64" i="1"/>
  <c r="AQ64" i="1" s="1"/>
  <c r="AM64" i="1"/>
  <c r="AN64" i="1"/>
  <c r="AO64" i="1"/>
  <c r="AP64" i="1"/>
  <c r="AR64" i="1"/>
  <c r="AD65" i="1"/>
  <c r="AL65" i="1"/>
  <c r="AQ65" i="1" s="1"/>
  <c r="AM65" i="1"/>
  <c r="AN65" i="1"/>
  <c r="AO65" i="1"/>
  <c r="AR65" i="1"/>
  <c r="AD66" i="1"/>
  <c r="AL66" i="1"/>
  <c r="AQ66" i="1" s="1"/>
  <c r="AM66" i="1"/>
  <c r="AN66" i="1"/>
  <c r="AO66" i="1"/>
  <c r="AP66" i="1"/>
  <c r="AR66" i="1"/>
  <c r="AD67" i="1"/>
  <c r="AL67" i="1"/>
  <c r="AQ67" i="1" s="1"/>
  <c r="AM67" i="1"/>
  <c r="AN67" i="1"/>
  <c r="AO67" i="1"/>
  <c r="AP67" i="1"/>
  <c r="AR67" i="1"/>
  <c r="AD68" i="1"/>
  <c r="AL68" i="1"/>
  <c r="AQ68" i="1" s="1"/>
  <c r="AM68" i="1"/>
  <c r="AN68" i="1"/>
  <c r="AO68" i="1"/>
  <c r="AP68" i="1"/>
  <c r="AR68" i="1"/>
  <c r="AD69" i="1"/>
  <c r="AL69" i="1"/>
  <c r="AQ69" i="1" s="1"/>
  <c r="AM69" i="1"/>
  <c r="AN69" i="1"/>
  <c r="AO69" i="1"/>
  <c r="AR69" i="1"/>
  <c r="AD70" i="1"/>
  <c r="AL70" i="1"/>
  <c r="AQ70" i="1" s="1"/>
  <c r="AM70" i="1"/>
  <c r="AN70" i="1"/>
  <c r="AO70" i="1"/>
  <c r="AP70" i="1"/>
  <c r="AR70" i="1"/>
  <c r="AD71" i="1"/>
  <c r="AL71" i="1"/>
  <c r="AQ71" i="1" s="1"/>
  <c r="AM71" i="1"/>
  <c r="AN71" i="1"/>
  <c r="AO71" i="1"/>
  <c r="AR71" i="1"/>
  <c r="AL15" i="1"/>
  <c r="AQ15" i="1" s="1"/>
  <c r="AO15" i="1"/>
  <c r="AR15" i="1"/>
  <c r="AL16" i="1"/>
  <c r="AQ16" i="1" s="1"/>
  <c r="AO16" i="1"/>
  <c r="AR16" i="1"/>
  <c r="AL17" i="1"/>
  <c r="AQ17" i="1" s="1"/>
  <c r="AO17" i="1"/>
  <c r="AR17" i="1"/>
  <c r="AD21" i="1"/>
  <c r="AL21" i="1"/>
  <c r="AQ21" i="1" s="1"/>
  <c r="AM21" i="1"/>
  <c r="AN21" i="1"/>
  <c r="AO21" i="1"/>
  <c r="AP21" i="1"/>
  <c r="AR21" i="1"/>
  <c r="AD40" i="1"/>
  <c r="AL40" i="1"/>
  <c r="AP40" i="1" s="1"/>
  <c r="AM40" i="1"/>
  <c r="AN40" i="1"/>
  <c r="AO40" i="1"/>
  <c r="AR40" i="1"/>
  <c r="AD41" i="1"/>
  <c r="AL41" i="1"/>
  <c r="AQ41" i="1" s="1"/>
  <c r="AM41" i="1"/>
  <c r="AN41" i="1"/>
  <c r="AO41" i="1"/>
  <c r="AR41" i="1"/>
  <c r="AD42" i="1"/>
  <c r="AL42" i="1"/>
  <c r="AQ42" i="1" s="1"/>
  <c r="AM42" i="1"/>
  <c r="AN42" i="1"/>
  <c r="AO42" i="1"/>
  <c r="AP42" i="1"/>
  <c r="AR42" i="1"/>
  <c r="AL11" i="1"/>
  <c r="AQ11" i="1" s="1"/>
  <c r="AO11" i="1"/>
  <c r="AR11" i="1"/>
  <c r="AL12" i="1"/>
  <c r="AQ12" i="1" s="1"/>
  <c r="AO12" i="1"/>
  <c r="AR12" i="1"/>
  <c r="AL13" i="1"/>
  <c r="AP13" i="1" s="1"/>
  <c r="AO13" i="1"/>
  <c r="AR13" i="1"/>
  <c r="AL14" i="1"/>
  <c r="AP14" i="1" s="1"/>
  <c r="AO14" i="1"/>
  <c r="AR14" i="1"/>
  <c r="AL10" i="1"/>
  <c r="AQ10" i="1" s="1"/>
  <c r="AO10" i="1"/>
  <c r="AR10" i="1"/>
  <c r="AR9" i="1"/>
  <c r="AR8" i="1"/>
  <c r="AR7" i="1"/>
  <c r="AO9" i="1"/>
  <c r="AO8" i="1"/>
  <c r="AO7" i="1"/>
  <c r="AN9" i="1"/>
  <c r="AN8" i="1"/>
  <c r="AN7" i="1"/>
  <c r="AM9" i="1"/>
  <c r="AM8" i="1"/>
  <c r="AM7" i="1"/>
  <c r="AL9" i="1"/>
  <c r="AQ9" i="1" s="1"/>
  <c r="AL8" i="1"/>
  <c r="AP8" i="1" s="1"/>
  <c r="AL7" i="1"/>
  <c r="AP7" i="1" s="1"/>
  <c r="AG18" i="1" l="1"/>
  <c r="AC18" i="1" s="1"/>
  <c r="AM18" i="1" s="1"/>
  <c r="AJ19" i="1"/>
  <c r="AP15" i="1"/>
  <c r="AB20" i="1"/>
  <c r="AP41" i="1"/>
  <c r="AJ28" i="1"/>
  <c r="AC20" i="1"/>
  <c r="AP62" i="1"/>
  <c r="AG62" i="1" s="1"/>
  <c r="AP91" i="1"/>
  <c r="AP12" i="1"/>
  <c r="AB18" i="1"/>
  <c r="AB19" i="1"/>
  <c r="AC19" i="1"/>
  <c r="AM19" i="1" s="1"/>
  <c r="AP58" i="1"/>
  <c r="AG58" i="1" s="1"/>
  <c r="AH29" i="1"/>
  <c r="AB29" i="1" s="1"/>
  <c r="AG30" i="1"/>
  <c r="AB30" i="1" s="1"/>
  <c r="AB25" i="1"/>
  <c r="AP110" i="1"/>
  <c r="AG33" i="1"/>
  <c r="AB33" i="1" s="1"/>
  <c r="AP45" i="1"/>
  <c r="AG45" i="1" s="1"/>
  <c r="AB28" i="1"/>
  <c r="AB24" i="1"/>
  <c r="AC24" i="1"/>
  <c r="AC25" i="1"/>
  <c r="AJ24" i="1"/>
  <c r="AP80" i="1"/>
  <c r="AG80" i="1" s="1"/>
  <c r="AJ32" i="1"/>
  <c r="AC30" i="1"/>
  <c r="AC28" i="1"/>
  <c r="AB39" i="1"/>
  <c r="AC39" i="1"/>
  <c r="AC38" i="1"/>
  <c r="AB38" i="1"/>
  <c r="AB36" i="1"/>
  <c r="AC36" i="1"/>
  <c r="AC37" i="1"/>
  <c r="AB37" i="1"/>
  <c r="AB34" i="1"/>
  <c r="AC34" i="1"/>
  <c r="AB35" i="1"/>
  <c r="AC35" i="1"/>
  <c r="AB32" i="1"/>
  <c r="AC32" i="1"/>
  <c r="AB31" i="1"/>
  <c r="AC31" i="1"/>
  <c r="AC27" i="1"/>
  <c r="AB27" i="1"/>
  <c r="AB22" i="1"/>
  <c r="AC22" i="1"/>
  <c r="AC23" i="1"/>
  <c r="AB23" i="1"/>
  <c r="AB26" i="1"/>
  <c r="AC26" i="1"/>
  <c r="AJ26" i="1"/>
  <c r="AP17" i="1"/>
  <c r="AJ17" i="1" s="1"/>
  <c r="AP44" i="1"/>
  <c r="AG44" i="1" s="1"/>
  <c r="AQ14" i="1"/>
  <c r="AN14" i="1" s="1"/>
  <c r="AP60" i="1"/>
  <c r="AG60" i="1" s="1"/>
  <c r="AP16" i="1"/>
  <c r="AP79" i="1"/>
  <c r="AG79" i="1" s="1"/>
  <c r="AP123" i="1"/>
  <c r="AJ123" i="1" s="1"/>
  <c r="AP59" i="1"/>
  <c r="AH123" i="1"/>
  <c r="AG123" i="1"/>
  <c r="AP11" i="1"/>
  <c r="AJ11" i="1" s="1"/>
  <c r="AP86" i="1"/>
  <c r="AG86" i="1" s="1"/>
  <c r="AP54" i="1"/>
  <c r="AG54" i="1" s="1"/>
  <c r="AQ13" i="1"/>
  <c r="AN13" i="1" s="1"/>
  <c r="AP48" i="1"/>
  <c r="AG48" i="1" s="1"/>
  <c r="AP98" i="1"/>
  <c r="AJ98" i="1" s="1"/>
  <c r="AP55" i="1"/>
  <c r="AJ55" i="1" s="1"/>
  <c r="AP92" i="1"/>
  <c r="AJ92" i="1" s="1"/>
  <c r="AP71" i="1"/>
  <c r="AJ71" i="1" s="1"/>
  <c r="AP95" i="1"/>
  <c r="AG95" i="1" s="1"/>
  <c r="AP120" i="1"/>
  <c r="AG120" i="1" s="1"/>
  <c r="AP108" i="1"/>
  <c r="AJ108" i="1" s="1"/>
  <c r="AP88" i="1"/>
  <c r="AG88" i="1" s="1"/>
  <c r="AG52" i="1"/>
  <c r="AP107" i="1"/>
  <c r="AJ107" i="1" s="1"/>
  <c r="AP96" i="1"/>
  <c r="AJ96" i="1" s="1"/>
  <c r="AG67" i="1"/>
  <c r="AP43" i="1"/>
  <c r="AJ43" i="1" s="1"/>
  <c r="AP65" i="1"/>
  <c r="AJ65" i="1" s="1"/>
  <c r="AP50" i="1"/>
  <c r="AG50" i="1" s="1"/>
  <c r="AG42" i="1"/>
  <c r="AG41" i="1"/>
  <c r="AP61" i="1"/>
  <c r="AG61" i="1" s="1"/>
  <c r="AQ40" i="1"/>
  <c r="AJ40" i="1" s="1"/>
  <c r="AG40" i="1"/>
  <c r="AG57" i="1"/>
  <c r="AH98" i="1"/>
  <c r="AP115" i="1"/>
  <c r="AG115" i="1" s="1"/>
  <c r="AG74" i="1"/>
  <c r="AP116" i="1"/>
  <c r="AJ116" i="1" s="1"/>
  <c r="AG109" i="1"/>
  <c r="AG103" i="1"/>
  <c r="AH57" i="1"/>
  <c r="AG56" i="1"/>
  <c r="AJ97" i="1"/>
  <c r="AG111" i="1"/>
  <c r="AG106" i="1"/>
  <c r="AH102" i="1"/>
  <c r="AH82" i="1"/>
  <c r="AQ113" i="1"/>
  <c r="AJ113" i="1" s="1"/>
  <c r="AH114" i="1"/>
  <c r="AN114" i="1" s="1"/>
  <c r="AG68" i="1"/>
  <c r="AG94" i="1"/>
  <c r="AP100" i="1"/>
  <c r="AJ100" i="1" s="1"/>
  <c r="AQ8" i="1"/>
  <c r="AG21" i="1"/>
  <c r="AG70" i="1"/>
  <c r="AG66" i="1"/>
  <c r="AG64" i="1"/>
  <c r="AH61" i="1"/>
  <c r="AG49" i="1"/>
  <c r="AH45" i="1"/>
  <c r="AG91" i="1"/>
  <c r="AG90" i="1"/>
  <c r="AG89" i="1"/>
  <c r="AH86" i="1"/>
  <c r="AG78" i="1"/>
  <c r="AH74" i="1"/>
  <c r="AG110" i="1"/>
  <c r="AJ93" i="1"/>
  <c r="AP53" i="1"/>
  <c r="AG53" i="1" s="1"/>
  <c r="AG46" i="1"/>
  <c r="AG97" i="1"/>
  <c r="AG93" i="1"/>
  <c r="AG87" i="1"/>
  <c r="AG83" i="1"/>
  <c r="AG75" i="1"/>
  <c r="AG102" i="1"/>
  <c r="AP69" i="1"/>
  <c r="AG69" i="1" s="1"/>
  <c r="AG84" i="1"/>
  <c r="AG121" i="1"/>
  <c r="AG113" i="1"/>
  <c r="AQ117" i="1"/>
  <c r="AJ117" i="1" s="1"/>
  <c r="AP114" i="1"/>
  <c r="AG114" i="1" s="1"/>
  <c r="AQ121" i="1"/>
  <c r="AJ121" i="1" s="1"/>
  <c r="AP119" i="1"/>
  <c r="AJ119" i="1" s="1"/>
  <c r="AP122" i="1"/>
  <c r="AJ122" i="1" s="1"/>
  <c r="AG117" i="1"/>
  <c r="AH115" i="1"/>
  <c r="AN115" i="1" s="1"/>
  <c r="AP118" i="1"/>
  <c r="AG118" i="1" s="1"/>
  <c r="AP82" i="1"/>
  <c r="AJ82" i="1" s="1"/>
  <c r="AJ73" i="1"/>
  <c r="AQ7" i="1"/>
  <c r="AJ63" i="1"/>
  <c r="AJ57" i="1"/>
  <c r="AH99" i="1"/>
  <c r="AJ90" i="1"/>
  <c r="AJ76" i="1"/>
  <c r="AJ112" i="1"/>
  <c r="AJ109" i="1"/>
  <c r="AJ106" i="1"/>
  <c r="AP9" i="1"/>
  <c r="AJ21" i="1"/>
  <c r="AJ105" i="1"/>
  <c r="AH41" i="1"/>
  <c r="AJ64" i="1"/>
  <c r="AH62" i="1"/>
  <c r="AJ56" i="1"/>
  <c r="AH111" i="1"/>
  <c r="AH110" i="1"/>
  <c r="AJ110" i="1"/>
  <c r="AH106" i="1"/>
  <c r="AJ104" i="1"/>
  <c r="AJ101" i="1"/>
  <c r="AJ89" i="1"/>
  <c r="AJ85" i="1"/>
  <c r="AJ84" i="1"/>
  <c r="AH94" i="1"/>
  <c r="AJ94" i="1"/>
  <c r="AH90" i="1"/>
  <c r="AJ80" i="1"/>
  <c r="AH78" i="1"/>
  <c r="AJ77" i="1"/>
  <c r="AJ68" i="1"/>
  <c r="AH66" i="1"/>
  <c r="AH58" i="1"/>
  <c r="AJ49" i="1"/>
  <c r="AH49" i="1"/>
  <c r="AJ81" i="1"/>
  <c r="AH50" i="1"/>
  <c r="AH65" i="1"/>
  <c r="AJ47" i="1"/>
  <c r="AH70" i="1"/>
  <c r="AH54" i="1"/>
  <c r="AH53" i="1"/>
  <c r="AJ52" i="1"/>
  <c r="AJ41" i="1"/>
  <c r="AH42" i="1"/>
  <c r="AN17" i="1"/>
  <c r="AN10" i="1"/>
  <c r="AH118" i="1"/>
  <c r="AH122" i="1"/>
  <c r="AH120" i="1"/>
  <c r="AH119" i="1"/>
  <c r="AJ111" i="1"/>
  <c r="AH109" i="1"/>
  <c r="AH105" i="1"/>
  <c r="AJ103" i="1"/>
  <c r="AH101" i="1"/>
  <c r="AH116" i="1"/>
  <c r="AH112" i="1"/>
  <c r="AH108" i="1"/>
  <c r="AG105" i="1"/>
  <c r="AH104" i="1"/>
  <c r="AJ102" i="1"/>
  <c r="AG101" i="1"/>
  <c r="AH100" i="1"/>
  <c r="AG112" i="1"/>
  <c r="AH107" i="1"/>
  <c r="AG104" i="1"/>
  <c r="AH103" i="1"/>
  <c r="AJ78" i="1"/>
  <c r="AJ99" i="1"/>
  <c r="AJ72" i="1"/>
  <c r="AG99" i="1"/>
  <c r="AH97" i="1"/>
  <c r="AH93" i="1"/>
  <c r="AJ91" i="1"/>
  <c r="AH89" i="1"/>
  <c r="AJ87" i="1"/>
  <c r="AH85" i="1"/>
  <c r="AJ83" i="1"/>
  <c r="AH81" i="1"/>
  <c r="AH77" i="1"/>
  <c r="AJ75" i="1"/>
  <c r="AH73" i="1"/>
  <c r="AH96" i="1"/>
  <c r="AH92" i="1"/>
  <c r="AH88" i="1"/>
  <c r="AG85" i="1"/>
  <c r="AH84" i="1"/>
  <c r="AG81" i="1"/>
  <c r="AH80" i="1"/>
  <c r="AG77" i="1"/>
  <c r="AH76" i="1"/>
  <c r="AJ74" i="1"/>
  <c r="AG73" i="1"/>
  <c r="AH72" i="1"/>
  <c r="AH95" i="1"/>
  <c r="AH91" i="1"/>
  <c r="AH87" i="1"/>
  <c r="AH83" i="1"/>
  <c r="AH79" i="1"/>
  <c r="AG76" i="1"/>
  <c r="AH75" i="1"/>
  <c r="AG72" i="1"/>
  <c r="AJ59" i="1"/>
  <c r="AJ51" i="1"/>
  <c r="AH69" i="1"/>
  <c r="AJ67" i="1"/>
  <c r="AJ70" i="1"/>
  <c r="AH68" i="1"/>
  <c r="AJ66" i="1"/>
  <c r="AH64" i="1"/>
  <c r="AJ62" i="1"/>
  <c r="AH60" i="1"/>
  <c r="AJ58" i="1"/>
  <c r="AH56" i="1"/>
  <c r="AH52" i="1"/>
  <c r="AH48" i="1"/>
  <c r="AJ46" i="1"/>
  <c r="AH44" i="1"/>
  <c r="AH71" i="1"/>
  <c r="AH67" i="1"/>
  <c r="AH63" i="1"/>
  <c r="AH59" i="1"/>
  <c r="AH55" i="1"/>
  <c r="AH51" i="1"/>
  <c r="AH47" i="1"/>
  <c r="AJ45" i="1"/>
  <c r="AH43" i="1"/>
  <c r="AG63" i="1"/>
  <c r="AG59" i="1"/>
  <c r="AG51" i="1"/>
  <c r="AG47" i="1"/>
  <c r="AH46" i="1"/>
  <c r="AJ42" i="1"/>
  <c r="AH21" i="1"/>
  <c r="AN16" i="1"/>
  <c r="AN15" i="1"/>
  <c r="AJ12" i="1"/>
  <c r="AN12" i="1"/>
  <c r="AN11" i="1"/>
  <c r="AP10" i="1"/>
  <c r="AJ10" i="1" s="1"/>
  <c r="AJ15" i="1" l="1"/>
  <c r="AC33" i="1"/>
  <c r="AC29" i="1"/>
  <c r="AC58" i="1"/>
  <c r="AB94" i="1"/>
  <c r="AJ54" i="1"/>
  <c r="AJ79" i="1"/>
  <c r="AJ95" i="1"/>
  <c r="AG98" i="1"/>
  <c r="AC98" i="1" s="1"/>
  <c r="AG43" i="1"/>
  <c r="AB43" i="1" s="1"/>
  <c r="AJ13" i="1"/>
  <c r="AJ44" i="1"/>
  <c r="AJ14" i="1"/>
  <c r="AM11" i="1"/>
  <c r="AG55" i="1"/>
  <c r="AB55" i="1" s="1"/>
  <c r="AJ60" i="1"/>
  <c r="AG92" i="1"/>
  <c r="AB92" i="1" s="1"/>
  <c r="AJ120" i="1"/>
  <c r="AJ88" i="1"/>
  <c r="AJ48" i="1"/>
  <c r="AJ16" i="1"/>
  <c r="AC45" i="1"/>
  <c r="AB70" i="1"/>
  <c r="AG107" i="1"/>
  <c r="AB107" i="1" s="1"/>
  <c r="AC49" i="1"/>
  <c r="AG65" i="1"/>
  <c r="AC65" i="1" s="1"/>
  <c r="AB45" i="1"/>
  <c r="AG71" i="1"/>
  <c r="AB71" i="1" s="1"/>
  <c r="AC111" i="1"/>
  <c r="AH40" i="1"/>
  <c r="AC40" i="1" s="1"/>
  <c r="AH117" i="1"/>
  <c r="AN117" i="1" s="1"/>
  <c r="AB42" i="1"/>
  <c r="AG96" i="1"/>
  <c r="AB96" i="1" s="1"/>
  <c r="AB78" i="1"/>
  <c r="AJ53" i="1"/>
  <c r="AJ50" i="1"/>
  <c r="AB123" i="1"/>
  <c r="AN123" i="1"/>
  <c r="AC123" i="1"/>
  <c r="AB102" i="1"/>
  <c r="AC42" i="1"/>
  <c r="AG108" i="1"/>
  <c r="AC108" i="1" s="1"/>
  <c r="AJ86" i="1"/>
  <c r="AB86" i="1"/>
  <c r="AB57" i="1"/>
  <c r="AC102" i="1"/>
  <c r="AG122" i="1"/>
  <c r="AC122" i="1" s="1"/>
  <c r="AC90" i="1"/>
  <c r="AC74" i="1"/>
  <c r="AB110" i="1"/>
  <c r="AB62" i="1"/>
  <c r="AC94" i="1"/>
  <c r="AB58" i="1"/>
  <c r="AH113" i="1"/>
  <c r="AB113" i="1" s="1"/>
  <c r="AC62" i="1"/>
  <c r="AG116" i="1"/>
  <c r="AC116" i="1" s="1"/>
  <c r="AM116" i="1" s="1"/>
  <c r="AJ115" i="1"/>
  <c r="AC110" i="1"/>
  <c r="AJ69" i="1"/>
  <c r="AB41" i="1"/>
  <c r="AG100" i="1"/>
  <c r="AB100" i="1" s="1"/>
  <c r="AJ61" i="1"/>
  <c r="AB49" i="1"/>
  <c r="AB90" i="1"/>
  <c r="AB106" i="1"/>
  <c r="AM14" i="1"/>
  <c r="AB54" i="1"/>
  <c r="AC57" i="1"/>
  <c r="AC99" i="1"/>
  <c r="AB50" i="1"/>
  <c r="AB61" i="1"/>
  <c r="AC61" i="1"/>
  <c r="AC50" i="1"/>
  <c r="AC86" i="1"/>
  <c r="AC54" i="1"/>
  <c r="AB66" i="1"/>
  <c r="AB111" i="1"/>
  <c r="AB74" i="1"/>
  <c r="AB99" i="1"/>
  <c r="AC78" i="1"/>
  <c r="AJ114" i="1"/>
  <c r="AM13" i="1"/>
  <c r="AC106" i="1"/>
  <c r="AG82" i="1"/>
  <c r="AJ118" i="1"/>
  <c r="AB115" i="1"/>
  <c r="AC115" i="1"/>
  <c r="AM115" i="1" s="1"/>
  <c r="AH121" i="1"/>
  <c r="AB121" i="1" s="1"/>
  <c r="AB118" i="1"/>
  <c r="AB114" i="1"/>
  <c r="AN118" i="1"/>
  <c r="AC53" i="1"/>
  <c r="AB53" i="1"/>
  <c r="AC41" i="1"/>
  <c r="AC114" i="1"/>
  <c r="AM114" i="1" s="1"/>
  <c r="AG119" i="1"/>
  <c r="AC119" i="1" s="1"/>
  <c r="AM119" i="1" s="1"/>
  <c r="AC70" i="1"/>
  <c r="AC118" i="1"/>
  <c r="AM118" i="1" s="1"/>
  <c r="AC66" i="1"/>
  <c r="AN122" i="1"/>
  <c r="AN119" i="1"/>
  <c r="AB120" i="1"/>
  <c r="AN120" i="1"/>
  <c r="AC120" i="1"/>
  <c r="AM120" i="1" s="1"/>
  <c r="AB104" i="1"/>
  <c r="AC104" i="1"/>
  <c r="AB105" i="1"/>
  <c r="AC105" i="1"/>
  <c r="AB101" i="1"/>
  <c r="AC101" i="1"/>
  <c r="AB109" i="1"/>
  <c r="AC109" i="1"/>
  <c r="AB112" i="1"/>
  <c r="AC112" i="1"/>
  <c r="AC103" i="1"/>
  <c r="AB103" i="1"/>
  <c r="AN116" i="1"/>
  <c r="AB84" i="1"/>
  <c r="AC84" i="1"/>
  <c r="AC79" i="1"/>
  <c r="AB79" i="1"/>
  <c r="AC91" i="1"/>
  <c r="AB91" i="1"/>
  <c r="AB72" i="1"/>
  <c r="AC72" i="1"/>
  <c r="AB73" i="1"/>
  <c r="AC73" i="1"/>
  <c r="AB81" i="1"/>
  <c r="AC81" i="1"/>
  <c r="AB89" i="1"/>
  <c r="AC89" i="1"/>
  <c r="AB97" i="1"/>
  <c r="AC97" i="1"/>
  <c r="AC83" i="1"/>
  <c r="AB83" i="1"/>
  <c r="AB80" i="1"/>
  <c r="AC80" i="1"/>
  <c r="AB88" i="1"/>
  <c r="AC88" i="1"/>
  <c r="AC75" i="1"/>
  <c r="AB75" i="1"/>
  <c r="AC87" i="1"/>
  <c r="AB87" i="1"/>
  <c r="AC95" i="1"/>
  <c r="AB95" i="1"/>
  <c r="AB77" i="1"/>
  <c r="AC77" i="1"/>
  <c r="AB85" i="1"/>
  <c r="AC85" i="1"/>
  <c r="AB93" i="1"/>
  <c r="AC93" i="1"/>
  <c r="AB76" i="1"/>
  <c r="AC76" i="1"/>
  <c r="AB47" i="1"/>
  <c r="AC47" i="1"/>
  <c r="AB63" i="1"/>
  <c r="AC63" i="1"/>
  <c r="AB51" i="1"/>
  <c r="AC51" i="1"/>
  <c r="AC67" i="1"/>
  <c r="AB67" i="1"/>
  <c r="AB48" i="1"/>
  <c r="AC48" i="1"/>
  <c r="AB56" i="1"/>
  <c r="AC56" i="1"/>
  <c r="AB64" i="1"/>
  <c r="AC64" i="1"/>
  <c r="AB69" i="1"/>
  <c r="AC69" i="1"/>
  <c r="AC46" i="1"/>
  <c r="AB46" i="1"/>
  <c r="AB59" i="1"/>
  <c r="AC59" i="1"/>
  <c r="AB44" i="1"/>
  <c r="AC44" i="1"/>
  <c r="AB52" i="1"/>
  <c r="AC52" i="1"/>
  <c r="AB60" i="1"/>
  <c r="AC60" i="1"/>
  <c r="AB68" i="1"/>
  <c r="AC68" i="1"/>
  <c r="AM16" i="1"/>
  <c r="AM15" i="1"/>
  <c r="AB21" i="1"/>
  <c r="AC21" i="1"/>
  <c r="AM12" i="1"/>
  <c r="AC43" i="1" l="1"/>
  <c r="AC96" i="1"/>
  <c r="AB40" i="1"/>
  <c r="AC71" i="1"/>
  <c r="AC92" i="1"/>
  <c r="AB108" i="1"/>
  <c r="AC55" i="1"/>
  <c r="AB98" i="1"/>
  <c r="AM17" i="1"/>
  <c r="AB65" i="1"/>
  <c r="AB122" i="1"/>
  <c r="AC107" i="1"/>
  <c r="AB117" i="1"/>
  <c r="AC117" i="1"/>
  <c r="AM117" i="1" s="1"/>
  <c r="AM123" i="1"/>
  <c r="AC100" i="1"/>
  <c r="AM10" i="1"/>
  <c r="AC113" i="1"/>
  <c r="AM113" i="1" s="1"/>
  <c r="AN113" i="1"/>
  <c r="AB116" i="1"/>
  <c r="AN121" i="1"/>
  <c r="AC121" i="1"/>
  <c r="AM121" i="1" s="1"/>
  <c r="AB119" i="1"/>
  <c r="AC82" i="1"/>
  <c r="AB82" i="1"/>
  <c r="AM122" i="1"/>
  <c r="AI1033" i="1" l="1"/>
  <c r="AK1033" i="1"/>
  <c r="AI1034" i="1"/>
  <c r="AK1034" i="1"/>
  <c r="AI1035" i="1"/>
  <c r="AK1035" i="1"/>
  <c r="AB1033" i="1" l="1"/>
  <c r="AC1033" i="1"/>
  <c r="AG1033" i="1"/>
  <c r="AH1033" i="1"/>
  <c r="AJ1033" i="1"/>
  <c r="AL1033" i="1"/>
  <c r="AO1033" i="1"/>
  <c r="AP1033" i="1"/>
  <c r="AQ1033" i="1"/>
  <c r="AR1033" i="1"/>
  <c r="AB1034" i="1"/>
  <c r="AC1034" i="1"/>
  <c r="AG1034" i="1"/>
  <c r="AH1034" i="1"/>
  <c r="AJ1034" i="1"/>
  <c r="AL1034" i="1"/>
  <c r="AO1034" i="1"/>
  <c r="AP1034" i="1"/>
  <c r="AQ1034" i="1"/>
  <c r="AR1034" i="1"/>
  <c r="AB1035" i="1"/>
  <c r="AC1035" i="1"/>
  <c r="AG1035" i="1"/>
  <c r="AH1035" i="1"/>
  <c r="AJ1035" i="1"/>
  <c r="AL1035" i="1"/>
  <c r="AO1035" i="1"/>
  <c r="AP1035" i="1"/>
  <c r="AQ1035" i="1"/>
  <c r="AR1035" i="1"/>
  <c r="AJ7" i="1" l="1"/>
  <c r="AK7" i="1" s="1"/>
  <c r="AJ9" i="1" l="1"/>
  <c r="AJ8" i="1"/>
  <c r="AK8" i="1" s="1"/>
  <c r="AF18" i="1" l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F107" i="1" s="1"/>
  <c r="AF108" i="1" s="1"/>
  <c r="AF109" i="1" s="1"/>
  <c r="AF110" i="1" s="1"/>
  <c r="AF111" i="1" s="1"/>
  <c r="AF112" i="1" s="1"/>
  <c r="AF113" i="1" s="1"/>
  <c r="AF114" i="1" s="1"/>
  <c r="AF115" i="1" s="1"/>
  <c r="AF116" i="1" s="1"/>
  <c r="AF117" i="1" s="1"/>
  <c r="AF118" i="1" s="1"/>
  <c r="AF119" i="1" s="1"/>
  <c r="AF120" i="1" s="1"/>
  <c r="AF121" i="1" s="1"/>
  <c r="AF122" i="1" s="1"/>
  <c r="AF123" i="1" s="1"/>
  <c r="AK9" i="1"/>
  <c r="AK10" i="1" s="1"/>
  <c r="AK11" i="1" s="1"/>
  <c r="AK12" i="1" s="1"/>
  <c r="AK13" i="1" s="1"/>
  <c r="AK14" i="1" s="1"/>
  <c r="AK15" i="1" s="1"/>
  <c r="AK16" i="1" s="1"/>
  <c r="AK17" i="1" s="1"/>
  <c r="H2" i="2"/>
  <c r="AK18" i="1" l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E2" i="2"/>
  <c r="F2" i="2" s="1"/>
  <c r="J2" i="2" s="1"/>
  <c r="I2" i="2"/>
  <c r="AI18" i="1" l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E18" i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G2" i="2"/>
</calcChain>
</file>

<file path=xl/comments1.xml><?xml version="1.0" encoding="utf-8"?>
<comments xmlns="http://schemas.openxmlformats.org/spreadsheetml/2006/main">
  <authors>
    <author>licoon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licoon:</t>
        </r>
        <r>
          <rPr>
            <sz val="9"/>
            <color indexed="81"/>
            <rFont val="宋体"/>
            <family val="3"/>
            <charset val="134"/>
          </rPr>
          <t xml:space="preserve">
累计转入 - 累计转出</t>
        </r>
      </text>
    </comment>
  </commentList>
</comments>
</file>

<file path=xl/sharedStrings.xml><?xml version="1.0" encoding="utf-8"?>
<sst xmlns="http://schemas.openxmlformats.org/spreadsheetml/2006/main" count="69" uniqueCount="65">
  <si>
    <t>当前价格</t>
    <phoneticPr fontId="1" type="noConversion"/>
  </si>
  <si>
    <t>买入日期</t>
    <phoneticPr fontId="1" type="noConversion"/>
  </si>
  <si>
    <t>数量(手)</t>
    <phoneticPr fontId="1" type="noConversion"/>
  </si>
  <si>
    <t>买入价格</t>
    <phoneticPr fontId="1" type="noConversion"/>
  </si>
  <si>
    <t>卖出价格</t>
    <phoneticPr fontId="1" type="noConversion"/>
  </si>
  <si>
    <t>净收益率</t>
    <phoneticPr fontId="1" type="noConversion"/>
  </si>
  <si>
    <t>净收益额</t>
    <phoneticPr fontId="1" type="noConversion"/>
  </si>
  <si>
    <t>买入发生额</t>
    <phoneticPr fontId="1" type="noConversion"/>
  </si>
  <si>
    <t>卖出发生额</t>
    <phoneticPr fontId="1" type="noConversion"/>
  </si>
  <si>
    <t>双向佣金率</t>
    <phoneticPr fontId="1" type="noConversion"/>
  </si>
  <si>
    <t>买入佣金</t>
    <phoneticPr fontId="1" type="noConversion"/>
  </si>
  <si>
    <t>卖出佣金</t>
    <phoneticPr fontId="1" type="noConversion"/>
  </si>
  <si>
    <t>卖出印花税</t>
    <phoneticPr fontId="1" type="noConversion"/>
  </si>
  <si>
    <t>合计手续费</t>
    <phoneticPr fontId="1" type="noConversion"/>
  </si>
  <si>
    <t>过户费</t>
    <phoneticPr fontId="1" type="noConversion"/>
  </si>
  <si>
    <t>卖出日期</t>
    <phoneticPr fontId="1" type="noConversion"/>
  </si>
  <si>
    <t>日期</t>
    <phoneticPr fontId="1" type="noConversion"/>
  </si>
  <si>
    <t>转入证券</t>
    <phoneticPr fontId="1" type="noConversion"/>
  </si>
  <si>
    <t>转出证券</t>
    <phoneticPr fontId="1" type="noConversion"/>
  </si>
  <si>
    <t>仓位(%)</t>
    <phoneticPr fontId="1" type="noConversion"/>
  </si>
  <si>
    <t>股票代码</t>
    <phoneticPr fontId="1" type="noConversion"/>
  </si>
  <si>
    <t>涨幅</t>
    <phoneticPr fontId="1" type="noConversion"/>
  </si>
  <si>
    <t>振幅</t>
    <phoneticPr fontId="1" type="noConversion"/>
  </si>
  <si>
    <t>最高价</t>
    <phoneticPr fontId="1" type="noConversion"/>
  </si>
  <si>
    <t>最低价</t>
    <phoneticPr fontId="1" type="noConversion"/>
  </si>
  <si>
    <t>更新时间</t>
    <phoneticPr fontId="1" type="noConversion"/>
  </si>
  <si>
    <t>累计净收益</t>
    <phoneticPr fontId="1" type="noConversion"/>
  </si>
  <si>
    <t>累计手续费</t>
    <phoneticPr fontId="1" type="noConversion"/>
  </si>
  <si>
    <t>持股时长(天)</t>
    <phoneticPr fontId="1" type="noConversion"/>
  </si>
  <si>
    <t>证券本金</t>
    <phoneticPr fontId="1" type="noConversion"/>
  </si>
  <si>
    <t>可用余额</t>
    <phoneticPr fontId="1" type="noConversion"/>
  </si>
  <si>
    <t>证券余额</t>
    <phoneticPr fontId="1" type="noConversion"/>
  </si>
  <si>
    <t>证券盈亏</t>
    <phoneticPr fontId="1" type="noConversion"/>
  </si>
  <si>
    <t>当前持股累计市值</t>
    <phoneticPr fontId="1" type="noConversion"/>
  </si>
  <si>
    <t>当前持股市值</t>
    <phoneticPr fontId="1" type="noConversion"/>
  </si>
  <si>
    <t>当前持股盈亏</t>
    <phoneticPr fontId="1" type="noConversion"/>
  </si>
  <si>
    <t>当前持股累计盈亏</t>
    <phoneticPr fontId="1" type="noConversion"/>
  </si>
  <si>
    <t>当前持股累计市值</t>
    <phoneticPr fontId="1" type="noConversion"/>
  </si>
  <si>
    <t>当前持股累计盈亏</t>
    <phoneticPr fontId="1" type="noConversion"/>
  </si>
  <si>
    <t>成交金额(万)</t>
    <phoneticPr fontId="1" type="noConversion"/>
  </si>
  <si>
    <t>今开盘价</t>
    <phoneticPr fontId="1" type="noConversion"/>
  </si>
  <si>
    <t>昨收盘价</t>
    <phoneticPr fontId="1" type="noConversion"/>
  </si>
  <si>
    <t>买一价</t>
    <phoneticPr fontId="1" type="noConversion"/>
  </si>
  <si>
    <t>买一量(手)</t>
    <phoneticPr fontId="1" type="noConversion"/>
  </si>
  <si>
    <t>卖一价</t>
    <phoneticPr fontId="1" type="noConversion"/>
  </si>
  <si>
    <t>卖一量(手)</t>
    <phoneticPr fontId="1" type="noConversion"/>
  </si>
  <si>
    <t>市净率</t>
    <phoneticPr fontId="1" type="noConversion"/>
  </si>
  <si>
    <t>市盈率</t>
    <phoneticPr fontId="1" type="noConversion"/>
  </si>
  <si>
    <t>涨停价</t>
    <phoneticPr fontId="1" type="noConversion"/>
  </si>
  <si>
    <t>跌停价</t>
    <phoneticPr fontId="1" type="noConversion"/>
  </si>
  <si>
    <t>流通市值(亿)</t>
    <phoneticPr fontId="1" type="noConversion"/>
  </si>
  <si>
    <t>总市值(亿)</t>
    <phoneticPr fontId="1" type="noConversion"/>
  </si>
  <si>
    <t>换手率</t>
    <phoneticPr fontId="1" type="noConversion"/>
  </si>
  <si>
    <t>股票名称</t>
    <phoneticPr fontId="1" type="noConversion"/>
  </si>
  <si>
    <t>sh000001</t>
  </si>
  <si>
    <t>sz399006</t>
  </si>
  <si>
    <t>sz399001</t>
  </si>
  <si>
    <t>sz399005</t>
  </si>
  <si>
    <t>中小板指</t>
    <phoneticPr fontId="1" type="noConversion"/>
  </si>
  <si>
    <t>上证指数</t>
    <phoneticPr fontId="1" type="noConversion"/>
  </si>
  <si>
    <t>20181224150048</t>
    <phoneticPr fontId="1" type="noConversion"/>
  </si>
  <si>
    <t>深证成指</t>
    <phoneticPr fontId="1" type="noConversion"/>
  </si>
  <si>
    <t>20181224150127</t>
    <phoneticPr fontId="1" type="noConversion"/>
  </si>
  <si>
    <t>创业板指</t>
    <phoneticPr fontId="1" type="noConversion"/>
  </si>
  <si>
    <t>20181224150127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</si>
</sst>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 "/>
    <numFmt numFmtId="177" formatCode="[Color3]0.00%;[Color10]\-0.00%"/>
    <numFmt numFmtId="178" formatCode="[Color3]0.00_ ;[Color10]\-0.00\ "/>
    <numFmt numFmtId="179" formatCode="0_ "/>
    <numFmt numFmtId="180" formatCode="0.0_ "/>
  </numFmts>
  <fonts count="1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008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0"/>
      <color theme="1"/>
      <name val="微软雅黑"/>
      <family val="2"/>
      <charset val="134"/>
    </font>
    <font>
      <sz val="11"/>
      <name val="宋体"/>
      <family val="2"/>
      <scheme val="minor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1"/>
      <color rgb="FFFF0000"/>
      <name val="宋体"/>
      <family val="2"/>
      <scheme val="minor"/>
    </font>
    <font>
      <sz val="11"/>
      <color rgb="FF008000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0" fontId="0" fillId="0" borderId="0" xfId="0" applyNumberFormat="1"/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/>
    <xf numFmtId="178" fontId="2" fillId="0" borderId="0" xfId="0" applyNumberFormat="1" applyFont="1" applyAlignment="1">
      <alignment horizontal="center" vertical="center"/>
    </xf>
    <xf numFmtId="178" fontId="0" fillId="0" borderId="0" xfId="0" applyNumberFormat="1"/>
    <xf numFmtId="0" fontId="2" fillId="0" borderId="0" xfId="0" applyNumberFormat="1" applyFont="1" applyAlignment="1">
      <alignment horizontal="center" vertical="center"/>
    </xf>
    <xf numFmtId="0" fontId="0" fillId="0" borderId="0" xfId="0" applyNumberFormat="1"/>
    <xf numFmtId="0" fontId="2" fillId="0" borderId="0" xfId="0" applyFont="1" applyBorder="1" applyAlignment="1">
      <alignment horizontal="center"/>
    </xf>
    <xf numFmtId="178" fontId="2" fillId="0" borderId="0" xfId="0" applyNumberFormat="1" applyFont="1" applyBorder="1" applyAlignment="1">
      <alignment horizontal="center"/>
    </xf>
    <xf numFmtId="176" fontId="2" fillId="0" borderId="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horizontal="center"/>
    </xf>
    <xf numFmtId="10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8" fontId="3" fillId="0" borderId="0" xfId="0" applyNumberFormat="1" applyFont="1" applyBorder="1" applyAlignment="1">
      <alignment horizontal="center"/>
    </xf>
    <xf numFmtId="179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2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14" fontId="0" fillId="0" borderId="0" xfId="0" applyNumberFormat="1"/>
    <xf numFmtId="0" fontId="3" fillId="3" borderId="2" xfId="0" applyFont="1" applyFill="1" applyBorder="1" applyAlignment="1">
      <alignment horizontal="center" vertical="center"/>
    </xf>
    <xf numFmtId="178" fontId="3" fillId="3" borderId="2" xfId="0" applyNumberFormat="1" applyFont="1" applyFill="1" applyBorder="1" applyAlignment="1">
      <alignment horizontal="center" vertical="center"/>
    </xf>
    <xf numFmtId="179" fontId="3" fillId="3" borderId="2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0" fontId="3" fillId="3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49" fontId="0" fillId="0" borderId="0" xfId="0" applyNumberFormat="1"/>
    <xf numFmtId="49" fontId="3" fillId="4" borderId="2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10" fillId="0" borderId="0" xfId="0" applyNumberFormat="1" applyFont="1"/>
    <xf numFmtId="0" fontId="11" fillId="4" borderId="2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 vertical="center"/>
    </xf>
    <xf numFmtId="0" fontId="10" fillId="0" borderId="0" xfId="0" applyFont="1"/>
    <xf numFmtId="0" fontId="11" fillId="4" borderId="2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3" fillId="3" borderId="2" xfId="0" applyNumberFormat="1" applyFont="1" applyFill="1" applyBorder="1" applyAlignment="1">
      <alignment horizontal="center" vertical="center"/>
    </xf>
    <xf numFmtId="0" fontId="0" fillId="5" borderId="0" xfId="0" applyFill="1"/>
    <xf numFmtId="0" fontId="10" fillId="5" borderId="0" xfId="0" applyNumberFormat="1" applyFont="1" applyFill="1"/>
    <xf numFmtId="0" fontId="10" fillId="5" borderId="0" xfId="0" applyFont="1" applyFill="1"/>
    <xf numFmtId="0" fontId="2" fillId="5" borderId="0" xfId="0" applyFont="1" applyFill="1" applyAlignment="1">
      <alignment horizontal="center"/>
    </xf>
    <xf numFmtId="49" fontId="0" fillId="5" borderId="0" xfId="0" applyNumberFormat="1" applyFill="1"/>
    <xf numFmtId="14" fontId="0" fillId="5" borderId="0" xfId="0" applyNumberFormat="1" applyFill="1"/>
    <xf numFmtId="0" fontId="0" fillId="5" borderId="0" xfId="0" applyNumberFormat="1" applyFill="1"/>
    <xf numFmtId="178" fontId="0" fillId="5" borderId="0" xfId="0" applyNumberFormat="1" applyFill="1"/>
    <xf numFmtId="176" fontId="0" fillId="5" borderId="0" xfId="0" applyNumberFormat="1" applyFill="1"/>
    <xf numFmtId="10" fontId="0" fillId="5" borderId="0" xfId="0" applyNumberFormat="1" applyFill="1"/>
    <xf numFmtId="0" fontId="13" fillId="5" borderId="0" xfId="0" applyFont="1" applyFill="1"/>
    <xf numFmtId="10" fontId="13" fillId="5" borderId="0" xfId="0" applyNumberFormat="1" applyFont="1" applyFill="1"/>
    <xf numFmtId="0" fontId="14" fillId="5" borderId="0" xfId="0" applyFont="1" applyFill="1"/>
    <xf numFmtId="0" fontId="6" fillId="0" borderId="0" xfId="0" applyFont="1" applyBorder="1" applyAlignment="1">
      <alignment horizontal="center"/>
    </xf>
    <xf numFmtId="180" fontId="0" fillId="5" borderId="0" xfId="0" applyNumberFormat="1" applyFill="1"/>
    <xf numFmtId="180" fontId="3" fillId="0" borderId="0" xfId="0" applyNumberFormat="1" applyFont="1" applyBorder="1" applyAlignment="1">
      <alignment horizontal="center"/>
    </xf>
    <xf numFmtId="180" fontId="3" fillId="3" borderId="2" xfId="0" applyNumberFormat="1" applyFont="1" applyFill="1" applyBorder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80" fontId="0" fillId="0" borderId="0" xfId="0" applyNumberFormat="1"/>
    <xf numFmtId="0" fontId="3" fillId="2" borderId="4" xfId="0" applyNumberFormat="1" applyFont="1" applyFill="1" applyBorder="1" applyAlignment="1">
      <alignment horizontal="center" vertical="center"/>
    </xf>
    <xf numFmtId="177" fontId="0" fillId="5" borderId="3" xfId="0" applyNumberFormat="1" applyFill="1" applyBorder="1"/>
    <xf numFmtId="177" fontId="2" fillId="0" borderId="3" xfId="0" applyNumberFormat="1" applyFont="1" applyBorder="1" applyAlignment="1">
      <alignment horizontal="center"/>
    </xf>
    <xf numFmtId="177" fontId="3" fillId="3" borderId="5" xfId="0" applyNumberFormat="1" applyFont="1" applyFill="1" applyBorder="1" applyAlignment="1">
      <alignment horizontal="center" vertical="center"/>
    </xf>
    <xf numFmtId="177" fontId="2" fillId="0" borderId="3" xfId="0" applyNumberFormat="1" applyFont="1" applyBorder="1" applyAlignment="1">
      <alignment horizontal="center" vertical="center"/>
    </xf>
    <xf numFmtId="177" fontId="0" fillId="0" borderId="3" xfId="0" applyNumberFormat="1" applyBorder="1"/>
    <xf numFmtId="0" fontId="9" fillId="2" borderId="2" xfId="0" applyFont="1" applyFill="1" applyBorder="1" applyAlignment="1">
      <alignment horizontal="center" vertical="center"/>
    </xf>
    <xf numFmtId="10" fontId="5" fillId="0" borderId="0" xfId="0" applyNumberFormat="1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FF66FF"/>
      <color rgb="FFF0F0F0"/>
      <color rgb="FF92929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26" Type="http://schemas.openxmlformats.org/officeDocument/2006/relationships/image" Target="../media/image19.emf"/><Relationship Id="rId39" Type="http://schemas.openxmlformats.org/officeDocument/2006/relationships/image" Target="../media/image14.emf"/><Relationship Id="rId21" Type="http://schemas.openxmlformats.org/officeDocument/2006/relationships/image" Target="../media/image41.emf"/><Relationship Id="rId34" Type="http://schemas.openxmlformats.org/officeDocument/2006/relationships/image" Target="../media/image50.emf"/><Relationship Id="rId42" Type="http://schemas.openxmlformats.org/officeDocument/2006/relationships/image" Target="../media/image11.emf"/><Relationship Id="rId47" Type="http://schemas.openxmlformats.org/officeDocument/2006/relationships/image" Target="../media/image6.emf"/><Relationship Id="rId50" Type="http://schemas.openxmlformats.org/officeDocument/2006/relationships/image" Target="../media/image3.emf"/><Relationship Id="rId7" Type="http://schemas.openxmlformats.org/officeDocument/2006/relationships/image" Target="../media/image27.emf"/><Relationship Id="rId2" Type="http://schemas.openxmlformats.org/officeDocument/2006/relationships/image" Target="../media/image24.emf"/><Relationship Id="rId16" Type="http://schemas.openxmlformats.org/officeDocument/2006/relationships/image" Target="../media/image36.emf"/><Relationship Id="rId29" Type="http://schemas.openxmlformats.org/officeDocument/2006/relationships/image" Target="../media/image46.emf"/><Relationship Id="rId11" Type="http://schemas.openxmlformats.org/officeDocument/2006/relationships/image" Target="../media/image31.emf"/><Relationship Id="rId24" Type="http://schemas.openxmlformats.org/officeDocument/2006/relationships/image" Target="../media/image44.emf"/><Relationship Id="rId32" Type="http://schemas.openxmlformats.org/officeDocument/2006/relationships/image" Target="../media/image17.emf"/><Relationship Id="rId37" Type="http://schemas.openxmlformats.org/officeDocument/2006/relationships/image" Target="../media/image16.emf"/><Relationship Id="rId40" Type="http://schemas.openxmlformats.org/officeDocument/2006/relationships/image" Target="../media/image13.emf"/><Relationship Id="rId45" Type="http://schemas.openxmlformats.org/officeDocument/2006/relationships/image" Target="../media/image8.emf"/><Relationship Id="rId53" Type="http://schemas.openxmlformats.org/officeDocument/2006/relationships/image" Target="../media/image53.emf"/><Relationship Id="rId5" Type="http://schemas.openxmlformats.org/officeDocument/2006/relationships/image" Target="../media/image21.emf"/><Relationship Id="rId10" Type="http://schemas.openxmlformats.org/officeDocument/2006/relationships/image" Target="../media/image30.emf"/><Relationship Id="rId19" Type="http://schemas.openxmlformats.org/officeDocument/2006/relationships/image" Target="../media/image39.emf"/><Relationship Id="rId31" Type="http://schemas.openxmlformats.org/officeDocument/2006/relationships/image" Target="../media/image48.emf"/><Relationship Id="rId44" Type="http://schemas.openxmlformats.org/officeDocument/2006/relationships/image" Target="../media/image9.emf"/><Relationship Id="rId52" Type="http://schemas.openxmlformats.org/officeDocument/2006/relationships/image" Target="../media/image1.emf"/><Relationship Id="rId4" Type="http://schemas.openxmlformats.org/officeDocument/2006/relationships/image" Target="../media/image22.emf"/><Relationship Id="rId9" Type="http://schemas.openxmlformats.org/officeDocument/2006/relationships/image" Target="../media/image29.emf"/><Relationship Id="rId14" Type="http://schemas.openxmlformats.org/officeDocument/2006/relationships/image" Target="../media/image34.emf"/><Relationship Id="rId22" Type="http://schemas.openxmlformats.org/officeDocument/2006/relationships/image" Target="../media/image42.emf"/><Relationship Id="rId27" Type="http://schemas.openxmlformats.org/officeDocument/2006/relationships/image" Target="../media/image18.emf"/><Relationship Id="rId30" Type="http://schemas.openxmlformats.org/officeDocument/2006/relationships/image" Target="../media/image47.emf"/><Relationship Id="rId35" Type="http://schemas.openxmlformats.org/officeDocument/2006/relationships/image" Target="../media/image51.emf"/><Relationship Id="rId43" Type="http://schemas.openxmlformats.org/officeDocument/2006/relationships/image" Target="../media/image10.emf"/><Relationship Id="rId48" Type="http://schemas.openxmlformats.org/officeDocument/2006/relationships/image" Target="../media/image5.emf"/><Relationship Id="rId8" Type="http://schemas.openxmlformats.org/officeDocument/2006/relationships/image" Target="../media/image28.emf"/><Relationship Id="rId51" Type="http://schemas.openxmlformats.org/officeDocument/2006/relationships/image" Target="../media/image2.emf"/><Relationship Id="rId3" Type="http://schemas.openxmlformats.org/officeDocument/2006/relationships/image" Target="../media/image23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5" Type="http://schemas.openxmlformats.org/officeDocument/2006/relationships/image" Target="../media/image20.emf"/><Relationship Id="rId33" Type="http://schemas.openxmlformats.org/officeDocument/2006/relationships/image" Target="../media/image49.emf"/><Relationship Id="rId38" Type="http://schemas.openxmlformats.org/officeDocument/2006/relationships/image" Target="../media/image15.emf"/><Relationship Id="rId46" Type="http://schemas.openxmlformats.org/officeDocument/2006/relationships/image" Target="../media/image7.emf"/><Relationship Id="rId20" Type="http://schemas.openxmlformats.org/officeDocument/2006/relationships/image" Target="../media/image40.emf"/><Relationship Id="rId41" Type="http://schemas.openxmlformats.org/officeDocument/2006/relationships/image" Target="../media/image12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15" Type="http://schemas.openxmlformats.org/officeDocument/2006/relationships/image" Target="../media/image35.emf"/><Relationship Id="rId23" Type="http://schemas.openxmlformats.org/officeDocument/2006/relationships/image" Target="../media/image43.emf"/><Relationship Id="rId28" Type="http://schemas.openxmlformats.org/officeDocument/2006/relationships/image" Target="../media/image45.emf"/><Relationship Id="rId36" Type="http://schemas.openxmlformats.org/officeDocument/2006/relationships/image" Target="../media/image52.emf"/><Relationship Id="rId4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9525</xdr:rowOff>
        </xdr:from>
        <xdr:to>
          <xdr:col>6</xdr:col>
          <xdr:colOff>676275</xdr:colOff>
          <xdr:row>0</xdr:row>
          <xdr:rowOff>361950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361950</xdr:rowOff>
        </xdr:from>
        <xdr:to>
          <xdr:col>6</xdr:col>
          <xdr:colOff>676275</xdr:colOff>
          <xdr:row>0</xdr:row>
          <xdr:rowOff>714375</xdr:rowOff>
        </xdr:to>
        <xdr:sp macro="" textlink="">
          <xdr:nvSpPr>
            <xdr:cNvPr id="1027" name="Check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533400</xdr:colOff>
          <xdr:row>0</xdr:row>
          <xdr:rowOff>9525</xdr:rowOff>
        </xdr:from>
        <xdr:to>
          <xdr:col>27</xdr:col>
          <xdr:colOff>523875</xdr:colOff>
          <xdr:row>0</xdr:row>
          <xdr:rowOff>371475</xdr:rowOff>
        </xdr:to>
        <xdr:sp macro="" textlink="">
          <xdr:nvSpPr>
            <xdr:cNvPr id="1028" name="CheckBox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533400</xdr:colOff>
          <xdr:row>0</xdr:row>
          <xdr:rowOff>371475</xdr:rowOff>
        </xdr:from>
        <xdr:to>
          <xdr:col>27</xdr:col>
          <xdr:colOff>523875</xdr:colOff>
          <xdr:row>0</xdr:row>
          <xdr:rowOff>723900</xdr:rowOff>
        </xdr:to>
        <xdr:sp macro="" textlink="">
          <xdr:nvSpPr>
            <xdr:cNvPr id="1029" name="CheckBox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523875</xdr:colOff>
          <xdr:row>0</xdr:row>
          <xdr:rowOff>9525</xdr:rowOff>
        </xdr:from>
        <xdr:to>
          <xdr:col>28</xdr:col>
          <xdr:colOff>514350</xdr:colOff>
          <xdr:row>0</xdr:row>
          <xdr:rowOff>361950</xdr:rowOff>
        </xdr:to>
        <xdr:sp macro="" textlink="">
          <xdr:nvSpPr>
            <xdr:cNvPr id="1030" name="CheckBox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495300</xdr:colOff>
          <xdr:row>0</xdr:row>
          <xdr:rowOff>352425</xdr:rowOff>
        </xdr:from>
        <xdr:to>
          <xdr:col>44</xdr:col>
          <xdr:colOff>419100</xdr:colOff>
          <xdr:row>0</xdr:row>
          <xdr:rowOff>704850</xdr:rowOff>
        </xdr:to>
        <xdr:sp macro="" textlink="">
          <xdr:nvSpPr>
            <xdr:cNvPr id="1033" name="CheckBox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714375</xdr:rowOff>
        </xdr:from>
        <xdr:to>
          <xdr:col>4</xdr:col>
          <xdr:colOff>28575</xdr:colOff>
          <xdr:row>0</xdr:row>
          <xdr:rowOff>1066800</xdr:rowOff>
        </xdr:to>
        <xdr:sp macro="" textlink="">
          <xdr:nvSpPr>
            <xdr:cNvPr id="1034" name="CheckBox7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1057275</xdr:rowOff>
        </xdr:from>
        <xdr:to>
          <xdr:col>4</xdr:col>
          <xdr:colOff>28575</xdr:colOff>
          <xdr:row>1</xdr:row>
          <xdr:rowOff>0</xdr:rowOff>
        </xdr:to>
        <xdr:sp macro="" textlink="">
          <xdr:nvSpPr>
            <xdr:cNvPr id="1035" name="CheckBox8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714375</xdr:rowOff>
        </xdr:from>
        <xdr:to>
          <xdr:col>6</xdr:col>
          <xdr:colOff>676275</xdr:colOff>
          <xdr:row>0</xdr:row>
          <xdr:rowOff>1066800</xdr:rowOff>
        </xdr:to>
        <xdr:sp macro="" textlink="">
          <xdr:nvSpPr>
            <xdr:cNvPr id="1036" name="CheckBox9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0</xdr:row>
          <xdr:rowOff>714375</xdr:rowOff>
        </xdr:from>
        <xdr:to>
          <xdr:col>5</xdr:col>
          <xdr:colOff>0</xdr:colOff>
          <xdr:row>0</xdr:row>
          <xdr:rowOff>1066800</xdr:rowOff>
        </xdr:to>
        <xdr:sp macro="" textlink="">
          <xdr:nvSpPr>
            <xdr:cNvPr id="1037" name="CheckBox1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0</xdr:row>
          <xdr:rowOff>1057275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38" name="CheckBox1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714375</xdr:rowOff>
        </xdr:from>
        <xdr:to>
          <xdr:col>7</xdr:col>
          <xdr:colOff>666750</xdr:colOff>
          <xdr:row>0</xdr:row>
          <xdr:rowOff>1066800</xdr:rowOff>
        </xdr:to>
        <xdr:sp macro="" textlink="">
          <xdr:nvSpPr>
            <xdr:cNvPr id="1039" name="CheckBox12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1057275</xdr:rowOff>
        </xdr:from>
        <xdr:to>
          <xdr:col>7</xdr:col>
          <xdr:colOff>666750</xdr:colOff>
          <xdr:row>1</xdr:row>
          <xdr:rowOff>0</xdr:rowOff>
        </xdr:to>
        <xdr:sp macro="" textlink="">
          <xdr:nvSpPr>
            <xdr:cNvPr id="1040" name="CheckBox1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581025</xdr:colOff>
          <xdr:row>0</xdr:row>
          <xdr:rowOff>704850</xdr:rowOff>
        </xdr:from>
        <xdr:to>
          <xdr:col>26</xdr:col>
          <xdr:colOff>533400</xdr:colOff>
          <xdr:row>0</xdr:row>
          <xdr:rowOff>1057275</xdr:rowOff>
        </xdr:to>
        <xdr:sp macro="" textlink="">
          <xdr:nvSpPr>
            <xdr:cNvPr id="1041" name="CheckBox1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581025</xdr:colOff>
          <xdr:row>0</xdr:row>
          <xdr:rowOff>1057275</xdr:rowOff>
        </xdr:from>
        <xdr:to>
          <xdr:col>26</xdr:col>
          <xdr:colOff>533400</xdr:colOff>
          <xdr:row>1</xdr:row>
          <xdr:rowOff>0</xdr:rowOff>
        </xdr:to>
        <xdr:sp macro="" textlink="">
          <xdr:nvSpPr>
            <xdr:cNvPr id="1042" name="CheckBox15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523875</xdr:colOff>
          <xdr:row>0</xdr:row>
          <xdr:rowOff>704850</xdr:rowOff>
        </xdr:from>
        <xdr:to>
          <xdr:col>28</xdr:col>
          <xdr:colOff>514350</xdr:colOff>
          <xdr:row>0</xdr:row>
          <xdr:rowOff>1057275</xdr:rowOff>
        </xdr:to>
        <xdr:sp macro="" textlink="">
          <xdr:nvSpPr>
            <xdr:cNvPr id="1043" name="CheckBox16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514350</xdr:colOff>
          <xdr:row>0</xdr:row>
          <xdr:rowOff>704850</xdr:rowOff>
        </xdr:from>
        <xdr:to>
          <xdr:col>39</xdr:col>
          <xdr:colOff>504825</xdr:colOff>
          <xdr:row>0</xdr:row>
          <xdr:rowOff>1057275</xdr:rowOff>
        </xdr:to>
        <xdr:sp macro="" textlink="">
          <xdr:nvSpPr>
            <xdr:cNvPr id="1045" name="CheckBox18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533400</xdr:colOff>
          <xdr:row>0</xdr:row>
          <xdr:rowOff>704850</xdr:rowOff>
        </xdr:from>
        <xdr:to>
          <xdr:col>27</xdr:col>
          <xdr:colOff>523875</xdr:colOff>
          <xdr:row>0</xdr:row>
          <xdr:rowOff>1057275</xdr:rowOff>
        </xdr:to>
        <xdr:sp macro="" textlink="">
          <xdr:nvSpPr>
            <xdr:cNvPr id="1046" name="CheckBox19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533400</xdr:colOff>
          <xdr:row>0</xdr:row>
          <xdr:rowOff>1057275</xdr:rowOff>
        </xdr:from>
        <xdr:to>
          <xdr:col>27</xdr:col>
          <xdr:colOff>523875</xdr:colOff>
          <xdr:row>1</xdr:row>
          <xdr:rowOff>0</xdr:rowOff>
        </xdr:to>
        <xdr:sp macro="" textlink="">
          <xdr:nvSpPr>
            <xdr:cNvPr id="1047" name="CheckBox20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514350</xdr:colOff>
          <xdr:row>0</xdr:row>
          <xdr:rowOff>1057275</xdr:rowOff>
        </xdr:from>
        <xdr:to>
          <xdr:col>39</xdr:col>
          <xdr:colOff>504825</xdr:colOff>
          <xdr:row>1</xdr:row>
          <xdr:rowOff>0</xdr:rowOff>
        </xdr:to>
        <xdr:sp macro="" textlink="">
          <xdr:nvSpPr>
            <xdr:cNvPr id="1048" name="CheckBox2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9525</xdr:rowOff>
        </xdr:from>
        <xdr:to>
          <xdr:col>4</xdr:col>
          <xdr:colOff>19050</xdr:colOff>
          <xdr:row>0</xdr:row>
          <xdr:rowOff>361950</xdr:rowOff>
        </xdr:to>
        <xdr:sp macro="" textlink="">
          <xdr:nvSpPr>
            <xdr:cNvPr id="1049" name="CheckBox22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361950</xdr:rowOff>
        </xdr:from>
        <xdr:to>
          <xdr:col>4</xdr:col>
          <xdr:colOff>19050</xdr:colOff>
          <xdr:row>0</xdr:row>
          <xdr:rowOff>714375</xdr:rowOff>
        </xdr:to>
        <xdr:sp macro="" textlink="">
          <xdr:nvSpPr>
            <xdr:cNvPr id="1050" name="CheckBox23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0</xdr:row>
          <xdr:rowOff>9525</xdr:rowOff>
        </xdr:from>
        <xdr:to>
          <xdr:col>5</xdr:col>
          <xdr:colOff>0</xdr:colOff>
          <xdr:row>0</xdr:row>
          <xdr:rowOff>361950</xdr:rowOff>
        </xdr:to>
        <xdr:sp macro="" textlink="">
          <xdr:nvSpPr>
            <xdr:cNvPr id="1051" name="CheckBox24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9525</xdr:colOff>
          <xdr:row>0</xdr:row>
          <xdr:rowOff>276225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495300</xdr:colOff>
          <xdr:row>0</xdr:row>
          <xdr:rowOff>1057275</xdr:rowOff>
        </xdr:from>
        <xdr:to>
          <xdr:col>44</xdr:col>
          <xdr:colOff>409575</xdr:colOff>
          <xdr:row>1</xdr:row>
          <xdr:rowOff>0</xdr:rowOff>
        </xdr:to>
        <xdr:sp macro="" textlink="">
          <xdr:nvSpPr>
            <xdr:cNvPr id="1053" name="CheckBox25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523875</xdr:colOff>
          <xdr:row>0</xdr:row>
          <xdr:rowOff>1057275</xdr:rowOff>
        </xdr:from>
        <xdr:to>
          <xdr:col>28</xdr:col>
          <xdr:colOff>514350</xdr:colOff>
          <xdr:row>1</xdr:row>
          <xdr:rowOff>0</xdr:rowOff>
        </xdr:to>
        <xdr:sp macro="" textlink="">
          <xdr:nvSpPr>
            <xdr:cNvPr id="1054" name="CheckBox26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0</xdr:row>
          <xdr:rowOff>9525</xdr:rowOff>
        </xdr:from>
        <xdr:to>
          <xdr:col>2</xdr:col>
          <xdr:colOff>28575</xdr:colOff>
          <xdr:row>0</xdr:row>
          <xdr:rowOff>361950</xdr:rowOff>
        </xdr:to>
        <xdr:sp macro="" textlink="">
          <xdr:nvSpPr>
            <xdr:cNvPr id="1055" name="CheckBox27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0</xdr:row>
          <xdr:rowOff>371475</xdr:rowOff>
        </xdr:from>
        <xdr:to>
          <xdr:col>2</xdr:col>
          <xdr:colOff>38100</xdr:colOff>
          <xdr:row>0</xdr:row>
          <xdr:rowOff>723900</xdr:rowOff>
        </xdr:to>
        <xdr:sp macro="" textlink="">
          <xdr:nvSpPr>
            <xdr:cNvPr id="1056" name="CheckBox28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0</xdr:row>
          <xdr:rowOff>714375</xdr:rowOff>
        </xdr:from>
        <xdr:to>
          <xdr:col>2</xdr:col>
          <xdr:colOff>28575</xdr:colOff>
          <xdr:row>0</xdr:row>
          <xdr:rowOff>1066800</xdr:rowOff>
        </xdr:to>
        <xdr:sp macro="" textlink="">
          <xdr:nvSpPr>
            <xdr:cNvPr id="1058" name="CheckBox29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0</xdr:row>
          <xdr:rowOff>1057275</xdr:rowOff>
        </xdr:from>
        <xdr:to>
          <xdr:col>2</xdr:col>
          <xdr:colOff>38100</xdr:colOff>
          <xdr:row>1</xdr:row>
          <xdr:rowOff>0</xdr:rowOff>
        </xdr:to>
        <xdr:sp macro="" textlink="">
          <xdr:nvSpPr>
            <xdr:cNvPr id="1060" name="CheckBox31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1057275</xdr:rowOff>
        </xdr:from>
        <xdr:to>
          <xdr:col>6</xdr:col>
          <xdr:colOff>676275</xdr:colOff>
          <xdr:row>1</xdr:row>
          <xdr:rowOff>0</xdr:rowOff>
        </xdr:to>
        <xdr:sp macro="" textlink="">
          <xdr:nvSpPr>
            <xdr:cNvPr id="1063" name="CheckBox34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666750</xdr:colOff>
          <xdr:row>0</xdr:row>
          <xdr:rowOff>714375</xdr:rowOff>
        </xdr:from>
        <xdr:to>
          <xdr:col>22</xdr:col>
          <xdr:colOff>647700</xdr:colOff>
          <xdr:row>0</xdr:row>
          <xdr:rowOff>1066800</xdr:rowOff>
        </xdr:to>
        <xdr:sp macro="" textlink="">
          <xdr:nvSpPr>
            <xdr:cNvPr id="1065" name="CheckBox36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666750</xdr:colOff>
          <xdr:row>0</xdr:row>
          <xdr:rowOff>1057275</xdr:rowOff>
        </xdr:from>
        <xdr:to>
          <xdr:col>22</xdr:col>
          <xdr:colOff>647700</xdr:colOff>
          <xdr:row>1</xdr:row>
          <xdr:rowOff>0</xdr:rowOff>
        </xdr:to>
        <xdr:sp macro="" textlink="">
          <xdr:nvSpPr>
            <xdr:cNvPr id="1066" name="CheckBox37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647700</xdr:colOff>
          <xdr:row>0</xdr:row>
          <xdr:rowOff>714375</xdr:rowOff>
        </xdr:from>
        <xdr:to>
          <xdr:col>25</xdr:col>
          <xdr:colOff>590550</xdr:colOff>
          <xdr:row>0</xdr:row>
          <xdr:rowOff>1066800</xdr:rowOff>
        </xdr:to>
        <xdr:sp macro="" textlink="">
          <xdr:nvSpPr>
            <xdr:cNvPr id="1067" name="CheckBox38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647700</xdr:colOff>
          <xdr:row>0</xdr:row>
          <xdr:rowOff>1057275</xdr:rowOff>
        </xdr:from>
        <xdr:to>
          <xdr:col>25</xdr:col>
          <xdr:colOff>590550</xdr:colOff>
          <xdr:row>1</xdr:row>
          <xdr:rowOff>0</xdr:rowOff>
        </xdr:to>
        <xdr:sp macro="" textlink="">
          <xdr:nvSpPr>
            <xdr:cNvPr id="1068" name="CheckBox39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1200150</xdr:rowOff>
        </xdr:from>
        <xdr:to>
          <xdr:col>1</xdr:col>
          <xdr:colOff>9525</xdr:colOff>
          <xdr:row>0</xdr:row>
          <xdr:rowOff>1400175</xdr:rowOff>
        </xdr:to>
        <xdr:sp macro="" textlink="">
          <xdr:nvSpPr>
            <xdr:cNvPr id="1069" name="ComboBox1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9525</xdr:rowOff>
        </xdr:from>
        <xdr:to>
          <xdr:col>7</xdr:col>
          <xdr:colOff>666750</xdr:colOff>
          <xdr:row>0</xdr:row>
          <xdr:rowOff>361950</xdr:rowOff>
        </xdr:to>
        <xdr:sp macro="" textlink="">
          <xdr:nvSpPr>
            <xdr:cNvPr id="1070" name="CheckBox32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0</xdr:row>
          <xdr:rowOff>361950</xdr:rowOff>
        </xdr:from>
        <xdr:to>
          <xdr:col>5</xdr:col>
          <xdr:colOff>0</xdr:colOff>
          <xdr:row>0</xdr:row>
          <xdr:rowOff>714375</xdr:rowOff>
        </xdr:to>
        <xdr:sp macro="" textlink="">
          <xdr:nvSpPr>
            <xdr:cNvPr id="1071" name="CheckBox33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514350</xdr:colOff>
          <xdr:row>0</xdr:row>
          <xdr:rowOff>361950</xdr:rowOff>
        </xdr:from>
        <xdr:to>
          <xdr:col>28</xdr:col>
          <xdr:colOff>514350</xdr:colOff>
          <xdr:row>0</xdr:row>
          <xdr:rowOff>714375</xdr:rowOff>
        </xdr:to>
        <xdr:sp macro="" textlink="">
          <xdr:nvSpPr>
            <xdr:cNvPr id="1073" name="CheckBox40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514350</xdr:colOff>
          <xdr:row>0</xdr:row>
          <xdr:rowOff>9525</xdr:rowOff>
        </xdr:from>
        <xdr:to>
          <xdr:col>39</xdr:col>
          <xdr:colOff>514350</xdr:colOff>
          <xdr:row>0</xdr:row>
          <xdr:rowOff>361950</xdr:rowOff>
        </xdr:to>
        <xdr:sp macro="" textlink="">
          <xdr:nvSpPr>
            <xdr:cNvPr id="1074" name="CheckBox41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590550</xdr:colOff>
          <xdr:row>0</xdr:row>
          <xdr:rowOff>9525</xdr:rowOff>
        </xdr:from>
        <xdr:to>
          <xdr:col>26</xdr:col>
          <xdr:colOff>533400</xdr:colOff>
          <xdr:row>0</xdr:row>
          <xdr:rowOff>361950</xdr:rowOff>
        </xdr:to>
        <xdr:sp macro="" textlink="">
          <xdr:nvSpPr>
            <xdr:cNvPr id="1075" name="CheckBox42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590550</xdr:colOff>
          <xdr:row>0</xdr:row>
          <xdr:rowOff>361950</xdr:rowOff>
        </xdr:from>
        <xdr:to>
          <xdr:col>26</xdr:col>
          <xdr:colOff>542925</xdr:colOff>
          <xdr:row>0</xdr:row>
          <xdr:rowOff>714375</xdr:rowOff>
        </xdr:to>
        <xdr:sp macro="" textlink="">
          <xdr:nvSpPr>
            <xdr:cNvPr id="1076" name="CheckBox43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666750</xdr:colOff>
          <xdr:row>0</xdr:row>
          <xdr:rowOff>9525</xdr:rowOff>
        </xdr:from>
        <xdr:to>
          <xdr:col>22</xdr:col>
          <xdr:colOff>647700</xdr:colOff>
          <xdr:row>0</xdr:row>
          <xdr:rowOff>361950</xdr:rowOff>
        </xdr:to>
        <xdr:sp macro="" textlink="">
          <xdr:nvSpPr>
            <xdr:cNvPr id="1077" name="CheckBox44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666750</xdr:colOff>
          <xdr:row>0</xdr:row>
          <xdr:rowOff>361950</xdr:rowOff>
        </xdr:from>
        <xdr:to>
          <xdr:col>22</xdr:col>
          <xdr:colOff>647700</xdr:colOff>
          <xdr:row>0</xdr:row>
          <xdr:rowOff>714375</xdr:rowOff>
        </xdr:to>
        <xdr:sp macro="" textlink="">
          <xdr:nvSpPr>
            <xdr:cNvPr id="1078" name="CheckBox45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647700</xdr:colOff>
          <xdr:row>0</xdr:row>
          <xdr:rowOff>9525</xdr:rowOff>
        </xdr:from>
        <xdr:to>
          <xdr:col>25</xdr:col>
          <xdr:colOff>590550</xdr:colOff>
          <xdr:row>0</xdr:row>
          <xdr:rowOff>361950</xdr:rowOff>
        </xdr:to>
        <xdr:sp macro="" textlink="">
          <xdr:nvSpPr>
            <xdr:cNvPr id="1079" name="CheckBox46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647700</xdr:colOff>
          <xdr:row>0</xdr:row>
          <xdr:rowOff>361950</xdr:rowOff>
        </xdr:from>
        <xdr:to>
          <xdr:col>25</xdr:col>
          <xdr:colOff>590550</xdr:colOff>
          <xdr:row>0</xdr:row>
          <xdr:rowOff>714375</xdr:rowOff>
        </xdr:to>
        <xdr:sp macro="" textlink="">
          <xdr:nvSpPr>
            <xdr:cNvPr id="1080" name="CheckBox47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514350</xdr:colOff>
          <xdr:row>0</xdr:row>
          <xdr:rowOff>361950</xdr:rowOff>
        </xdr:from>
        <xdr:to>
          <xdr:col>39</xdr:col>
          <xdr:colOff>504825</xdr:colOff>
          <xdr:row>0</xdr:row>
          <xdr:rowOff>714375</xdr:rowOff>
        </xdr:to>
        <xdr:sp macro="" textlink="">
          <xdr:nvSpPr>
            <xdr:cNvPr id="1082" name="CheckBox4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361950</xdr:rowOff>
        </xdr:from>
        <xdr:to>
          <xdr:col>7</xdr:col>
          <xdr:colOff>666750</xdr:colOff>
          <xdr:row>0</xdr:row>
          <xdr:rowOff>714375</xdr:rowOff>
        </xdr:to>
        <xdr:sp macro="" textlink="">
          <xdr:nvSpPr>
            <xdr:cNvPr id="1083" name="CheckBox4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495300</xdr:colOff>
          <xdr:row>0</xdr:row>
          <xdr:rowOff>0</xdr:rowOff>
        </xdr:from>
        <xdr:to>
          <xdr:col>44</xdr:col>
          <xdr:colOff>419100</xdr:colOff>
          <xdr:row>0</xdr:row>
          <xdr:rowOff>352425</xdr:rowOff>
        </xdr:to>
        <xdr:sp macro="" textlink="">
          <xdr:nvSpPr>
            <xdr:cNvPr id="1072" name="CheckBox35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485775</xdr:colOff>
          <xdr:row>0</xdr:row>
          <xdr:rowOff>704850</xdr:rowOff>
        </xdr:from>
        <xdr:to>
          <xdr:col>44</xdr:col>
          <xdr:colOff>409575</xdr:colOff>
          <xdr:row>0</xdr:row>
          <xdr:rowOff>1057275</xdr:rowOff>
        </xdr:to>
        <xdr:sp macro="" textlink="">
          <xdr:nvSpPr>
            <xdr:cNvPr id="1044" name="CheckBox1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304800</xdr:rowOff>
        </xdr:from>
        <xdr:to>
          <xdr:col>1</xdr:col>
          <xdr:colOff>9525</xdr:colOff>
          <xdr:row>0</xdr:row>
          <xdr:rowOff>571500</xdr:rowOff>
        </xdr:to>
        <xdr:sp macro="" textlink="">
          <xdr:nvSpPr>
            <xdr:cNvPr id="1085" name="CommandButton2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600075</xdr:rowOff>
        </xdr:from>
        <xdr:to>
          <xdr:col>1</xdr:col>
          <xdr:colOff>9525</xdr:colOff>
          <xdr:row>0</xdr:row>
          <xdr:rowOff>866775</xdr:rowOff>
        </xdr:to>
        <xdr:sp macro="" textlink="">
          <xdr:nvSpPr>
            <xdr:cNvPr id="1086" name="CommandButton3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904875</xdr:rowOff>
        </xdr:from>
        <xdr:to>
          <xdr:col>1</xdr:col>
          <xdr:colOff>9525</xdr:colOff>
          <xdr:row>0</xdr:row>
          <xdr:rowOff>1171575</xdr:rowOff>
        </xdr:to>
        <xdr:sp macro="" textlink="">
          <xdr:nvSpPr>
            <xdr:cNvPr id="1087" name="CommandButton4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66FF"/>
  </sheetPr>
  <dimension ref="A1:AT1035"/>
  <sheetViews>
    <sheetView tabSelected="1" zoomScaleNormal="100" workbookViewId="0">
      <pane ySplit="6" topLeftCell="A7" activePane="bottomLeft" state="frozen"/>
      <selection pane="bottomLeft" activeCell="H10" sqref="A7:H10"/>
    </sheetView>
  </sheetViews>
  <sheetFormatPr defaultRowHeight="15.75" x14ac:dyDescent="0.3"/>
  <cols>
    <col min="1" max="1" width="9.875" customWidth="1"/>
    <col min="2" max="2" width="9" customWidth="1"/>
    <col min="3" max="3" width="9.125" customWidth="1"/>
    <col min="4" max="4" width="9" hidden="1" customWidth="1"/>
    <col min="5" max="5" width="9.125" customWidth="1"/>
    <col min="6" max="6" width="9.125" hidden="1" customWidth="1"/>
    <col min="7" max="7" width="9" customWidth="1"/>
    <col min="8" max="8" width="9.125" style="47" customWidth="1"/>
    <col min="9" max="9" width="9.125" hidden="1" customWidth="1"/>
    <col min="10" max="10" width="9.125" style="51" hidden="1" customWidth="1"/>
    <col min="11" max="11" width="9.125" hidden="1" customWidth="1"/>
    <col min="12" max="12" width="9.125" style="51" hidden="1" customWidth="1"/>
    <col min="13" max="14" width="9" hidden="1" customWidth="1"/>
    <col min="15" max="17" width="9.125" hidden="1" customWidth="1"/>
    <col min="18" max="18" width="9.125" style="45" hidden="1" customWidth="1"/>
    <col min="19" max="20" width="9.125" style="51" hidden="1" customWidth="1"/>
    <col min="21" max="21" width="8.75" style="51" hidden="1" customWidth="1"/>
    <col min="22" max="22" width="14.125" style="41" hidden="1" customWidth="1"/>
    <col min="23" max="23" width="9.625" style="34" customWidth="1"/>
    <col min="24" max="24" width="9.125" hidden="1" customWidth="1"/>
    <col min="25" max="25" width="7.25" hidden="1" customWidth="1"/>
    <col min="26" max="26" width="9.5" style="34" customWidth="1"/>
    <col min="27" max="27" width="9" style="9" customWidth="1"/>
    <col min="28" max="28" width="9" style="82" customWidth="1"/>
    <col min="29" max="29" width="9" style="7" customWidth="1"/>
    <col min="30" max="30" width="9.375" hidden="1" customWidth="1"/>
    <col min="31" max="31" width="12.125" style="76" hidden="1" customWidth="1"/>
    <col min="32" max="32" width="12.375" style="76" hidden="1" customWidth="1"/>
    <col min="33" max="34" width="9" style="5" hidden="1" customWidth="1"/>
    <col min="35" max="35" width="8.625" style="5" hidden="1" customWidth="1"/>
    <col min="36" max="37" width="9" style="5" hidden="1" customWidth="1"/>
    <col min="38" max="38" width="8.875" style="3" hidden="1" customWidth="1"/>
    <col min="39" max="39" width="10" style="7" hidden="1" customWidth="1"/>
    <col min="40" max="40" width="9.875" customWidth="1"/>
    <col min="41" max="41" width="8.5" style="5" hidden="1" customWidth="1"/>
    <col min="42" max="44" width="9" style="5" hidden="1" customWidth="1"/>
  </cols>
  <sheetData>
    <row r="1" spans="1:44" s="58" customFormat="1" ht="111" customHeight="1" x14ac:dyDescent="0.3">
      <c r="C1" s="68"/>
      <c r="E1" s="69"/>
      <c r="F1" s="67"/>
      <c r="G1" s="68"/>
      <c r="H1" s="59"/>
      <c r="J1" s="60"/>
      <c r="L1" s="60"/>
      <c r="O1" s="68"/>
      <c r="P1" s="70"/>
      <c r="R1" s="61"/>
      <c r="S1" s="60"/>
      <c r="T1" s="60"/>
      <c r="U1" s="60"/>
      <c r="V1" s="62"/>
      <c r="W1" s="63"/>
      <c r="Z1" s="63"/>
      <c r="AA1" s="64"/>
      <c r="AB1" s="78"/>
      <c r="AC1" s="65"/>
      <c r="AE1" s="72"/>
      <c r="AF1" s="72"/>
      <c r="AG1" s="66"/>
      <c r="AH1" s="66"/>
      <c r="AI1" s="66"/>
      <c r="AJ1" s="66"/>
      <c r="AK1" s="66"/>
      <c r="AL1" s="67"/>
      <c r="AM1" s="65"/>
      <c r="AO1" s="66"/>
      <c r="AP1" s="66"/>
      <c r="AQ1" s="66"/>
      <c r="AR1" s="66"/>
    </row>
    <row r="2" spans="1:44" s="25" customFormat="1" ht="14.25" x14ac:dyDescent="0.3">
      <c r="A2" s="1" t="s">
        <v>54</v>
      </c>
      <c r="B2" s="24" t="s">
        <v>59</v>
      </c>
      <c r="C2" s="18">
        <v>2527.0100000000002</v>
      </c>
      <c r="D2" s="10"/>
      <c r="E2" s="84">
        <v>4.3E-3</v>
      </c>
      <c r="F2" s="13">
        <v>1.15E-2</v>
      </c>
      <c r="G2" s="71">
        <v>2506.7399999999998</v>
      </c>
      <c r="H2" s="49">
        <v>2516.25</v>
      </c>
      <c r="I2" s="18"/>
      <c r="J2" s="53"/>
      <c r="K2" s="18"/>
      <c r="L2" s="53"/>
      <c r="M2" s="10"/>
      <c r="N2" s="10"/>
      <c r="O2" s="18">
        <v>2529.44</v>
      </c>
      <c r="P2" s="71">
        <v>2500.44</v>
      </c>
      <c r="Q2" s="10">
        <v>8576094</v>
      </c>
      <c r="R2" s="45"/>
      <c r="S2" s="53">
        <v>0</v>
      </c>
      <c r="T2" s="53"/>
      <c r="U2" s="53"/>
      <c r="V2" s="43" t="s">
        <v>62</v>
      </c>
      <c r="W2" s="32"/>
      <c r="X2" s="10"/>
      <c r="Y2" s="10"/>
      <c r="Z2" s="33"/>
      <c r="AA2" s="14"/>
      <c r="AB2" s="79"/>
      <c r="AC2" s="11"/>
      <c r="AE2" s="73"/>
      <c r="AF2" s="73"/>
      <c r="AG2" s="12"/>
      <c r="AH2" s="12"/>
      <c r="AI2" s="12"/>
      <c r="AJ2" s="12"/>
      <c r="AK2" s="12"/>
      <c r="AL2" s="13"/>
      <c r="AM2" s="29"/>
      <c r="AO2" s="12"/>
      <c r="AP2" s="12"/>
      <c r="AQ2" s="12"/>
      <c r="AR2" s="12"/>
    </row>
    <row r="3" spans="1:44" s="25" customFormat="1" ht="14.25" x14ac:dyDescent="0.3">
      <c r="A3" s="1" t="s">
        <v>56</v>
      </c>
      <c r="B3" s="24" t="s">
        <v>61</v>
      </c>
      <c r="C3" s="18">
        <v>7392.56</v>
      </c>
      <c r="D3" s="10"/>
      <c r="E3" s="84">
        <v>7.4999999999999997E-3</v>
      </c>
      <c r="F3" s="13">
        <v>1.37E-2</v>
      </c>
      <c r="G3" s="71">
        <v>7315.26</v>
      </c>
      <c r="H3" s="49">
        <v>7337.6</v>
      </c>
      <c r="I3" s="18"/>
      <c r="J3" s="53"/>
      <c r="K3" s="18"/>
      <c r="L3" s="53"/>
      <c r="M3" s="10"/>
      <c r="N3" s="10"/>
      <c r="O3" s="18">
        <v>7393.71</v>
      </c>
      <c r="P3" s="71">
        <v>7293.15</v>
      </c>
      <c r="Q3" s="10">
        <v>12754492</v>
      </c>
      <c r="R3" s="45"/>
      <c r="S3" s="53">
        <v>0</v>
      </c>
      <c r="T3" s="53"/>
      <c r="U3" s="53"/>
      <c r="V3" s="43" t="s">
        <v>60</v>
      </c>
      <c r="W3" s="32"/>
      <c r="X3" s="10"/>
      <c r="Y3" s="10"/>
      <c r="Z3" s="33"/>
      <c r="AA3" s="14"/>
      <c r="AB3" s="79"/>
      <c r="AC3" s="11"/>
      <c r="AE3" s="73"/>
      <c r="AF3" s="73"/>
      <c r="AG3" s="12"/>
      <c r="AH3" s="12"/>
      <c r="AI3" s="12"/>
      <c r="AJ3" s="12"/>
      <c r="AK3" s="12"/>
      <c r="AL3" s="13"/>
      <c r="AM3" s="29"/>
      <c r="AO3" s="12"/>
      <c r="AP3" s="12"/>
      <c r="AQ3" s="12"/>
      <c r="AR3" s="12"/>
    </row>
    <row r="4" spans="1:44" s="25" customFormat="1" ht="14.25" x14ac:dyDescent="0.3">
      <c r="A4" s="1" t="s">
        <v>57</v>
      </c>
      <c r="B4" s="24" t="s">
        <v>58</v>
      </c>
      <c r="C4" s="18">
        <v>4811.29</v>
      </c>
      <c r="D4" s="10"/>
      <c r="E4" s="84">
        <v>8.6999999999999994E-3</v>
      </c>
      <c r="F4" s="13">
        <v>1.5900000000000001E-2</v>
      </c>
      <c r="G4" s="71">
        <v>4755.7299999999996</v>
      </c>
      <c r="H4" s="49">
        <v>4769.66</v>
      </c>
      <c r="I4" s="18"/>
      <c r="J4" s="53"/>
      <c r="K4" s="18"/>
      <c r="L4" s="53"/>
      <c r="M4" s="10"/>
      <c r="N4" s="10"/>
      <c r="O4" s="18">
        <v>4815.22</v>
      </c>
      <c r="P4" s="71">
        <v>4739.22</v>
      </c>
      <c r="Q4" s="10">
        <v>1689103</v>
      </c>
      <c r="R4" s="45"/>
      <c r="S4" s="53">
        <v>0</v>
      </c>
      <c r="T4" s="53"/>
      <c r="U4" s="53"/>
      <c r="V4" s="43" t="s">
        <v>60</v>
      </c>
      <c r="W4" s="32"/>
      <c r="X4" s="10"/>
      <c r="Y4" s="10"/>
      <c r="Z4" s="33"/>
      <c r="AA4" s="14"/>
      <c r="AB4" s="79"/>
      <c r="AC4" s="11"/>
      <c r="AE4" s="73"/>
      <c r="AF4" s="73"/>
      <c r="AG4" s="12"/>
      <c r="AH4" s="12"/>
      <c r="AI4" s="12"/>
      <c r="AJ4" s="12"/>
      <c r="AK4" s="12"/>
      <c r="AL4" s="13"/>
      <c r="AM4" s="29"/>
      <c r="AO4" s="12"/>
      <c r="AP4" s="12"/>
      <c r="AQ4" s="12"/>
      <c r="AR4" s="12"/>
    </row>
    <row r="5" spans="1:44" s="25" customFormat="1" ht="14.25" x14ac:dyDescent="0.3">
      <c r="A5" s="1" t="s">
        <v>55</v>
      </c>
      <c r="B5" s="24" t="s">
        <v>63</v>
      </c>
      <c r="C5" s="18">
        <v>1284.33</v>
      </c>
      <c r="D5" s="10"/>
      <c r="E5" s="84">
        <v>1.0999999999999999E-2</v>
      </c>
      <c r="F5" s="13">
        <v>1.7399999999999999E-2</v>
      </c>
      <c r="G5" s="71">
        <v>1267.23</v>
      </c>
      <c r="H5" s="49">
        <v>1270.3</v>
      </c>
      <c r="I5" s="18"/>
      <c r="J5" s="53"/>
      <c r="K5" s="18"/>
      <c r="L5" s="53"/>
      <c r="M5" s="10"/>
      <c r="N5" s="10"/>
      <c r="O5" s="18">
        <v>1285.69</v>
      </c>
      <c r="P5" s="71">
        <v>1263.57</v>
      </c>
      <c r="Q5" s="10">
        <v>1207392</v>
      </c>
      <c r="R5" s="45"/>
      <c r="S5" s="53">
        <v>0</v>
      </c>
      <c r="T5" s="53"/>
      <c r="U5" s="53"/>
      <c r="V5" s="43" t="s">
        <v>60</v>
      </c>
      <c r="W5" s="32"/>
      <c r="X5" s="10"/>
      <c r="Y5" s="10"/>
      <c r="Z5" s="33"/>
      <c r="AA5" s="14"/>
      <c r="AB5" s="79"/>
      <c r="AC5" s="11"/>
      <c r="AE5" s="73"/>
      <c r="AF5" s="73"/>
      <c r="AG5" s="12"/>
      <c r="AH5" s="12"/>
      <c r="AI5" s="12"/>
      <c r="AJ5" s="12"/>
      <c r="AK5" s="12"/>
      <c r="AL5" s="13"/>
      <c r="AM5" s="29"/>
      <c r="AO5" s="12"/>
      <c r="AP5" s="12"/>
      <c r="AQ5" s="12"/>
      <c r="AR5" s="12"/>
    </row>
    <row r="6" spans="1:44" s="26" customFormat="1" ht="21" customHeight="1" x14ac:dyDescent="0.15">
      <c r="A6" s="56" t="s">
        <v>20</v>
      </c>
      <c r="B6" s="40" t="s">
        <v>53</v>
      </c>
      <c r="C6" s="40" t="s">
        <v>0</v>
      </c>
      <c r="D6" s="40" t="s">
        <v>50</v>
      </c>
      <c r="E6" s="40" t="s">
        <v>21</v>
      </c>
      <c r="F6" s="40" t="s">
        <v>22</v>
      </c>
      <c r="G6" s="40" t="s">
        <v>40</v>
      </c>
      <c r="H6" s="48" t="s">
        <v>41</v>
      </c>
      <c r="I6" s="40" t="s">
        <v>42</v>
      </c>
      <c r="J6" s="52" t="s">
        <v>43</v>
      </c>
      <c r="K6" s="40" t="s">
        <v>44</v>
      </c>
      <c r="L6" s="52" t="s">
        <v>45</v>
      </c>
      <c r="M6" s="40" t="s">
        <v>48</v>
      </c>
      <c r="N6" s="40" t="s">
        <v>49</v>
      </c>
      <c r="O6" s="40" t="s">
        <v>23</v>
      </c>
      <c r="P6" s="40" t="s">
        <v>24</v>
      </c>
      <c r="Q6" s="40" t="s">
        <v>39</v>
      </c>
      <c r="R6" s="40" t="s">
        <v>52</v>
      </c>
      <c r="S6" s="52" t="s">
        <v>46</v>
      </c>
      <c r="T6" s="52" t="s">
        <v>47</v>
      </c>
      <c r="U6" s="52" t="s">
        <v>51</v>
      </c>
      <c r="V6" s="42" t="s">
        <v>25</v>
      </c>
      <c r="W6" s="55" t="s">
        <v>1</v>
      </c>
      <c r="X6" s="56" t="s">
        <v>3</v>
      </c>
      <c r="Y6" s="56" t="s">
        <v>2</v>
      </c>
      <c r="Z6" s="55" t="s">
        <v>15</v>
      </c>
      <c r="AA6" s="77" t="s">
        <v>4</v>
      </c>
      <c r="AB6" s="80" t="s">
        <v>5</v>
      </c>
      <c r="AC6" s="36" t="s">
        <v>6</v>
      </c>
      <c r="AD6" s="36" t="s">
        <v>28</v>
      </c>
      <c r="AE6" s="74" t="s">
        <v>36</v>
      </c>
      <c r="AF6" s="74" t="s">
        <v>33</v>
      </c>
      <c r="AG6" s="38" t="s">
        <v>7</v>
      </c>
      <c r="AH6" s="38" t="s">
        <v>8</v>
      </c>
      <c r="AI6" s="38" t="s">
        <v>26</v>
      </c>
      <c r="AJ6" s="38" t="s">
        <v>13</v>
      </c>
      <c r="AK6" s="38" t="s">
        <v>27</v>
      </c>
      <c r="AL6" s="39" t="s">
        <v>9</v>
      </c>
      <c r="AM6" s="36" t="s">
        <v>35</v>
      </c>
      <c r="AN6" s="35" t="s">
        <v>34</v>
      </c>
      <c r="AO6" s="38" t="s">
        <v>14</v>
      </c>
      <c r="AP6" s="38" t="s">
        <v>10</v>
      </c>
      <c r="AQ6" s="38" t="s">
        <v>11</v>
      </c>
      <c r="AR6" s="38" t="s">
        <v>12</v>
      </c>
    </row>
    <row r="7" spans="1:44" s="1" customFormat="1" ht="14.25" x14ac:dyDescent="0.3">
      <c r="C7" s="21"/>
      <c r="E7" s="22"/>
      <c r="F7" s="2"/>
      <c r="G7" s="21"/>
      <c r="H7" s="50"/>
      <c r="I7" s="21">
        <v>58.25</v>
      </c>
      <c r="J7" s="54">
        <v>1398</v>
      </c>
      <c r="K7" s="21">
        <v>58.26</v>
      </c>
      <c r="L7" s="54">
        <v>442</v>
      </c>
      <c r="M7" s="1">
        <v>64.17</v>
      </c>
      <c r="N7" s="1">
        <v>52.51</v>
      </c>
      <c r="O7" s="21">
        <v>58.3</v>
      </c>
      <c r="P7" s="21">
        <v>57.75</v>
      </c>
      <c r="Q7" s="1">
        <v>208447</v>
      </c>
      <c r="R7" s="46">
        <v>3.3E-3</v>
      </c>
      <c r="S7" s="54">
        <v>2.02</v>
      </c>
      <c r="T7" s="54">
        <v>10.42</v>
      </c>
      <c r="U7" s="54">
        <v>10648.24</v>
      </c>
      <c r="V7" s="44" t="s">
        <v>62</v>
      </c>
      <c r="W7" s="27"/>
      <c r="Z7" s="27"/>
      <c r="AA7" s="8"/>
      <c r="AB7" s="81"/>
      <c r="AC7" s="6"/>
      <c r="AE7" s="75"/>
      <c r="AF7" s="75"/>
      <c r="AG7" s="4"/>
      <c r="AH7" s="4"/>
      <c r="AI7" s="4"/>
      <c r="AJ7" s="4" t="str">
        <f>IF(X7="","",AO7+AP7+AO7+AQ7+AR7)</f>
        <v/>
      </c>
      <c r="AK7" s="4" t="str">
        <f>IF(X7="","",AJ7)</f>
        <v/>
      </c>
      <c r="AL7" s="2" t="str">
        <f>IF(X7="","",0.18%)</f>
        <v/>
      </c>
      <c r="AM7" s="6" t="str">
        <f>IF(X7="","",IF(Z7="",AC7,""))</f>
        <v/>
      </c>
      <c r="AN7" s="4" t="str">
        <f>IF(X7="","",IF(Z7="",AH7,""))</f>
        <v/>
      </c>
      <c r="AO7" s="4" t="str">
        <f>IF(X7="","",IF(LEFT(A7,2)="sh",IF(Y7*100/1000&lt;=1,1,Y7*100/1000),0))</f>
        <v/>
      </c>
      <c r="AP7" s="4" t="str">
        <f>IF(X7="","",IF(X7*Y7*100*AL7&lt;=5,5,X7*Y7*100*AL7))</f>
        <v/>
      </c>
      <c r="AQ7" s="4" t="str">
        <f>IF(X7="","",IF(AA7="",IF(C7*Y7*100*AL7&lt;=5,5,C7*Y7*100*AL7),IF(AA7*Y7*100*AL7&lt;=5,5,AA7*Y7*100*AL7)))</f>
        <v/>
      </c>
      <c r="AR7" s="4" t="str">
        <f>IF(X7="","",IF(AA7="",C7*Y7*100*0.001,AA7*Y7*100*0.001))</f>
        <v/>
      </c>
    </row>
    <row r="8" spans="1:44" s="1" customFormat="1" ht="14.25" x14ac:dyDescent="0.3">
      <c r="C8" s="20"/>
      <c r="E8" s="19"/>
      <c r="F8" s="2"/>
      <c r="G8" s="21"/>
      <c r="H8" s="50"/>
      <c r="I8" s="20">
        <v>3.0379999999999998</v>
      </c>
      <c r="J8" s="54">
        <v>952</v>
      </c>
      <c r="K8" s="20">
        <v>3.0390000000000001</v>
      </c>
      <c r="L8" s="54">
        <v>5000</v>
      </c>
      <c r="M8" s="1">
        <v>3.3370000000000002</v>
      </c>
      <c r="N8" s="1">
        <v>2.7309999999999999</v>
      </c>
      <c r="O8" s="20">
        <v>3.0419999999999998</v>
      </c>
      <c r="P8" s="21">
        <v>3.0070000000000001</v>
      </c>
      <c r="Q8" s="1">
        <v>29989</v>
      </c>
      <c r="R8" s="46"/>
      <c r="S8" s="54">
        <v>0</v>
      </c>
      <c r="T8" s="54"/>
      <c r="U8" s="54"/>
      <c r="V8" s="44" t="s">
        <v>64</v>
      </c>
      <c r="W8" s="27"/>
      <c r="Z8" s="27"/>
      <c r="AA8" s="8"/>
      <c r="AB8" s="81"/>
      <c r="AC8" s="6"/>
      <c r="AE8" s="75"/>
      <c r="AF8" s="75"/>
      <c r="AG8" s="4"/>
      <c r="AH8" s="4"/>
      <c r="AI8" s="4"/>
      <c r="AJ8" s="4" t="str">
        <f>IF(X8="","",AO8+AP8+AO8+AQ8+AR8)</f>
        <v/>
      </c>
      <c r="AK8" s="4" t="str">
        <f>IF(X8="","",AK7+AJ8)</f>
        <v/>
      </c>
      <c r="AL8" s="2" t="str">
        <f>IF(X8="","",0.18%)</f>
        <v/>
      </c>
      <c r="AM8" s="6" t="str">
        <f>IF(X8="","",IF(Z8="",AC8,""))</f>
        <v/>
      </c>
      <c r="AN8" s="4" t="str">
        <f>IF(X8="","",IF(Z8="",AH8,""))</f>
        <v/>
      </c>
      <c r="AO8" s="4" t="str">
        <f>IF(X8="","",IF(LEFT(A8,2)="sh",IF(Y8*100/1000&lt;=1,1,Y8*100/1000),0))</f>
        <v/>
      </c>
      <c r="AP8" s="4" t="str">
        <f>IF(X8="","",IF(X8*Y8*100*AL8&lt;=5,5,X8*Y8*100*AL8))</f>
        <v/>
      </c>
      <c r="AQ8" s="4" t="str">
        <f>IF(X8="","",IF(AA8="",IF(C8*Y8*100*AL8&lt;=5,5,C8*Y8*100*AL8),IF(AA8*Y8*100*AL8&lt;=5,5,AA8*Y8*100*AL8)))</f>
        <v/>
      </c>
      <c r="AR8" s="4" t="str">
        <f>IF(X8="","",IF(AA8="",C8*Y8*100*0.001,AA8*Y8*100*0.001))</f>
        <v/>
      </c>
    </row>
    <row r="9" spans="1:44" s="1" customFormat="1" ht="14.25" x14ac:dyDescent="0.3">
      <c r="C9" s="20"/>
      <c r="E9" s="19"/>
      <c r="F9" s="2"/>
      <c r="G9" s="21"/>
      <c r="H9" s="50"/>
      <c r="I9" s="20">
        <v>4.577</v>
      </c>
      <c r="J9" s="54">
        <v>355</v>
      </c>
      <c r="K9" s="20">
        <v>4.5780000000000003</v>
      </c>
      <c r="L9" s="54">
        <v>463</v>
      </c>
      <c r="M9" s="1">
        <v>4.992</v>
      </c>
      <c r="N9" s="1">
        <v>4.0839999999999996</v>
      </c>
      <c r="O9" s="20">
        <v>4.585</v>
      </c>
      <c r="P9" s="21">
        <v>4.5110000000000001</v>
      </c>
      <c r="Q9" s="1">
        <v>80583</v>
      </c>
      <c r="R9" s="46"/>
      <c r="S9" s="54">
        <v>0</v>
      </c>
      <c r="T9" s="54"/>
      <c r="U9" s="54"/>
      <c r="V9" s="44" t="s">
        <v>64</v>
      </c>
      <c r="W9" s="27"/>
      <c r="Z9" s="27"/>
      <c r="AA9" s="8"/>
      <c r="AB9" s="81"/>
      <c r="AC9" s="6"/>
      <c r="AE9" s="75"/>
      <c r="AF9" s="75"/>
      <c r="AG9" s="4"/>
      <c r="AH9" s="4"/>
      <c r="AI9" s="4"/>
      <c r="AJ9" s="4" t="str">
        <f>IF(X9="","",AO9+AP9+AO9+AQ9+AR9)</f>
        <v/>
      </c>
      <c r="AK9" s="4" t="str">
        <f>IF(X9="","",AK8+AJ9)</f>
        <v/>
      </c>
      <c r="AL9" s="2" t="str">
        <f>IF(X9="","",0.18%)</f>
        <v/>
      </c>
      <c r="AM9" s="6" t="str">
        <f>IF(X9="","",IF(Z9="",AC9,""))</f>
        <v/>
      </c>
      <c r="AN9" s="4" t="str">
        <f>IF(X9="","",IF(Z9="",AH9,""))</f>
        <v/>
      </c>
      <c r="AO9" s="4" t="str">
        <f>IF(X9="","",IF(LEFT(A9,2)="sh",IF(Y9*100/1000&lt;=1,1,Y9*100/1000),0))</f>
        <v/>
      </c>
      <c r="AP9" s="4" t="str">
        <f>IF(X9="","",IF(X9*Y9*100*AL9&lt;=5,5,X9*Y9*100*AL9))</f>
        <v/>
      </c>
      <c r="AQ9" s="4" t="str">
        <f>IF(X9="","",IF(AA9="",IF(C9*Y9*100*AL9&lt;=5,5,C9*Y9*100*AL9),IF(AA9*Y9*100*AL9&lt;=5,5,AA9*Y9*100*AL9)))</f>
        <v/>
      </c>
      <c r="AR9" s="4" t="str">
        <f>IF(X9="","",IF(AA9="",C9*Y9*100*0.001,AA9*Y9*100*0.001))</f>
        <v/>
      </c>
    </row>
    <row r="10" spans="1:44" s="1" customFormat="1" ht="14.25" x14ac:dyDescent="0.3">
      <c r="C10" s="21"/>
      <c r="E10" s="22"/>
      <c r="F10" s="2"/>
      <c r="G10" s="20"/>
      <c r="H10" s="50"/>
      <c r="I10" s="21"/>
      <c r="J10" s="54"/>
      <c r="K10" s="21"/>
      <c r="L10" s="54"/>
      <c r="O10" s="20"/>
      <c r="P10" s="21"/>
      <c r="R10" s="46"/>
      <c r="S10" s="54"/>
      <c r="T10" s="54"/>
      <c r="U10" s="54"/>
      <c r="V10" s="44"/>
      <c r="W10" s="27"/>
      <c r="Z10" s="27"/>
      <c r="AA10" s="8"/>
      <c r="AB10" s="81"/>
      <c r="AC10" s="6"/>
      <c r="AE10" s="75"/>
      <c r="AF10" s="75"/>
      <c r="AG10" s="4"/>
      <c r="AH10" s="4"/>
      <c r="AI10" s="4"/>
      <c r="AJ10" s="4" t="str">
        <f>IF(X10="","",AO10+AP10+AO10+AQ10+AR10)</f>
        <v/>
      </c>
      <c r="AK10" s="4" t="str">
        <f>IF(X10="","",AK9+AJ10)</f>
        <v/>
      </c>
      <c r="AL10" s="2" t="str">
        <f>IF(X10="","",0.18%)</f>
        <v/>
      </c>
      <c r="AM10" s="6" t="str">
        <f>IF(X10="","",IF(Z10="",AC10,""))</f>
        <v/>
      </c>
      <c r="AN10" s="4" t="str">
        <f>IF(X10="","",IF(Z10="",AH10,""))</f>
        <v/>
      </c>
      <c r="AO10" s="4" t="str">
        <f>IF(X10="","",IF(LEFT(A10,2)="sh",IF(Y10*100/1000&lt;=1,1,Y10*100/1000),0))</f>
        <v/>
      </c>
      <c r="AP10" s="4" t="str">
        <f>IF(X10="","",IF(X10*Y10*100*AL10&lt;=5,5,X10*Y10*100*AL10))</f>
        <v/>
      </c>
      <c r="AQ10" s="4" t="str">
        <f>IF(X10="","",IF(AA10="",IF(C10*Y10*100*AL10&lt;=5,5,C10*Y10*100*AL10),IF(AA10*Y10*100*AL10&lt;=5,5,AA10*Y10*100*AL10)))</f>
        <v/>
      </c>
      <c r="AR10" s="4" t="str">
        <f>IF(X10="","",IF(AA10="",C10*Y10*100*0.001,AA10*Y10*100*0.001))</f>
        <v/>
      </c>
    </row>
    <row r="11" spans="1:44" s="1" customFormat="1" ht="14.25" x14ac:dyDescent="0.3">
      <c r="C11" s="21"/>
      <c r="E11" s="22"/>
      <c r="F11" s="2"/>
      <c r="G11" s="21"/>
      <c r="H11" s="50"/>
      <c r="I11" s="21"/>
      <c r="J11" s="54"/>
      <c r="K11" s="21"/>
      <c r="L11" s="54"/>
      <c r="O11" s="31"/>
      <c r="P11" s="21"/>
      <c r="R11" s="46"/>
      <c r="S11" s="54"/>
      <c r="T11" s="54"/>
      <c r="U11" s="54"/>
      <c r="V11" s="44"/>
      <c r="W11" s="27"/>
      <c r="Z11" s="27"/>
      <c r="AA11" s="8"/>
      <c r="AB11" s="81"/>
      <c r="AC11" s="6"/>
      <c r="AE11" s="75"/>
      <c r="AF11" s="75"/>
      <c r="AG11" s="4"/>
      <c r="AH11" s="4"/>
      <c r="AI11" s="4"/>
      <c r="AJ11" s="4" t="str">
        <f t="shared" ref="AJ11:AJ16" si="0">IF(X11="","",AO11+AP11+AO11+AQ11+AR11)</f>
        <v/>
      </c>
      <c r="AK11" s="4" t="str">
        <f t="shared" ref="AK11:AK16" si="1">IF(X11="","",AK10+AJ11)</f>
        <v/>
      </c>
      <c r="AL11" s="2" t="str">
        <f t="shared" ref="AL11:AL16" si="2">IF(X11="","",0.18%)</f>
        <v/>
      </c>
      <c r="AM11" s="6" t="str">
        <f t="shared" ref="AM11:AM16" si="3">IF(X11="","",IF(Z11="",AC11,""))</f>
        <v/>
      </c>
      <c r="AN11" s="4" t="str">
        <f t="shared" ref="AN11:AN16" si="4">IF(X11="","",IF(Z11="",AH11,""))</f>
        <v/>
      </c>
      <c r="AO11" s="4" t="str">
        <f t="shared" ref="AO11:AO16" si="5">IF(X11="","",IF(LEFT(A11,2)="sh",IF(Y11*100/1000&lt;=1,1,Y11*100/1000),0))</f>
        <v/>
      </c>
      <c r="AP11" s="4" t="str">
        <f t="shared" ref="AP11:AP16" si="6">IF(X11="","",IF(X11*Y11*100*AL11&lt;=5,5,X11*Y11*100*AL11))</f>
        <v/>
      </c>
      <c r="AQ11" s="4" t="str">
        <f t="shared" ref="AQ11:AQ16" si="7">IF(X11="","",IF(AA11="",IF(C11*Y11*100*AL11&lt;=5,5,C11*Y11*100*AL11),IF(AA11*Y11*100*AL11&lt;=5,5,AA11*Y11*100*AL11)))</f>
        <v/>
      </c>
      <c r="AR11" s="4" t="str">
        <f t="shared" ref="AR11:AR16" si="8">IF(X11="","",IF(AA11="",C11*Y11*100*0.001,AA11*Y11*100*0.001))</f>
        <v/>
      </c>
    </row>
    <row r="12" spans="1:44" s="1" customFormat="1" ht="14.25" x14ac:dyDescent="0.3">
      <c r="C12" s="31"/>
      <c r="E12" s="23"/>
      <c r="F12" s="2"/>
      <c r="G12" s="21"/>
      <c r="H12" s="50"/>
      <c r="I12" s="31"/>
      <c r="J12" s="54"/>
      <c r="K12" s="20"/>
      <c r="L12" s="54"/>
      <c r="O12" s="20"/>
      <c r="P12" s="21"/>
      <c r="R12" s="46"/>
      <c r="S12" s="54"/>
      <c r="T12" s="54"/>
      <c r="U12" s="54"/>
      <c r="V12" s="44"/>
      <c r="W12" s="27"/>
      <c r="Z12" s="27"/>
      <c r="AA12" s="8"/>
      <c r="AB12" s="81"/>
      <c r="AC12" s="6"/>
      <c r="AE12" s="75"/>
      <c r="AF12" s="75"/>
      <c r="AG12" s="4"/>
      <c r="AH12" s="4"/>
      <c r="AI12" s="4"/>
      <c r="AJ12" s="4" t="str">
        <f t="shared" si="0"/>
        <v/>
      </c>
      <c r="AK12" s="4" t="str">
        <f t="shared" si="1"/>
        <v/>
      </c>
      <c r="AL12" s="2" t="str">
        <f t="shared" si="2"/>
        <v/>
      </c>
      <c r="AM12" s="6" t="str">
        <f t="shared" si="3"/>
        <v/>
      </c>
      <c r="AN12" s="4" t="str">
        <f t="shared" si="4"/>
        <v/>
      </c>
      <c r="AO12" s="4" t="str">
        <f t="shared" si="5"/>
        <v/>
      </c>
      <c r="AP12" s="4" t="str">
        <f t="shared" si="6"/>
        <v/>
      </c>
      <c r="AQ12" s="4" t="str">
        <f t="shared" si="7"/>
        <v/>
      </c>
      <c r="AR12" s="4" t="str">
        <f t="shared" si="8"/>
        <v/>
      </c>
    </row>
    <row r="13" spans="1:44" s="1" customFormat="1" ht="14.25" x14ac:dyDescent="0.3">
      <c r="C13" s="21"/>
      <c r="E13" s="22"/>
      <c r="F13" s="2"/>
      <c r="G13" s="21"/>
      <c r="H13" s="50"/>
      <c r="I13" s="21"/>
      <c r="J13" s="54"/>
      <c r="K13" s="21"/>
      <c r="L13" s="54"/>
      <c r="O13" s="31"/>
      <c r="P13" s="21"/>
      <c r="R13" s="46"/>
      <c r="S13" s="54"/>
      <c r="T13" s="54"/>
      <c r="U13" s="54"/>
      <c r="V13" s="44"/>
      <c r="W13" s="27"/>
      <c r="Z13" s="27"/>
      <c r="AA13" s="8"/>
      <c r="AB13" s="81"/>
      <c r="AC13" s="6"/>
      <c r="AE13" s="75"/>
      <c r="AF13" s="75"/>
      <c r="AG13" s="4"/>
      <c r="AH13" s="4"/>
      <c r="AI13" s="4"/>
      <c r="AJ13" s="4" t="str">
        <f t="shared" si="0"/>
        <v/>
      </c>
      <c r="AK13" s="4" t="str">
        <f t="shared" si="1"/>
        <v/>
      </c>
      <c r="AL13" s="2" t="str">
        <f t="shared" si="2"/>
        <v/>
      </c>
      <c r="AM13" s="6" t="str">
        <f t="shared" si="3"/>
        <v/>
      </c>
      <c r="AN13" s="4" t="str">
        <f t="shared" si="4"/>
        <v/>
      </c>
      <c r="AO13" s="4" t="str">
        <f t="shared" si="5"/>
        <v/>
      </c>
      <c r="AP13" s="4" t="str">
        <f t="shared" si="6"/>
        <v/>
      </c>
      <c r="AQ13" s="4" t="str">
        <f t="shared" si="7"/>
        <v/>
      </c>
      <c r="AR13" s="4" t="str">
        <f t="shared" si="8"/>
        <v/>
      </c>
    </row>
    <row r="14" spans="1:44" s="1" customFormat="1" ht="14.25" x14ac:dyDescent="0.3">
      <c r="C14" s="21"/>
      <c r="E14" s="22"/>
      <c r="F14" s="2"/>
      <c r="G14" s="31"/>
      <c r="H14" s="50"/>
      <c r="I14" s="21"/>
      <c r="J14" s="54"/>
      <c r="K14" s="31"/>
      <c r="L14" s="54"/>
      <c r="O14" s="20"/>
      <c r="P14" s="21"/>
      <c r="R14" s="46"/>
      <c r="S14" s="54"/>
      <c r="T14" s="54"/>
      <c r="U14" s="54"/>
      <c r="V14" s="44"/>
      <c r="W14" s="27"/>
      <c r="Z14" s="27"/>
      <c r="AA14" s="8"/>
      <c r="AB14" s="81"/>
      <c r="AC14" s="6"/>
      <c r="AE14" s="75"/>
      <c r="AF14" s="75"/>
      <c r="AG14" s="4"/>
      <c r="AH14" s="4"/>
      <c r="AI14" s="4"/>
      <c r="AJ14" s="4" t="str">
        <f t="shared" si="0"/>
        <v/>
      </c>
      <c r="AK14" s="4" t="str">
        <f t="shared" si="1"/>
        <v/>
      </c>
      <c r="AL14" s="2" t="str">
        <f t="shared" si="2"/>
        <v/>
      </c>
      <c r="AM14" s="6" t="str">
        <f t="shared" si="3"/>
        <v/>
      </c>
      <c r="AN14" s="4" t="str">
        <f t="shared" si="4"/>
        <v/>
      </c>
      <c r="AO14" s="4" t="str">
        <f t="shared" si="5"/>
        <v/>
      </c>
      <c r="AP14" s="4" t="str">
        <f t="shared" si="6"/>
        <v/>
      </c>
      <c r="AQ14" s="4" t="str">
        <f t="shared" si="7"/>
        <v/>
      </c>
      <c r="AR14" s="4" t="str">
        <f t="shared" si="8"/>
        <v/>
      </c>
    </row>
    <row r="15" spans="1:44" s="1" customFormat="1" ht="14.25" x14ac:dyDescent="0.3">
      <c r="C15" s="21"/>
      <c r="E15" s="22"/>
      <c r="F15" s="2"/>
      <c r="G15" s="21"/>
      <c r="H15" s="50"/>
      <c r="I15" s="21"/>
      <c r="J15" s="54"/>
      <c r="K15" s="21"/>
      <c r="L15" s="54"/>
      <c r="O15" s="31"/>
      <c r="P15" s="21"/>
      <c r="R15" s="46"/>
      <c r="S15" s="54"/>
      <c r="T15" s="54"/>
      <c r="U15" s="54"/>
      <c r="V15" s="44"/>
      <c r="W15" s="27"/>
      <c r="Z15" s="27"/>
      <c r="AA15" s="8"/>
      <c r="AB15" s="81"/>
      <c r="AC15" s="6"/>
      <c r="AE15" s="75"/>
      <c r="AF15" s="75"/>
      <c r="AG15" s="4"/>
      <c r="AH15" s="4"/>
      <c r="AI15" s="4"/>
      <c r="AJ15" s="4" t="str">
        <f t="shared" si="0"/>
        <v/>
      </c>
      <c r="AK15" s="4" t="str">
        <f t="shared" si="1"/>
        <v/>
      </c>
      <c r="AL15" s="2" t="str">
        <f t="shared" si="2"/>
        <v/>
      </c>
      <c r="AM15" s="6" t="str">
        <f t="shared" si="3"/>
        <v/>
      </c>
      <c r="AN15" s="4" t="str">
        <f t="shared" si="4"/>
        <v/>
      </c>
      <c r="AO15" s="4" t="str">
        <f t="shared" si="5"/>
        <v/>
      </c>
      <c r="AP15" s="4" t="str">
        <f t="shared" si="6"/>
        <v/>
      </c>
      <c r="AQ15" s="4" t="str">
        <f t="shared" si="7"/>
        <v/>
      </c>
      <c r="AR15" s="4" t="str">
        <f t="shared" si="8"/>
        <v/>
      </c>
    </row>
    <row r="16" spans="1:44" s="1" customFormat="1" ht="14.25" x14ac:dyDescent="0.3">
      <c r="C16" s="20"/>
      <c r="E16" s="19"/>
      <c r="F16" s="2"/>
      <c r="G16" s="21"/>
      <c r="H16" s="50"/>
      <c r="I16" s="20"/>
      <c r="J16" s="54"/>
      <c r="K16" s="20"/>
      <c r="L16" s="54"/>
      <c r="O16" s="20"/>
      <c r="P16" s="21"/>
      <c r="R16" s="46"/>
      <c r="S16" s="54"/>
      <c r="T16" s="54"/>
      <c r="U16" s="54"/>
      <c r="V16" s="44"/>
      <c r="W16" s="27"/>
      <c r="Z16" s="27"/>
      <c r="AA16" s="8"/>
      <c r="AB16" s="81"/>
      <c r="AC16" s="6"/>
      <c r="AE16" s="75"/>
      <c r="AF16" s="75"/>
      <c r="AG16" s="4"/>
      <c r="AH16" s="4"/>
      <c r="AI16" s="4"/>
      <c r="AJ16" s="4" t="str">
        <f t="shared" si="0"/>
        <v/>
      </c>
      <c r="AK16" s="4" t="str">
        <f t="shared" si="1"/>
        <v/>
      </c>
      <c r="AL16" s="2" t="str">
        <f t="shared" si="2"/>
        <v/>
      </c>
      <c r="AM16" s="6" t="str">
        <f t="shared" si="3"/>
        <v/>
      </c>
      <c r="AN16" s="4" t="str">
        <f t="shared" si="4"/>
        <v/>
      </c>
      <c r="AO16" s="4" t="str">
        <f t="shared" si="5"/>
        <v/>
      </c>
      <c r="AP16" s="4" t="str">
        <f t="shared" si="6"/>
        <v/>
      </c>
      <c r="AQ16" s="4" t="str">
        <f t="shared" si="7"/>
        <v/>
      </c>
      <c r="AR16" s="4" t="str">
        <f t="shared" si="8"/>
        <v/>
      </c>
    </row>
    <row r="17" spans="3:44" s="1" customFormat="1" ht="14.25" x14ac:dyDescent="0.3">
      <c r="C17" s="21"/>
      <c r="E17" s="22"/>
      <c r="F17" s="2"/>
      <c r="G17" s="20"/>
      <c r="H17" s="50"/>
      <c r="I17" s="21"/>
      <c r="J17" s="54"/>
      <c r="K17" s="31"/>
      <c r="L17" s="54"/>
      <c r="O17" s="20"/>
      <c r="P17" s="21"/>
      <c r="R17" s="46"/>
      <c r="S17" s="54"/>
      <c r="T17" s="54"/>
      <c r="U17" s="54"/>
      <c r="V17" s="44"/>
      <c r="W17" s="27"/>
      <c r="Z17" s="27"/>
      <c r="AA17" s="8"/>
      <c r="AB17" s="81"/>
      <c r="AC17" s="6"/>
      <c r="AE17" s="75"/>
      <c r="AF17" s="75"/>
      <c r="AG17" s="4"/>
      <c r="AH17" s="4"/>
      <c r="AI17" s="4"/>
      <c r="AJ17" s="4" t="str">
        <f t="shared" ref="AJ17:AJ50" si="9">IF(X17="","",AO17+AP17+AO17+AQ17+AR17)</f>
        <v/>
      </c>
      <c r="AK17" s="4" t="str">
        <f t="shared" ref="AK17:AK50" si="10">IF(X17="","",AK16+AJ17)</f>
        <v/>
      </c>
      <c r="AL17" s="2" t="str">
        <f t="shared" ref="AL17:AL50" si="11">IF(X17="","",0.18%)</f>
        <v/>
      </c>
      <c r="AM17" s="6" t="str">
        <f t="shared" ref="AM17:AM50" si="12">IF(X17="","",IF(Z17="",AC17,""))</f>
        <v/>
      </c>
      <c r="AN17" s="4" t="str">
        <f t="shared" ref="AN17:AN50" si="13">IF(X17="","",IF(Z17="",AH17,""))</f>
        <v/>
      </c>
      <c r="AO17" s="4" t="str">
        <f t="shared" ref="AO17:AO50" si="14">IF(X17="","",IF(LEFT(A17,2)="sh",IF(Y17*100/1000&lt;=1,1,Y17*100/1000),0))</f>
        <v/>
      </c>
      <c r="AP17" s="4" t="str">
        <f t="shared" ref="AP17:AP50" si="15">IF(X17="","",IF(X17*Y17*100*AL17&lt;=5,5,X17*Y17*100*AL17))</f>
        <v/>
      </c>
      <c r="AQ17" s="4" t="str">
        <f t="shared" ref="AQ17:AQ50" si="16">IF(X17="","",IF(AA17="",IF(C17*Y17*100*AL17&lt;=5,5,C17*Y17*100*AL17),IF(AA17*Y17*100*AL17&lt;=5,5,AA17*Y17*100*AL17)))</f>
        <v/>
      </c>
      <c r="AR17" s="4" t="str">
        <f t="shared" ref="AR17:AR50" si="17">IF(X17="","",IF(AA17="",C17*Y17*100*0.001,AA17*Y17*100*0.001))</f>
        <v/>
      </c>
    </row>
    <row r="18" spans="3:44" s="1" customFormat="1" ht="14.25" x14ac:dyDescent="0.3">
      <c r="C18" s="20"/>
      <c r="E18" s="19"/>
      <c r="F18" s="2"/>
      <c r="G18" s="20"/>
      <c r="H18" s="50"/>
      <c r="I18" s="20"/>
      <c r="J18" s="54"/>
      <c r="K18" s="20"/>
      <c r="L18" s="54"/>
      <c r="O18" s="20"/>
      <c r="P18" s="21"/>
      <c r="R18" s="46"/>
      <c r="S18" s="54"/>
      <c r="T18" s="54"/>
      <c r="U18" s="54"/>
      <c r="V18" s="44"/>
      <c r="W18" s="27"/>
      <c r="Z18" s="27"/>
      <c r="AA18" s="8"/>
      <c r="AB18" s="81" t="str">
        <f t="shared" ref="AB18:AB50" si="18">IF(X18="","",(AH18-AG18)/AG18)</f>
        <v/>
      </c>
      <c r="AC18" s="6" t="str">
        <f t="shared" ref="AC18:AC50" si="19">IF(X18="","",AH18-AG18)</f>
        <v/>
      </c>
      <c r="AD18" s="1" t="str">
        <f t="shared" ref="AD18:AD50" ca="1" si="20">IF(X18="","",IF(W18="","",IF(Z18="",TODAY()-W18,Z18-W18)))</f>
        <v/>
      </c>
      <c r="AE18" s="75" t="str">
        <f t="shared" ref="AE18:AE50" si="21">IF(X18="","",IF(AE17="",IF(AM18="","",AM18),IF(AM18="",AE17,AE17+AM18)))</f>
        <v/>
      </c>
      <c r="AF18" s="75" t="str">
        <f t="shared" ref="AF18:AF50" si="22">IF(X18="","",IF(AF17="",IF(AN18="","",AN18),IF(AN18="",AF17,AF17+AN18)))</f>
        <v/>
      </c>
      <c r="AG18" s="4" t="str">
        <f t="shared" ref="AG18:AG50" si="23">IF(X18="","",X18*Y18*100+AO18+AP18)</f>
        <v/>
      </c>
      <c r="AH18" s="4" t="str">
        <f t="shared" ref="AH18:AH50" si="24">IF(X18="","",IF(AA18="",C18*Y18*100-AO18-AQ18-AR18,AA18*Y18*100-AO18-AQ18-AR18))</f>
        <v/>
      </c>
      <c r="AI18" s="4" t="str">
        <f t="shared" ref="AI18:AI50" si="25">IF(X18="","",AI17+AC18)</f>
        <v/>
      </c>
      <c r="AJ18" s="4" t="str">
        <f t="shared" si="9"/>
        <v/>
      </c>
      <c r="AK18" s="4" t="str">
        <f t="shared" si="10"/>
        <v/>
      </c>
      <c r="AL18" s="2" t="str">
        <f t="shared" si="11"/>
        <v/>
      </c>
      <c r="AM18" s="6" t="str">
        <f t="shared" si="12"/>
        <v/>
      </c>
      <c r="AN18" s="4" t="str">
        <f t="shared" si="13"/>
        <v/>
      </c>
      <c r="AO18" s="4" t="str">
        <f t="shared" si="14"/>
        <v/>
      </c>
      <c r="AP18" s="4" t="str">
        <f t="shared" si="15"/>
        <v/>
      </c>
      <c r="AQ18" s="4" t="str">
        <f t="shared" si="16"/>
        <v/>
      </c>
      <c r="AR18" s="4" t="str">
        <f t="shared" si="17"/>
        <v/>
      </c>
    </row>
    <row r="19" spans="3:44" s="1" customFormat="1" ht="14.25" x14ac:dyDescent="0.3">
      <c r="C19" s="21"/>
      <c r="E19" s="22"/>
      <c r="F19" s="2"/>
      <c r="G19" s="20"/>
      <c r="H19" s="50"/>
      <c r="I19" s="21"/>
      <c r="J19" s="54"/>
      <c r="K19" s="21"/>
      <c r="L19" s="54"/>
      <c r="O19" s="20"/>
      <c r="P19" s="21"/>
      <c r="R19" s="46"/>
      <c r="S19" s="54"/>
      <c r="T19" s="54"/>
      <c r="U19" s="54"/>
      <c r="V19" s="44"/>
      <c r="W19" s="27"/>
      <c r="Z19" s="27"/>
      <c r="AA19" s="8"/>
      <c r="AB19" s="81" t="str">
        <f t="shared" ref="AB19:AB20" si="26">IF(X19="","",(AH19-AG19)/AG19)</f>
        <v/>
      </c>
      <c r="AC19" s="6" t="str">
        <f t="shared" ref="AC19:AC20" si="27">IF(X19="","",AH19-AG19)</f>
        <v/>
      </c>
      <c r="AD19" s="1" t="str">
        <f t="shared" ref="AD19:AD20" ca="1" si="28">IF(X19="","",IF(W19="","",IF(Z19="",TODAY()-W19,Z19-W19)))</f>
        <v/>
      </c>
      <c r="AE19" s="75" t="str">
        <f t="shared" ref="AE19:AE20" si="29">IF(X19="","",IF(AE18="",IF(AM19="","",AM19),IF(AM19="",AE18,AE18+AM19)))</f>
        <v/>
      </c>
      <c r="AF19" s="75" t="str">
        <f t="shared" ref="AF19:AF20" si="30">IF(X19="","",IF(AF18="",IF(AN19="","",AN19),IF(AN19="",AF18,AF18+AN19)))</f>
        <v/>
      </c>
      <c r="AG19" s="4" t="str">
        <f t="shared" ref="AG19:AG20" si="31">IF(X19="","",X19*Y19*100+AO19+AP19)</f>
        <v/>
      </c>
      <c r="AH19" s="4" t="str">
        <f t="shared" ref="AH19:AH20" si="32">IF(X19="","",IF(AA19="",C19*Y19*100-AO19-AQ19-AR19,AA19*Y19*100-AO19-AQ19-AR19))</f>
        <v/>
      </c>
      <c r="AI19" s="4" t="str">
        <f t="shared" ref="AI19:AI20" si="33">IF(X19="","",AI18+AC19)</f>
        <v/>
      </c>
      <c r="AJ19" s="4" t="str">
        <f t="shared" ref="AJ19:AJ20" si="34">IF(X19="","",AO19+AP19+AO19+AQ19+AR19)</f>
        <v/>
      </c>
      <c r="AK19" s="4" t="str">
        <f t="shared" ref="AK19:AK20" si="35">IF(X19="","",AK18+AJ19)</f>
        <v/>
      </c>
      <c r="AL19" s="2" t="str">
        <f t="shared" ref="AL19:AL20" si="36">IF(X19="","",0.18%)</f>
        <v/>
      </c>
      <c r="AM19" s="6" t="str">
        <f t="shared" ref="AM19:AM20" si="37">IF(X19="","",IF(Z19="",AC19,""))</f>
        <v/>
      </c>
      <c r="AN19" s="4" t="str">
        <f t="shared" ref="AN19:AN20" si="38">IF(X19="","",IF(Z19="",AH19,""))</f>
        <v/>
      </c>
      <c r="AO19" s="4" t="str">
        <f t="shared" ref="AO19:AO20" si="39">IF(X19="","",IF(LEFT(A19,2)="sh",IF(Y19*100/1000&lt;=1,1,Y19*100/1000),0))</f>
        <v/>
      </c>
      <c r="AP19" s="4" t="str">
        <f t="shared" ref="AP19:AP20" si="40">IF(X19="","",IF(X19*Y19*100*AL19&lt;=5,5,X19*Y19*100*AL19))</f>
        <v/>
      </c>
      <c r="AQ19" s="4" t="str">
        <f t="shared" ref="AQ19:AQ20" si="41">IF(X19="","",IF(AA19="",IF(C19*Y19*100*AL19&lt;=5,5,C19*Y19*100*AL19),IF(AA19*Y19*100*AL19&lt;=5,5,AA19*Y19*100*AL19)))</f>
        <v/>
      </c>
      <c r="AR19" s="4" t="str">
        <f t="shared" ref="AR19:AR20" si="42">IF(X19="","",IF(AA19="",C19*Y19*100*0.001,AA19*Y19*100*0.001))</f>
        <v/>
      </c>
    </row>
    <row r="20" spans="3:44" s="1" customFormat="1" ht="14.25" x14ac:dyDescent="0.3">
      <c r="C20" s="20"/>
      <c r="E20" s="19"/>
      <c r="F20" s="2"/>
      <c r="G20" s="20"/>
      <c r="H20" s="50"/>
      <c r="I20" s="20"/>
      <c r="J20" s="54"/>
      <c r="K20" s="20"/>
      <c r="L20" s="54"/>
      <c r="O20" s="20"/>
      <c r="P20" s="21"/>
      <c r="R20" s="46"/>
      <c r="S20" s="54"/>
      <c r="T20" s="54"/>
      <c r="U20" s="54"/>
      <c r="V20" s="44"/>
      <c r="W20" s="27"/>
      <c r="Z20" s="27"/>
      <c r="AA20" s="8"/>
      <c r="AB20" s="81" t="str">
        <f t="shared" si="26"/>
        <v/>
      </c>
      <c r="AC20" s="6" t="str">
        <f t="shared" si="27"/>
        <v/>
      </c>
      <c r="AD20" s="1" t="str">
        <f t="shared" ca="1" si="28"/>
        <v/>
      </c>
      <c r="AE20" s="75" t="str">
        <f t="shared" si="29"/>
        <v/>
      </c>
      <c r="AF20" s="75" t="str">
        <f t="shared" si="30"/>
        <v/>
      </c>
      <c r="AG20" s="4" t="str">
        <f t="shared" si="31"/>
        <v/>
      </c>
      <c r="AH20" s="4" t="str">
        <f t="shared" si="32"/>
        <v/>
      </c>
      <c r="AI20" s="4" t="str">
        <f t="shared" si="33"/>
        <v/>
      </c>
      <c r="AJ20" s="4" t="str">
        <f t="shared" si="34"/>
        <v/>
      </c>
      <c r="AK20" s="4" t="str">
        <f t="shared" si="35"/>
        <v/>
      </c>
      <c r="AL20" s="2" t="str">
        <f t="shared" si="36"/>
        <v/>
      </c>
      <c r="AM20" s="6" t="str">
        <f t="shared" si="37"/>
        <v/>
      </c>
      <c r="AN20" s="4" t="str">
        <f t="shared" si="38"/>
        <v/>
      </c>
      <c r="AO20" s="4" t="str">
        <f t="shared" si="39"/>
        <v/>
      </c>
      <c r="AP20" s="4" t="str">
        <f t="shared" si="40"/>
        <v/>
      </c>
      <c r="AQ20" s="4" t="str">
        <f t="shared" si="41"/>
        <v/>
      </c>
      <c r="AR20" s="4" t="str">
        <f t="shared" si="42"/>
        <v/>
      </c>
    </row>
    <row r="21" spans="3:44" s="1" customFormat="1" ht="14.25" x14ac:dyDescent="0.3">
      <c r="C21" s="20"/>
      <c r="E21" s="23"/>
      <c r="F21" s="2"/>
      <c r="G21" s="21"/>
      <c r="H21" s="50"/>
      <c r="I21" s="20"/>
      <c r="J21" s="54"/>
      <c r="K21" s="20"/>
      <c r="L21" s="54"/>
      <c r="O21" s="21"/>
      <c r="P21" s="21"/>
      <c r="R21" s="46"/>
      <c r="S21" s="54"/>
      <c r="T21" s="54"/>
      <c r="U21" s="54"/>
      <c r="V21" s="44"/>
      <c r="W21" s="27"/>
      <c r="Z21" s="27"/>
      <c r="AA21" s="8"/>
      <c r="AB21" s="81" t="str">
        <f t="shared" si="18"/>
        <v/>
      </c>
      <c r="AC21" s="6" t="str">
        <f t="shared" si="19"/>
        <v/>
      </c>
      <c r="AD21" s="1" t="str">
        <f t="shared" ca="1" si="20"/>
        <v/>
      </c>
      <c r="AE21" s="75" t="str">
        <f t="shared" si="21"/>
        <v/>
      </c>
      <c r="AF21" s="75" t="str">
        <f t="shared" si="22"/>
        <v/>
      </c>
      <c r="AG21" s="4" t="str">
        <f t="shared" si="23"/>
        <v/>
      </c>
      <c r="AH21" s="4" t="str">
        <f t="shared" si="24"/>
        <v/>
      </c>
      <c r="AI21" s="4" t="str">
        <f t="shared" si="25"/>
        <v/>
      </c>
      <c r="AJ21" s="4" t="str">
        <f t="shared" si="9"/>
        <v/>
      </c>
      <c r="AK21" s="4" t="str">
        <f t="shared" si="10"/>
        <v/>
      </c>
      <c r="AL21" s="2" t="str">
        <f t="shared" si="11"/>
        <v/>
      </c>
      <c r="AM21" s="6" t="str">
        <f t="shared" si="12"/>
        <v/>
      </c>
      <c r="AN21" s="4" t="str">
        <f t="shared" si="13"/>
        <v/>
      </c>
      <c r="AO21" s="4" t="str">
        <f t="shared" si="14"/>
        <v/>
      </c>
      <c r="AP21" s="4" t="str">
        <f t="shared" si="15"/>
        <v/>
      </c>
      <c r="AQ21" s="4" t="str">
        <f t="shared" si="16"/>
        <v/>
      </c>
      <c r="AR21" s="4" t="str">
        <f t="shared" si="17"/>
        <v/>
      </c>
    </row>
    <row r="22" spans="3:44" s="1" customFormat="1" ht="14.25" x14ac:dyDescent="0.3">
      <c r="C22" s="21"/>
      <c r="E22" s="22"/>
      <c r="F22" s="2"/>
      <c r="G22" s="21"/>
      <c r="H22" s="50"/>
      <c r="I22" s="21"/>
      <c r="J22" s="54"/>
      <c r="K22" s="21"/>
      <c r="L22" s="54"/>
      <c r="O22" s="21"/>
      <c r="P22" s="21"/>
      <c r="R22" s="46"/>
      <c r="S22" s="54"/>
      <c r="T22" s="54"/>
      <c r="U22" s="54"/>
      <c r="V22" s="44"/>
      <c r="W22" s="27"/>
      <c r="Z22" s="27"/>
      <c r="AA22" s="8"/>
      <c r="AB22" s="81" t="str">
        <f t="shared" si="18"/>
        <v/>
      </c>
      <c r="AC22" s="6" t="str">
        <f t="shared" si="19"/>
        <v/>
      </c>
      <c r="AD22" s="1" t="str">
        <f t="shared" ca="1" si="20"/>
        <v/>
      </c>
      <c r="AE22" s="75" t="str">
        <f t="shared" si="21"/>
        <v/>
      </c>
      <c r="AF22" s="75" t="str">
        <f t="shared" si="22"/>
        <v/>
      </c>
      <c r="AG22" s="4" t="str">
        <f t="shared" si="23"/>
        <v/>
      </c>
      <c r="AH22" s="4" t="str">
        <f t="shared" si="24"/>
        <v/>
      </c>
      <c r="AI22" s="4" t="str">
        <f t="shared" si="25"/>
        <v/>
      </c>
      <c r="AJ22" s="4" t="str">
        <f t="shared" si="9"/>
        <v/>
      </c>
      <c r="AK22" s="4" t="str">
        <f t="shared" si="10"/>
        <v/>
      </c>
      <c r="AL22" s="2" t="str">
        <f t="shared" si="11"/>
        <v/>
      </c>
      <c r="AM22" s="6" t="str">
        <f t="shared" si="12"/>
        <v/>
      </c>
      <c r="AN22" s="4" t="str">
        <f t="shared" si="13"/>
        <v/>
      </c>
      <c r="AO22" s="4" t="str">
        <f t="shared" si="14"/>
        <v/>
      </c>
      <c r="AP22" s="4" t="str">
        <f t="shared" si="15"/>
        <v/>
      </c>
      <c r="AQ22" s="4" t="str">
        <f t="shared" si="16"/>
        <v/>
      </c>
      <c r="AR22" s="4" t="str">
        <f t="shared" si="17"/>
        <v/>
      </c>
    </row>
    <row r="23" spans="3:44" s="1" customFormat="1" ht="14.25" x14ac:dyDescent="0.3">
      <c r="C23" s="31"/>
      <c r="E23" s="23"/>
      <c r="F23" s="2"/>
      <c r="G23" s="31"/>
      <c r="H23" s="50"/>
      <c r="I23" s="31"/>
      <c r="J23" s="54"/>
      <c r="K23" s="20"/>
      <c r="L23" s="54"/>
      <c r="O23" s="20"/>
      <c r="P23" s="21"/>
      <c r="R23" s="46"/>
      <c r="S23" s="54"/>
      <c r="T23" s="54"/>
      <c r="U23" s="54"/>
      <c r="V23" s="44"/>
      <c r="W23" s="27"/>
      <c r="Z23" s="27"/>
      <c r="AA23" s="8"/>
      <c r="AB23" s="81" t="str">
        <f t="shared" ref="AB23:AB39" si="43">IF(X23="","",(AH23-AG23)/AG23)</f>
        <v/>
      </c>
      <c r="AC23" s="6" t="str">
        <f t="shared" ref="AC23:AC39" si="44">IF(X23="","",AH23-AG23)</f>
        <v/>
      </c>
      <c r="AD23" s="1" t="str">
        <f t="shared" ref="AD23:AD39" ca="1" si="45">IF(X23="","",IF(W23="","",IF(Z23="",TODAY()-W23,Z23-W23)))</f>
        <v/>
      </c>
      <c r="AE23" s="75" t="str">
        <f t="shared" ref="AE23:AE39" si="46">IF(X23="","",IF(AE22="",IF(AM23="","",AM23),IF(AM23="",AE22,AE22+AM23)))</f>
        <v/>
      </c>
      <c r="AF23" s="75" t="str">
        <f t="shared" ref="AF23:AF39" si="47">IF(X23="","",IF(AF22="",IF(AN23="","",AN23),IF(AN23="",AF22,AF22+AN23)))</f>
        <v/>
      </c>
      <c r="AG23" s="4" t="str">
        <f t="shared" ref="AG23:AG39" si="48">IF(X23="","",X23*Y23*100+AO23+AP23)</f>
        <v/>
      </c>
      <c r="AH23" s="4" t="str">
        <f t="shared" ref="AH23:AH39" si="49">IF(X23="","",IF(AA23="",C23*Y23*100-AO23-AQ23-AR23,AA23*Y23*100-AO23-AQ23-AR23))</f>
        <v/>
      </c>
      <c r="AI23" s="4" t="str">
        <f t="shared" ref="AI23:AI39" si="50">IF(X23="","",AI22+AC23)</f>
        <v/>
      </c>
      <c r="AJ23" s="4" t="str">
        <f t="shared" ref="AJ23:AJ39" si="51">IF(X23="","",AO23+AP23+AO23+AQ23+AR23)</f>
        <v/>
      </c>
      <c r="AK23" s="4" t="str">
        <f t="shared" ref="AK23:AK39" si="52">IF(X23="","",AK22+AJ23)</f>
        <v/>
      </c>
      <c r="AL23" s="2" t="str">
        <f t="shared" ref="AL23:AL39" si="53">IF(X23="","",0.18%)</f>
        <v/>
      </c>
      <c r="AM23" s="6" t="str">
        <f t="shared" ref="AM23:AM39" si="54">IF(X23="","",IF(Z23="",AC23,""))</f>
        <v/>
      </c>
      <c r="AN23" s="4" t="str">
        <f t="shared" ref="AN23:AN39" si="55">IF(X23="","",IF(Z23="",AH23,""))</f>
        <v/>
      </c>
      <c r="AO23" s="4" t="str">
        <f t="shared" ref="AO23:AO39" si="56">IF(X23="","",IF(LEFT(A23,2)="sh",IF(Y23*100/1000&lt;=1,1,Y23*100/1000),0))</f>
        <v/>
      </c>
      <c r="AP23" s="4" t="str">
        <f t="shared" ref="AP23:AP39" si="57">IF(X23="","",IF(X23*Y23*100*AL23&lt;=5,5,X23*Y23*100*AL23))</f>
        <v/>
      </c>
      <c r="AQ23" s="4" t="str">
        <f t="shared" ref="AQ23:AQ39" si="58">IF(X23="","",IF(AA23="",IF(C23*Y23*100*AL23&lt;=5,5,C23*Y23*100*AL23),IF(AA23*Y23*100*AL23&lt;=5,5,AA23*Y23*100*AL23)))</f>
        <v/>
      </c>
      <c r="AR23" s="4" t="str">
        <f t="shared" ref="AR23:AR39" si="59">IF(X23="","",IF(AA23="",C23*Y23*100*0.001,AA23*Y23*100*0.001))</f>
        <v/>
      </c>
    </row>
    <row r="24" spans="3:44" s="1" customFormat="1" ht="14.25" x14ac:dyDescent="0.3">
      <c r="C24" s="20"/>
      <c r="E24" s="19"/>
      <c r="F24" s="2"/>
      <c r="G24" s="31"/>
      <c r="H24" s="50"/>
      <c r="I24" s="20"/>
      <c r="J24" s="54"/>
      <c r="K24" s="20"/>
      <c r="L24" s="54"/>
      <c r="O24" s="20"/>
      <c r="P24" s="31"/>
      <c r="R24" s="46"/>
      <c r="S24" s="54"/>
      <c r="T24" s="54"/>
      <c r="U24" s="54"/>
      <c r="V24" s="44"/>
      <c r="W24" s="27"/>
      <c r="Z24" s="27"/>
      <c r="AA24" s="8"/>
      <c r="AB24" s="81" t="str">
        <f t="shared" si="43"/>
        <v/>
      </c>
      <c r="AC24" s="6" t="str">
        <f t="shared" si="44"/>
        <v/>
      </c>
      <c r="AD24" s="1" t="str">
        <f t="shared" ca="1" si="45"/>
        <v/>
      </c>
      <c r="AE24" s="75" t="str">
        <f t="shared" si="46"/>
        <v/>
      </c>
      <c r="AF24" s="75" t="str">
        <f t="shared" si="47"/>
        <v/>
      </c>
      <c r="AG24" s="4" t="str">
        <f t="shared" si="48"/>
        <v/>
      </c>
      <c r="AH24" s="4" t="str">
        <f t="shared" si="49"/>
        <v/>
      </c>
      <c r="AI24" s="4" t="str">
        <f t="shared" si="50"/>
        <v/>
      </c>
      <c r="AJ24" s="4" t="str">
        <f t="shared" si="51"/>
        <v/>
      </c>
      <c r="AK24" s="4" t="str">
        <f t="shared" si="52"/>
        <v/>
      </c>
      <c r="AL24" s="2" t="str">
        <f t="shared" si="53"/>
        <v/>
      </c>
      <c r="AM24" s="6" t="str">
        <f t="shared" si="54"/>
        <v/>
      </c>
      <c r="AN24" s="4" t="str">
        <f t="shared" si="55"/>
        <v/>
      </c>
      <c r="AO24" s="4" t="str">
        <f t="shared" si="56"/>
        <v/>
      </c>
      <c r="AP24" s="4" t="str">
        <f t="shared" si="57"/>
        <v/>
      </c>
      <c r="AQ24" s="4" t="str">
        <f t="shared" si="58"/>
        <v/>
      </c>
      <c r="AR24" s="4" t="str">
        <f t="shared" si="59"/>
        <v/>
      </c>
    </row>
    <row r="25" spans="3:44" s="1" customFormat="1" ht="14.25" x14ac:dyDescent="0.3">
      <c r="C25" s="20"/>
      <c r="E25" s="19"/>
      <c r="F25" s="2"/>
      <c r="G25" s="21"/>
      <c r="H25" s="50"/>
      <c r="I25" s="20"/>
      <c r="J25" s="54"/>
      <c r="K25" s="20"/>
      <c r="L25" s="54"/>
      <c r="O25" s="20"/>
      <c r="P25" s="21"/>
      <c r="R25" s="46"/>
      <c r="S25" s="54"/>
      <c r="T25" s="54"/>
      <c r="U25" s="54"/>
      <c r="V25" s="44"/>
      <c r="W25" s="27"/>
      <c r="Z25" s="27"/>
      <c r="AA25" s="8"/>
      <c r="AB25" s="81" t="str">
        <f t="shared" si="43"/>
        <v/>
      </c>
      <c r="AC25" s="6" t="str">
        <f t="shared" si="44"/>
        <v/>
      </c>
      <c r="AD25" s="1" t="str">
        <f t="shared" ca="1" si="45"/>
        <v/>
      </c>
      <c r="AE25" s="75" t="str">
        <f t="shared" si="46"/>
        <v/>
      </c>
      <c r="AF25" s="75" t="str">
        <f t="shared" si="47"/>
        <v/>
      </c>
      <c r="AG25" s="4" t="str">
        <f t="shared" si="48"/>
        <v/>
      </c>
      <c r="AH25" s="4" t="str">
        <f t="shared" si="49"/>
        <v/>
      </c>
      <c r="AI25" s="4" t="str">
        <f t="shared" si="50"/>
        <v/>
      </c>
      <c r="AJ25" s="4" t="str">
        <f t="shared" si="51"/>
        <v/>
      </c>
      <c r="AK25" s="4" t="str">
        <f t="shared" si="52"/>
        <v/>
      </c>
      <c r="AL25" s="2" t="str">
        <f t="shared" si="53"/>
        <v/>
      </c>
      <c r="AM25" s="6" t="str">
        <f t="shared" si="54"/>
        <v/>
      </c>
      <c r="AN25" s="4" t="str">
        <f t="shared" si="55"/>
        <v/>
      </c>
      <c r="AO25" s="4" t="str">
        <f t="shared" si="56"/>
        <v/>
      </c>
      <c r="AP25" s="4" t="str">
        <f t="shared" si="57"/>
        <v/>
      </c>
      <c r="AQ25" s="4" t="str">
        <f t="shared" si="58"/>
        <v/>
      </c>
      <c r="AR25" s="4" t="str">
        <f t="shared" si="59"/>
        <v/>
      </c>
    </row>
    <row r="26" spans="3:44" s="1" customFormat="1" ht="14.25" x14ac:dyDescent="0.3">
      <c r="C26" s="20"/>
      <c r="E26" s="19"/>
      <c r="F26" s="2"/>
      <c r="G26" s="20"/>
      <c r="H26" s="50"/>
      <c r="I26" s="20"/>
      <c r="J26" s="54"/>
      <c r="K26" s="20"/>
      <c r="L26" s="54"/>
      <c r="O26" s="20"/>
      <c r="P26" s="20"/>
      <c r="R26" s="46"/>
      <c r="S26" s="54"/>
      <c r="T26" s="54"/>
      <c r="U26" s="54"/>
      <c r="V26" s="44"/>
      <c r="W26" s="27"/>
      <c r="Z26" s="27"/>
      <c r="AA26" s="8"/>
      <c r="AB26" s="81" t="str">
        <f t="shared" si="43"/>
        <v/>
      </c>
      <c r="AC26" s="6" t="str">
        <f t="shared" si="44"/>
        <v/>
      </c>
      <c r="AD26" s="1" t="str">
        <f t="shared" ca="1" si="45"/>
        <v/>
      </c>
      <c r="AE26" s="75" t="str">
        <f t="shared" si="46"/>
        <v/>
      </c>
      <c r="AF26" s="75" t="str">
        <f t="shared" si="47"/>
        <v/>
      </c>
      <c r="AG26" s="4" t="str">
        <f t="shared" si="48"/>
        <v/>
      </c>
      <c r="AH26" s="4" t="str">
        <f t="shared" si="49"/>
        <v/>
      </c>
      <c r="AI26" s="4" t="str">
        <f t="shared" si="50"/>
        <v/>
      </c>
      <c r="AJ26" s="4" t="str">
        <f t="shared" si="51"/>
        <v/>
      </c>
      <c r="AK26" s="4" t="str">
        <f t="shared" si="52"/>
        <v/>
      </c>
      <c r="AL26" s="2" t="str">
        <f t="shared" si="53"/>
        <v/>
      </c>
      <c r="AM26" s="6" t="str">
        <f t="shared" si="54"/>
        <v/>
      </c>
      <c r="AN26" s="4" t="str">
        <f t="shared" si="55"/>
        <v/>
      </c>
      <c r="AO26" s="4" t="str">
        <f t="shared" si="56"/>
        <v/>
      </c>
      <c r="AP26" s="4" t="str">
        <f t="shared" si="57"/>
        <v/>
      </c>
      <c r="AQ26" s="4" t="str">
        <f t="shared" si="58"/>
        <v/>
      </c>
      <c r="AR26" s="4" t="str">
        <f t="shared" si="59"/>
        <v/>
      </c>
    </row>
    <row r="27" spans="3:44" s="1" customFormat="1" ht="14.25" x14ac:dyDescent="0.3">
      <c r="C27" s="20"/>
      <c r="E27" s="23"/>
      <c r="F27" s="2"/>
      <c r="G27" s="31"/>
      <c r="H27" s="50"/>
      <c r="I27" s="20"/>
      <c r="J27" s="54"/>
      <c r="K27" s="20"/>
      <c r="L27" s="54"/>
      <c r="O27" s="31"/>
      <c r="P27" s="31"/>
      <c r="R27" s="46"/>
      <c r="S27" s="54"/>
      <c r="T27" s="54"/>
      <c r="U27" s="54"/>
      <c r="V27" s="44"/>
      <c r="W27" s="27"/>
      <c r="Z27" s="27"/>
      <c r="AA27" s="8"/>
      <c r="AB27" s="81" t="str">
        <f t="shared" si="43"/>
        <v/>
      </c>
      <c r="AC27" s="6" t="str">
        <f t="shared" si="44"/>
        <v/>
      </c>
      <c r="AD27" s="1" t="str">
        <f t="shared" ca="1" si="45"/>
        <v/>
      </c>
      <c r="AE27" s="75" t="str">
        <f t="shared" si="46"/>
        <v/>
      </c>
      <c r="AF27" s="75" t="str">
        <f t="shared" si="47"/>
        <v/>
      </c>
      <c r="AG27" s="4" t="str">
        <f t="shared" si="48"/>
        <v/>
      </c>
      <c r="AH27" s="4" t="str">
        <f t="shared" si="49"/>
        <v/>
      </c>
      <c r="AI27" s="4" t="str">
        <f t="shared" si="50"/>
        <v/>
      </c>
      <c r="AJ27" s="4" t="str">
        <f t="shared" si="51"/>
        <v/>
      </c>
      <c r="AK27" s="4" t="str">
        <f t="shared" si="52"/>
        <v/>
      </c>
      <c r="AL27" s="2" t="str">
        <f>IF(X27="","",0.08%)</f>
        <v/>
      </c>
      <c r="AM27" s="6" t="str">
        <f t="shared" si="54"/>
        <v/>
      </c>
      <c r="AN27" s="4" t="str">
        <f t="shared" si="55"/>
        <v/>
      </c>
      <c r="AO27" s="4">
        <v>0</v>
      </c>
      <c r="AP27" s="4" t="str">
        <f t="shared" si="57"/>
        <v/>
      </c>
      <c r="AQ27" s="4" t="str">
        <f t="shared" si="58"/>
        <v/>
      </c>
      <c r="AR27" s="4">
        <v>0</v>
      </c>
    </row>
    <row r="28" spans="3:44" s="1" customFormat="1" ht="14.25" x14ac:dyDescent="0.3">
      <c r="C28" s="20"/>
      <c r="E28" s="23"/>
      <c r="F28" s="2"/>
      <c r="G28" s="31"/>
      <c r="H28" s="50"/>
      <c r="I28" s="20"/>
      <c r="J28" s="54"/>
      <c r="K28" s="20"/>
      <c r="L28" s="54"/>
      <c r="O28" s="31"/>
      <c r="P28" s="31"/>
      <c r="R28" s="46"/>
      <c r="S28" s="54"/>
      <c r="T28" s="54"/>
      <c r="U28" s="54"/>
      <c r="V28" s="44"/>
      <c r="W28" s="27"/>
      <c r="Z28" s="27"/>
      <c r="AA28" s="8"/>
      <c r="AB28" s="81" t="str">
        <f t="shared" si="43"/>
        <v/>
      </c>
      <c r="AC28" s="6" t="str">
        <f t="shared" si="44"/>
        <v/>
      </c>
      <c r="AD28" s="1" t="str">
        <f t="shared" ca="1" si="45"/>
        <v/>
      </c>
      <c r="AE28" s="75" t="str">
        <f t="shared" si="46"/>
        <v/>
      </c>
      <c r="AF28" s="75" t="str">
        <f t="shared" si="47"/>
        <v/>
      </c>
      <c r="AG28" s="4" t="str">
        <f t="shared" si="48"/>
        <v/>
      </c>
      <c r="AH28" s="4" t="str">
        <f t="shared" si="49"/>
        <v/>
      </c>
      <c r="AI28" s="4" t="str">
        <f t="shared" si="50"/>
        <v/>
      </c>
      <c r="AJ28" s="4" t="str">
        <f t="shared" si="51"/>
        <v/>
      </c>
      <c r="AK28" s="4" t="str">
        <f t="shared" si="52"/>
        <v/>
      </c>
      <c r="AL28" s="2" t="str">
        <f t="shared" ref="AL28:AL33" si="60">IF(X28="","",0.08%)</f>
        <v/>
      </c>
      <c r="AM28" s="6" t="str">
        <f t="shared" si="54"/>
        <v/>
      </c>
      <c r="AN28" s="4" t="str">
        <f t="shared" si="55"/>
        <v/>
      </c>
      <c r="AO28" s="4">
        <v>0</v>
      </c>
      <c r="AP28" s="4" t="str">
        <f t="shared" si="57"/>
        <v/>
      </c>
      <c r="AQ28" s="4" t="str">
        <f t="shared" si="58"/>
        <v/>
      </c>
      <c r="AR28" s="4">
        <v>0</v>
      </c>
    </row>
    <row r="29" spans="3:44" s="1" customFormat="1" ht="14.25" x14ac:dyDescent="0.3">
      <c r="C29" s="20"/>
      <c r="E29" s="23"/>
      <c r="F29" s="2"/>
      <c r="G29" s="31"/>
      <c r="H29" s="50"/>
      <c r="I29" s="20"/>
      <c r="J29" s="54"/>
      <c r="K29" s="20"/>
      <c r="L29" s="54"/>
      <c r="O29" s="31"/>
      <c r="P29" s="31"/>
      <c r="R29" s="46"/>
      <c r="S29" s="54"/>
      <c r="T29" s="54"/>
      <c r="U29" s="54"/>
      <c r="V29" s="44"/>
      <c r="W29" s="27"/>
      <c r="Z29" s="27"/>
      <c r="AA29" s="8"/>
      <c r="AB29" s="81" t="str">
        <f t="shared" si="43"/>
        <v/>
      </c>
      <c r="AC29" s="6" t="str">
        <f t="shared" si="44"/>
        <v/>
      </c>
      <c r="AD29" s="1" t="str">
        <f t="shared" ca="1" si="45"/>
        <v/>
      </c>
      <c r="AE29" s="75" t="str">
        <f t="shared" si="46"/>
        <v/>
      </c>
      <c r="AF29" s="75" t="str">
        <f t="shared" si="47"/>
        <v/>
      </c>
      <c r="AG29" s="4" t="str">
        <f t="shared" si="48"/>
        <v/>
      </c>
      <c r="AH29" s="4" t="str">
        <f t="shared" si="49"/>
        <v/>
      </c>
      <c r="AI29" s="4" t="str">
        <f t="shared" si="50"/>
        <v/>
      </c>
      <c r="AJ29" s="4" t="str">
        <f t="shared" si="51"/>
        <v/>
      </c>
      <c r="AK29" s="4" t="str">
        <f t="shared" si="52"/>
        <v/>
      </c>
      <c r="AL29" s="2" t="str">
        <f t="shared" si="60"/>
        <v/>
      </c>
      <c r="AM29" s="6" t="str">
        <f t="shared" si="54"/>
        <v/>
      </c>
      <c r="AN29" s="4" t="str">
        <f t="shared" si="55"/>
        <v/>
      </c>
      <c r="AO29" s="4">
        <v>0</v>
      </c>
      <c r="AP29" s="4" t="str">
        <f t="shared" si="57"/>
        <v/>
      </c>
      <c r="AQ29" s="4" t="str">
        <f t="shared" si="58"/>
        <v/>
      </c>
      <c r="AR29" s="4">
        <v>0</v>
      </c>
    </row>
    <row r="30" spans="3:44" s="1" customFormat="1" ht="14.25" x14ac:dyDescent="0.3">
      <c r="C30" s="20"/>
      <c r="E30" s="23"/>
      <c r="F30" s="2"/>
      <c r="G30" s="31"/>
      <c r="H30" s="50"/>
      <c r="I30" s="20"/>
      <c r="J30" s="54"/>
      <c r="K30" s="20"/>
      <c r="L30" s="54"/>
      <c r="O30" s="31"/>
      <c r="P30" s="31"/>
      <c r="R30" s="46"/>
      <c r="S30" s="54"/>
      <c r="T30" s="54"/>
      <c r="U30" s="54"/>
      <c r="V30" s="44"/>
      <c r="W30" s="27"/>
      <c r="Z30" s="27"/>
      <c r="AA30" s="8"/>
      <c r="AB30" s="81" t="str">
        <f t="shared" si="43"/>
        <v/>
      </c>
      <c r="AC30" s="6" t="str">
        <f t="shared" si="44"/>
        <v/>
      </c>
      <c r="AD30" s="1" t="str">
        <f t="shared" ca="1" si="45"/>
        <v/>
      </c>
      <c r="AE30" s="75" t="str">
        <f t="shared" si="46"/>
        <v/>
      </c>
      <c r="AF30" s="75" t="str">
        <f t="shared" si="47"/>
        <v/>
      </c>
      <c r="AG30" s="4" t="str">
        <f t="shared" si="48"/>
        <v/>
      </c>
      <c r="AH30" s="4" t="str">
        <f t="shared" si="49"/>
        <v/>
      </c>
      <c r="AI30" s="4" t="str">
        <f t="shared" si="50"/>
        <v/>
      </c>
      <c r="AJ30" s="4" t="str">
        <f t="shared" si="51"/>
        <v/>
      </c>
      <c r="AK30" s="4" t="str">
        <f t="shared" si="52"/>
        <v/>
      </c>
      <c r="AL30" s="2" t="str">
        <f t="shared" si="60"/>
        <v/>
      </c>
      <c r="AM30" s="6" t="str">
        <f t="shared" si="54"/>
        <v/>
      </c>
      <c r="AN30" s="4" t="str">
        <f t="shared" si="55"/>
        <v/>
      </c>
      <c r="AO30" s="4">
        <v>0</v>
      </c>
      <c r="AP30" s="4" t="str">
        <f t="shared" si="57"/>
        <v/>
      </c>
      <c r="AQ30" s="4" t="str">
        <f t="shared" si="58"/>
        <v/>
      </c>
      <c r="AR30" s="4">
        <v>0</v>
      </c>
    </row>
    <row r="31" spans="3:44" s="1" customFormat="1" ht="14.25" x14ac:dyDescent="0.3">
      <c r="C31" s="20"/>
      <c r="E31" s="23"/>
      <c r="F31" s="2"/>
      <c r="G31" s="31"/>
      <c r="H31" s="50"/>
      <c r="I31" s="20"/>
      <c r="J31" s="54"/>
      <c r="K31" s="20"/>
      <c r="L31" s="54"/>
      <c r="O31" s="31"/>
      <c r="P31" s="31"/>
      <c r="R31" s="46"/>
      <c r="S31" s="54"/>
      <c r="T31" s="54"/>
      <c r="U31" s="54"/>
      <c r="V31" s="44"/>
      <c r="W31" s="27"/>
      <c r="Z31" s="27"/>
      <c r="AA31" s="8"/>
      <c r="AB31" s="81" t="str">
        <f t="shared" si="43"/>
        <v/>
      </c>
      <c r="AC31" s="6" t="str">
        <f t="shared" si="44"/>
        <v/>
      </c>
      <c r="AD31" s="1" t="str">
        <f t="shared" ca="1" si="45"/>
        <v/>
      </c>
      <c r="AE31" s="75" t="str">
        <f t="shared" si="46"/>
        <v/>
      </c>
      <c r="AF31" s="75" t="str">
        <f t="shared" si="47"/>
        <v/>
      </c>
      <c r="AG31" s="4" t="str">
        <f t="shared" si="48"/>
        <v/>
      </c>
      <c r="AH31" s="4" t="str">
        <f t="shared" si="49"/>
        <v/>
      </c>
      <c r="AI31" s="4" t="str">
        <f t="shared" si="50"/>
        <v/>
      </c>
      <c r="AJ31" s="4" t="str">
        <f t="shared" si="51"/>
        <v/>
      </c>
      <c r="AK31" s="4" t="str">
        <f t="shared" si="52"/>
        <v/>
      </c>
      <c r="AL31" s="2" t="str">
        <f t="shared" si="60"/>
        <v/>
      </c>
      <c r="AM31" s="6" t="str">
        <f t="shared" si="54"/>
        <v/>
      </c>
      <c r="AN31" s="4" t="str">
        <f t="shared" si="55"/>
        <v/>
      </c>
      <c r="AO31" s="4">
        <v>0</v>
      </c>
      <c r="AP31" s="4" t="str">
        <f t="shared" si="57"/>
        <v/>
      </c>
      <c r="AQ31" s="4" t="str">
        <f t="shared" si="58"/>
        <v/>
      </c>
      <c r="AR31" s="4">
        <v>0</v>
      </c>
    </row>
    <row r="32" spans="3:44" s="1" customFormat="1" ht="14.25" x14ac:dyDescent="0.3">
      <c r="C32" s="20"/>
      <c r="E32" s="23"/>
      <c r="F32" s="2"/>
      <c r="G32" s="31"/>
      <c r="H32" s="50"/>
      <c r="I32" s="20"/>
      <c r="J32" s="54"/>
      <c r="K32" s="20"/>
      <c r="L32" s="54"/>
      <c r="O32" s="31"/>
      <c r="P32" s="31"/>
      <c r="R32" s="46"/>
      <c r="S32" s="54"/>
      <c r="T32" s="54"/>
      <c r="U32" s="54"/>
      <c r="V32" s="44"/>
      <c r="W32" s="27"/>
      <c r="Z32" s="27"/>
      <c r="AA32" s="8"/>
      <c r="AB32" s="81" t="str">
        <f t="shared" si="43"/>
        <v/>
      </c>
      <c r="AC32" s="6" t="str">
        <f t="shared" si="44"/>
        <v/>
      </c>
      <c r="AD32" s="1" t="str">
        <f t="shared" ca="1" si="45"/>
        <v/>
      </c>
      <c r="AE32" s="75" t="str">
        <f t="shared" si="46"/>
        <v/>
      </c>
      <c r="AF32" s="75" t="str">
        <f t="shared" si="47"/>
        <v/>
      </c>
      <c r="AG32" s="4" t="str">
        <f t="shared" si="48"/>
        <v/>
      </c>
      <c r="AH32" s="4" t="str">
        <f t="shared" si="49"/>
        <v/>
      </c>
      <c r="AI32" s="4" t="str">
        <f t="shared" si="50"/>
        <v/>
      </c>
      <c r="AJ32" s="4" t="str">
        <f t="shared" si="51"/>
        <v/>
      </c>
      <c r="AK32" s="4" t="str">
        <f t="shared" si="52"/>
        <v/>
      </c>
      <c r="AL32" s="2" t="str">
        <f t="shared" si="60"/>
        <v/>
      </c>
      <c r="AM32" s="6" t="str">
        <f t="shared" si="54"/>
        <v/>
      </c>
      <c r="AN32" s="4" t="str">
        <f t="shared" si="55"/>
        <v/>
      </c>
      <c r="AO32" s="4">
        <v>0</v>
      </c>
      <c r="AP32" s="4" t="str">
        <f t="shared" si="57"/>
        <v/>
      </c>
      <c r="AQ32" s="4" t="str">
        <f t="shared" si="58"/>
        <v/>
      </c>
      <c r="AR32" s="4">
        <v>0</v>
      </c>
    </row>
    <row r="33" spans="1:44" s="1" customFormat="1" ht="14.25" x14ac:dyDescent="0.3">
      <c r="C33" s="20"/>
      <c r="E33" s="23"/>
      <c r="F33" s="2"/>
      <c r="G33" s="31"/>
      <c r="H33" s="50"/>
      <c r="I33" s="20"/>
      <c r="J33" s="54"/>
      <c r="K33" s="20"/>
      <c r="L33" s="54"/>
      <c r="O33" s="31"/>
      <c r="P33" s="31"/>
      <c r="R33" s="46"/>
      <c r="S33" s="54"/>
      <c r="T33" s="54"/>
      <c r="U33" s="54"/>
      <c r="V33" s="44"/>
      <c r="W33" s="27"/>
      <c r="Z33" s="27"/>
      <c r="AA33" s="8"/>
      <c r="AB33" s="81" t="str">
        <f t="shared" si="43"/>
        <v/>
      </c>
      <c r="AC33" s="6" t="str">
        <f t="shared" si="44"/>
        <v/>
      </c>
      <c r="AD33" s="1" t="str">
        <f t="shared" ca="1" si="45"/>
        <v/>
      </c>
      <c r="AE33" s="75" t="str">
        <f t="shared" si="46"/>
        <v/>
      </c>
      <c r="AF33" s="75" t="str">
        <f t="shared" si="47"/>
        <v/>
      </c>
      <c r="AG33" s="4" t="str">
        <f t="shared" si="48"/>
        <v/>
      </c>
      <c r="AH33" s="4" t="str">
        <f t="shared" si="49"/>
        <v/>
      </c>
      <c r="AI33" s="4" t="str">
        <f t="shared" si="50"/>
        <v/>
      </c>
      <c r="AJ33" s="4" t="str">
        <f t="shared" si="51"/>
        <v/>
      </c>
      <c r="AK33" s="4" t="str">
        <f t="shared" si="52"/>
        <v/>
      </c>
      <c r="AL33" s="2" t="str">
        <f t="shared" si="60"/>
        <v/>
      </c>
      <c r="AM33" s="6" t="str">
        <f t="shared" si="54"/>
        <v/>
      </c>
      <c r="AN33" s="4" t="str">
        <f t="shared" si="55"/>
        <v/>
      </c>
      <c r="AO33" s="4">
        <v>0</v>
      </c>
      <c r="AP33" s="4" t="str">
        <f t="shared" si="57"/>
        <v/>
      </c>
      <c r="AQ33" s="4" t="str">
        <f t="shared" si="58"/>
        <v/>
      </c>
      <c r="AR33" s="4">
        <v>0</v>
      </c>
    </row>
    <row r="34" spans="1:44" s="1" customFormat="1" ht="14.25" x14ac:dyDescent="0.3">
      <c r="C34" s="20"/>
      <c r="E34" s="19"/>
      <c r="F34" s="2"/>
      <c r="G34" s="20"/>
      <c r="H34" s="50"/>
      <c r="I34" s="20"/>
      <c r="J34" s="54"/>
      <c r="K34" s="20"/>
      <c r="L34" s="54"/>
      <c r="O34" s="20"/>
      <c r="P34" s="20"/>
      <c r="R34" s="46"/>
      <c r="S34" s="54"/>
      <c r="T34" s="54"/>
      <c r="U34" s="54"/>
      <c r="V34" s="44"/>
      <c r="W34" s="27"/>
      <c r="Z34" s="27"/>
      <c r="AA34" s="8"/>
      <c r="AB34" s="81" t="str">
        <f t="shared" si="43"/>
        <v/>
      </c>
      <c r="AC34" s="6" t="str">
        <f t="shared" si="44"/>
        <v/>
      </c>
      <c r="AD34" s="1" t="str">
        <f t="shared" ca="1" si="45"/>
        <v/>
      </c>
      <c r="AE34" s="75" t="str">
        <f t="shared" si="46"/>
        <v/>
      </c>
      <c r="AF34" s="75" t="str">
        <f t="shared" si="47"/>
        <v/>
      </c>
      <c r="AG34" s="4" t="str">
        <f t="shared" si="48"/>
        <v/>
      </c>
      <c r="AH34" s="4" t="str">
        <f t="shared" si="49"/>
        <v/>
      </c>
      <c r="AI34" s="4" t="str">
        <f t="shared" si="50"/>
        <v/>
      </c>
      <c r="AJ34" s="4" t="str">
        <f t="shared" si="51"/>
        <v/>
      </c>
      <c r="AK34" s="4" t="str">
        <f t="shared" si="52"/>
        <v/>
      </c>
      <c r="AL34" s="2" t="str">
        <f t="shared" si="53"/>
        <v/>
      </c>
      <c r="AM34" s="6" t="str">
        <f t="shared" si="54"/>
        <v/>
      </c>
      <c r="AN34" s="4" t="str">
        <f t="shared" si="55"/>
        <v/>
      </c>
      <c r="AO34" s="4" t="str">
        <f t="shared" si="56"/>
        <v/>
      </c>
      <c r="AP34" s="4" t="str">
        <f t="shared" si="57"/>
        <v/>
      </c>
      <c r="AQ34" s="4" t="str">
        <f t="shared" si="58"/>
        <v/>
      </c>
      <c r="AR34" s="4" t="str">
        <f t="shared" si="59"/>
        <v/>
      </c>
    </row>
    <row r="35" spans="1:44" s="1" customFormat="1" ht="14.25" x14ac:dyDescent="0.3">
      <c r="A35" s="24"/>
      <c r="C35" s="20"/>
      <c r="E35" s="19"/>
      <c r="F35" s="2"/>
      <c r="G35" s="20"/>
      <c r="H35" s="50"/>
      <c r="I35" s="31"/>
      <c r="J35" s="54"/>
      <c r="K35" s="20"/>
      <c r="L35" s="54"/>
      <c r="O35" s="20"/>
      <c r="P35" s="21"/>
      <c r="R35" s="46"/>
      <c r="S35" s="54"/>
      <c r="T35" s="54"/>
      <c r="U35" s="54"/>
      <c r="V35" s="44"/>
      <c r="W35" s="27"/>
      <c r="Z35" s="27"/>
      <c r="AA35" s="8"/>
      <c r="AB35" s="81" t="str">
        <f t="shared" si="43"/>
        <v/>
      </c>
      <c r="AC35" s="6" t="str">
        <f t="shared" si="44"/>
        <v/>
      </c>
      <c r="AD35" s="1" t="str">
        <f t="shared" ca="1" si="45"/>
        <v/>
      </c>
      <c r="AE35" s="75" t="str">
        <f t="shared" si="46"/>
        <v/>
      </c>
      <c r="AF35" s="75" t="str">
        <f t="shared" si="47"/>
        <v/>
      </c>
      <c r="AG35" s="4" t="str">
        <f t="shared" si="48"/>
        <v/>
      </c>
      <c r="AH35" s="4" t="str">
        <f t="shared" si="49"/>
        <v/>
      </c>
      <c r="AI35" s="4" t="str">
        <f t="shared" si="50"/>
        <v/>
      </c>
      <c r="AJ35" s="4" t="str">
        <f t="shared" si="51"/>
        <v/>
      </c>
      <c r="AK35" s="4" t="str">
        <f t="shared" si="52"/>
        <v/>
      </c>
      <c r="AL35" s="2" t="str">
        <f t="shared" si="53"/>
        <v/>
      </c>
      <c r="AM35" s="6" t="str">
        <f t="shared" si="54"/>
        <v/>
      </c>
      <c r="AN35" s="4" t="str">
        <f t="shared" si="55"/>
        <v/>
      </c>
      <c r="AO35" s="4" t="str">
        <f t="shared" si="56"/>
        <v/>
      </c>
      <c r="AP35" s="4" t="str">
        <f t="shared" si="57"/>
        <v/>
      </c>
      <c r="AQ35" s="4" t="str">
        <f t="shared" si="58"/>
        <v/>
      </c>
      <c r="AR35" s="4" t="str">
        <f t="shared" si="59"/>
        <v/>
      </c>
    </row>
    <row r="36" spans="1:44" s="1" customFormat="1" ht="14.25" x14ac:dyDescent="0.3">
      <c r="A36" s="24"/>
      <c r="C36" s="20"/>
      <c r="E36" s="19"/>
      <c r="F36" s="2"/>
      <c r="G36" s="20"/>
      <c r="H36" s="50"/>
      <c r="I36" s="31"/>
      <c r="J36" s="54"/>
      <c r="K36" s="20"/>
      <c r="L36" s="54"/>
      <c r="O36" s="20"/>
      <c r="P36" s="21"/>
      <c r="R36" s="46"/>
      <c r="S36" s="54"/>
      <c r="T36" s="54"/>
      <c r="U36" s="54"/>
      <c r="V36" s="44"/>
      <c r="W36" s="27"/>
      <c r="Z36" s="27"/>
      <c r="AA36" s="8"/>
      <c r="AB36" s="81" t="str">
        <f t="shared" si="43"/>
        <v/>
      </c>
      <c r="AC36" s="6" t="str">
        <f t="shared" si="44"/>
        <v/>
      </c>
      <c r="AD36" s="1" t="str">
        <f t="shared" ca="1" si="45"/>
        <v/>
      </c>
      <c r="AE36" s="75" t="str">
        <f t="shared" si="46"/>
        <v/>
      </c>
      <c r="AF36" s="75" t="str">
        <f t="shared" si="47"/>
        <v/>
      </c>
      <c r="AG36" s="4" t="str">
        <f t="shared" si="48"/>
        <v/>
      </c>
      <c r="AH36" s="4" t="str">
        <f t="shared" si="49"/>
        <v/>
      </c>
      <c r="AI36" s="4" t="str">
        <f t="shared" si="50"/>
        <v/>
      </c>
      <c r="AJ36" s="4" t="str">
        <f t="shared" si="51"/>
        <v/>
      </c>
      <c r="AK36" s="4" t="str">
        <f t="shared" si="52"/>
        <v/>
      </c>
      <c r="AL36" s="2" t="str">
        <f t="shared" si="53"/>
        <v/>
      </c>
      <c r="AM36" s="6" t="str">
        <f t="shared" si="54"/>
        <v/>
      </c>
      <c r="AN36" s="4" t="str">
        <f t="shared" si="55"/>
        <v/>
      </c>
      <c r="AO36" s="4" t="str">
        <f t="shared" si="56"/>
        <v/>
      </c>
      <c r="AP36" s="4" t="str">
        <f t="shared" si="57"/>
        <v/>
      </c>
      <c r="AQ36" s="4" t="str">
        <f t="shared" si="58"/>
        <v/>
      </c>
      <c r="AR36" s="4" t="str">
        <f t="shared" si="59"/>
        <v/>
      </c>
    </row>
    <row r="37" spans="1:44" s="1" customFormat="1" ht="14.25" x14ac:dyDescent="0.3">
      <c r="C37" s="20"/>
      <c r="E37" s="19"/>
      <c r="F37" s="2"/>
      <c r="G37" s="20"/>
      <c r="H37" s="50"/>
      <c r="I37" s="31"/>
      <c r="J37" s="54"/>
      <c r="K37" s="20"/>
      <c r="L37" s="54"/>
      <c r="O37" s="20"/>
      <c r="P37" s="21"/>
      <c r="R37" s="46"/>
      <c r="S37" s="54"/>
      <c r="T37" s="54"/>
      <c r="U37" s="54"/>
      <c r="V37" s="44"/>
      <c r="W37" s="27"/>
      <c r="Z37" s="27"/>
      <c r="AA37" s="8"/>
      <c r="AB37" s="81" t="str">
        <f t="shared" si="43"/>
        <v/>
      </c>
      <c r="AC37" s="6" t="str">
        <f t="shared" si="44"/>
        <v/>
      </c>
      <c r="AD37" s="1" t="str">
        <f t="shared" ca="1" si="45"/>
        <v/>
      </c>
      <c r="AE37" s="75" t="str">
        <f t="shared" si="46"/>
        <v/>
      </c>
      <c r="AF37" s="75" t="str">
        <f t="shared" si="47"/>
        <v/>
      </c>
      <c r="AG37" s="4" t="str">
        <f t="shared" si="48"/>
        <v/>
      </c>
      <c r="AH37" s="4" t="str">
        <f t="shared" si="49"/>
        <v/>
      </c>
      <c r="AI37" s="4" t="str">
        <f t="shared" si="50"/>
        <v/>
      </c>
      <c r="AJ37" s="4" t="str">
        <f t="shared" si="51"/>
        <v/>
      </c>
      <c r="AK37" s="4" t="str">
        <f t="shared" si="52"/>
        <v/>
      </c>
      <c r="AL37" s="2" t="str">
        <f t="shared" si="53"/>
        <v/>
      </c>
      <c r="AM37" s="6" t="str">
        <f t="shared" si="54"/>
        <v/>
      </c>
      <c r="AN37" s="4" t="str">
        <f t="shared" si="55"/>
        <v/>
      </c>
      <c r="AO37" s="4" t="str">
        <f t="shared" si="56"/>
        <v/>
      </c>
      <c r="AP37" s="4" t="str">
        <f t="shared" si="57"/>
        <v/>
      </c>
      <c r="AQ37" s="4" t="str">
        <f t="shared" si="58"/>
        <v/>
      </c>
      <c r="AR37" s="4" t="str">
        <f t="shared" si="59"/>
        <v/>
      </c>
    </row>
    <row r="38" spans="1:44" s="1" customFormat="1" ht="14.25" x14ac:dyDescent="0.3">
      <c r="C38" s="21"/>
      <c r="E38" s="22"/>
      <c r="F38" s="2"/>
      <c r="G38" s="21"/>
      <c r="H38" s="50"/>
      <c r="I38" s="21"/>
      <c r="J38" s="54"/>
      <c r="K38" s="21"/>
      <c r="L38" s="54"/>
      <c r="O38" s="20"/>
      <c r="P38" s="21"/>
      <c r="R38" s="46"/>
      <c r="S38" s="54"/>
      <c r="T38" s="54"/>
      <c r="U38" s="54"/>
      <c r="V38" s="44"/>
      <c r="W38" s="27"/>
      <c r="Z38" s="27"/>
      <c r="AA38" s="8"/>
      <c r="AB38" s="81" t="str">
        <f t="shared" si="43"/>
        <v/>
      </c>
      <c r="AC38" s="6" t="str">
        <f t="shared" si="44"/>
        <v/>
      </c>
      <c r="AD38" s="1" t="str">
        <f t="shared" ca="1" si="45"/>
        <v/>
      </c>
      <c r="AE38" s="75" t="str">
        <f t="shared" si="46"/>
        <v/>
      </c>
      <c r="AF38" s="75" t="str">
        <f t="shared" si="47"/>
        <v/>
      </c>
      <c r="AG38" s="4" t="str">
        <f t="shared" si="48"/>
        <v/>
      </c>
      <c r="AH38" s="4" t="str">
        <f t="shared" si="49"/>
        <v/>
      </c>
      <c r="AI38" s="4" t="str">
        <f t="shared" si="50"/>
        <v/>
      </c>
      <c r="AJ38" s="4" t="str">
        <f t="shared" si="51"/>
        <v/>
      </c>
      <c r="AK38" s="4" t="str">
        <f t="shared" si="52"/>
        <v/>
      </c>
      <c r="AL38" s="2" t="str">
        <f t="shared" si="53"/>
        <v/>
      </c>
      <c r="AM38" s="6" t="str">
        <f t="shared" si="54"/>
        <v/>
      </c>
      <c r="AN38" s="4" t="str">
        <f t="shared" si="55"/>
        <v/>
      </c>
      <c r="AO38" s="4" t="str">
        <f t="shared" si="56"/>
        <v/>
      </c>
      <c r="AP38" s="4" t="str">
        <f t="shared" si="57"/>
        <v/>
      </c>
      <c r="AQ38" s="4" t="str">
        <f t="shared" si="58"/>
        <v/>
      </c>
      <c r="AR38" s="4" t="str">
        <f t="shared" si="59"/>
        <v/>
      </c>
    </row>
    <row r="39" spans="1:44" s="1" customFormat="1" ht="14.25" x14ac:dyDescent="0.3">
      <c r="C39" s="20"/>
      <c r="E39" s="19"/>
      <c r="F39" s="2"/>
      <c r="G39" s="20"/>
      <c r="H39" s="50"/>
      <c r="I39" s="20"/>
      <c r="J39" s="54"/>
      <c r="K39" s="20"/>
      <c r="L39" s="54"/>
      <c r="O39" s="20"/>
      <c r="P39" s="21"/>
      <c r="R39" s="46"/>
      <c r="S39" s="54"/>
      <c r="T39" s="54"/>
      <c r="U39" s="54"/>
      <c r="V39" s="44"/>
      <c r="W39" s="27"/>
      <c r="Z39" s="27"/>
      <c r="AA39" s="8"/>
      <c r="AB39" s="81" t="str">
        <f t="shared" si="43"/>
        <v/>
      </c>
      <c r="AC39" s="6" t="str">
        <f t="shared" si="44"/>
        <v/>
      </c>
      <c r="AD39" s="1" t="str">
        <f t="shared" ca="1" si="45"/>
        <v/>
      </c>
      <c r="AE39" s="75" t="str">
        <f t="shared" si="46"/>
        <v/>
      </c>
      <c r="AF39" s="75" t="str">
        <f t="shared" si="47"/>
        <v/>
      </c>
      <c r="AG39" s="4" t="str">
        <f t="shared" si="48"/>
        <v/>
      </c>
      <c r="AH39" s="4" t="str">
        <f t="shared" si="49"/>
        <v/>
      </c>
      <c r="AI39" s="4" t="str">
        <f t="shared" si="50"/>
        <v/>
      </c>
      <c r="AJ39" s="4" t="str">
        <f t="shared" si="51"/>
        <v/>
      </c>
      <c r="AK39" s="4" t="str">
        <f t="shared" si="52"/>
        <v/>
      </c>
      <c r="AL39" s="2" t="str">
        <f t="shared" si="53"/>
        <v/>
      </c>
      <c r="AM39" s="6" t="str">
        <f t="shared" si="54"/>
        <v/>
      </c>
      <c r="AN39" s="4" t="str">
        <f t="shared" si="55"/>
        <v/>
      </c>
      <c r="AO39" s="4" t="str">
        <f t="shared" si="56"/>
        <v/>
      </c>
      <c r="AP39" s="4" t="str">
        <f t="shared" si="57"/>
        <v/>
      </c>
      <c r="AQ39" s="4" t="str">
        <f t="shared" si="58"/>
        <v/>
      </c>
      <c r="AR39" s="4" t="str">
        <f t="shared" si="59"/>
        <v/>
      </c>
    </row>
    <row r="40" spans="1:44" s="1" customFormat="1" ht="14.25" x14ac:dyDescent="0.3">
      <c r="C40" s="21"/>
      <c r="E40" s="22"/>
      <c r="F40" s="2"/>
      <c r="G40" s="31"/>
      <c r="H40" s="50"/>
      <c r="I40" s="21"/>
      <c r="J40" s="54"/>
      <c r="K40" s="21"/>
      <c r="L40" s="54"/>
      <c r="O40" s="20"/>
      <c r="P40" s="21"/>
      <c r="R40" s="46"/>
      <c r="S40" s="54"/>
      <c r="T40" s="54"/>
      <c r="U40" s="54"/>
      <c r="V40" s="44"/>
      <c r="W40" s="27"/>
      <c r="Z40" s="27"/>
      <c r="AA40" s="8"/>
      <c r="AB40" s="81" t="str">
        <f t="shared" si="18"/>
        <v/>
      </c>
      <c r="AC40" s="6" t="str">
        <f t="shared" si="19"/>
        <v/>
      </c>
      <c r="AD40" s="1" t="str">
        <f t="shared" ca="1" si="20"/>
        <v/>
      </c>
      <c r="AE40" s="75" t="str">
        <f t="shared" si="21"/>
        <v/>
      </c>
      <c r="AF40" s="75" t="str">
        <f t="shared" si="22"/>
        <v/>
      </c>
      <c r="AG40" s="4" t="str">
        <f t="shared" si="23"/>
        <v/>
      </c>
      <c r="AH40" s="4" t="str">
        <f t="shared" si="24"/>
        <v/>
      </c>
      <c r="AI40" s="4" t="str">
        <f t="shared" si="25"/>
        <v/>
      </c>
      <c r="AJ40" s="4" t="str">
        <f t="shared" si="9"/>
        <v/>
      </c>
      <c r="AK40" s="4" t="str">
        <f t="shared" si="10"/>
        <v/>
      </c>
      <c r="AL40" s="2" t="str">
        <f t="shared" si="11"/>
        <v/>
      </c>
      <c r="AM40" s="6" t="str">
        <f t="shared" si="12"/>
        <v/>
      </c>
      <c r="AN40" s="4" t="str">
        <f t="shared" si="13"/>
        <v/>
      </c>
      <c r="AO40" s="4" t="str">
        <f t="shared" si="14"/>
        <v/>
      </c>
      <c r="AP40" s="4" t="str">
        <f t="shared" si="15"/>
        <v/>
      </c>
      <c r="AQ40" s="4" t="str">
        <f t="shared" si="16"/>
        <v/>
      </c>
      <c r="AR40" s="4" t="str">
        <f t="shared" si="17"/>
        <v/>
      </c>
    </row>
    <row r="41" spans="1:44" s="1" customFormat="1" ht="14.25" x14ac:dyDescent="0.3">
      <c r="C41" s="20"/>
      <c r="E41" s="19"/>
      <c r="F41" s="2"/>
      <c r="G41" s="20"/>
      <c r="H41" s="50"/>
      <c r="I41" s="20"/>
      <c r="J41" s="54"/>
      <c r="K41" s="20"/>
      <c r="L41" s="54"/>
      <c r="O41" s="20"/>
      <c r="P41" s="20"/>
      <c r="R41" s="46"/>
      <c r="S41" s="54"/>
      <c r="T41" s="54"/>
      <c r="U41" s="54"/>
      <c r="V41" s="44"/>
      <c r="W41" s="27"/>
      <c r="Z41" s="27"/>
      <c r="AA41" s="8"/>
      <c r="AB41" s="81" t="str">
        <f t="shared" si="18"/>
        <v/>
      </c>
      <c r="AC41" s="6" t="str">
        <f t="shared" si="19"/>
        <v/>
      </c>
      <c r="AD41" s="1" t="str">
        <f t="shared" ca="1" si="20"/>
        <v/>
      </c>
      <c r="AE41" s="75" t="str">
        <f t="shared" si="21"/>
        <v/>
      </c>
      <c r="AF41" s="75" t="str">
        <f t="shared" si="22"/>
        <v/>
      </c>
      <c r="AG41" s="4" t="str">
        <f t="shared" si="23"/>
        <v/>
      </c>
      <c r="AH41" s="4" t="str">
        <f t="shared" si="24"/>
        <v/>
      </c>
      <c r="AI41" s="4" t="str">
        <f t="shared" si="25"/>
        <v/>
      </c>
      <c r="AJ41" s="4" t="str">
        <f t="shared" si="9"/>
        <v/>
      </c>
      <c r="AK41" s="4" t="str">
        <f t="shared" si="10"/>
        <v/>
      </c>
      <c r="AL41" s="2" t="str">
        <f t="shared" si="11"/>
        <v/>
      </c>
      <c r="AM41" s="6" t="str">
        <f t="shared" si="12"/>
        <v/>
      </c>
      <c r="AN41" s="4" t="str">
        <f t="shared" si="13"/>
        <v/>
      </c>
      <c r="AO41" s="4" t="str">
        <f t="shared" si="14"/>
        <v/>
      </c>
      <c r="AP41" s="4" t="str">
        <f t="shared" si="15"/>
        <v/>
      </c>
      <c r="AQ41" s="4" t="str">
        <f t="shared" si="16"/>
        <v/>
      </c>
      <c r="AR41" s="4" t="str">
        <f t="shared" si="17"/>
        <v/>
      </c>
    </row>
    <row r="42" spans="1:44" s="1" customFormat="1" ht="14.25" x14ac:dyDescent="0.3">
      <c r="C42" s="20"/>
      <c r="E42" s="19"/>
      <c r="F42" s="2"/>
      <c r="G42" s="31"/>
      <c r="H42" s="50"/>
      <c r="I42" s="20"/>
      <c r="J42" s="54"/>
      <c r="K42" s="20"/>
      <c r="L42" s="54"/>
      <c r="O42" s="20"/>
      <c r="P42" s="21"/>
      <c r="R42" s="46"/>
      <c r="S42" s="54"/>
      <c r="T42" s="54"/>
      <c r="U42" s="54"/>
      <c r="V42" s="44"/>
      <c r="W42" s="27"/>
      <c r="Z42" s="27"/>
      <c r="AA42" s="8"/>
      <c r="AB42" s="81" t="str">
        <f t="shared" si="18"/>
        <v/>
      </c>
      <c r="AC42" s="6" t="str">
        <f t="shared" si="19"/>
        <v/>
      </c>
      <c r="AD42" s="1" t="str">
        <f t="shared" ca="1" si="20"/>
        <v/>
      </c>
      <c r="AE42" s="75" t="str">
        <f t="shared" si="21"/>
        <v/>
      </c>
      <c r="AF42" s="75" t="str">
        <f t="shared" si="22"/>
        <v/>
      </c>
      <c r="AG42" s="4" t="str">
        <f t="shared" si="23"/>
        <v/>
      </c>
      <c r="AH42" s="4" t="str">
        <f t="shared" si="24"/>
        <v/>
      </c>
      <c r="AI42" s="4" t="str">
        <f t="shared" si="25"/>
        <v/>
      </c>
      <c r="AJ42" s="4" t="str">
        <f t="shared" si="9"/>
        <v/>
      </c>
      <c r="AK42" s="4" t="str">
        <f t="shared" si="10"/>
        <v/>
      </c>
      <c r="AL42" s="2" t="str">
        <f t="shared" si="11"/>
        <v/>
      </c>
      <c r="AM42" s="6" t="str">
        <f t="shared" si="12"/>
        <v/>
      </c>
      <c r="AN42" s="4" t="str">
        <f t="shared" si="13"/>
        <v/>
      </c>
      <c r="AO42" s="4" t="str">
        <f t="shared" si="14"/>
        <v/>
      </c>
      <c r="AP42" s="4" t="str">
        <f t="shared" si="15"/>
        <v/>
      </c>
      <c r="AQ42" s="4" t="str">
        <f t="shared" si="16"/>
        <v/>
      </c>
      <c r="AR42" s="4" t="str">
        <f t="shared" si="17"/>
        <v/>
      </c>
    </row>
    <row r="43" spans="1:44" s="1" customFormat="1" ht="14.25" x14ac:dyDescent="0.3">
      <c r="C43" s="20"/>
      <c r="E43" s="19"/>
      <c r="F43" s="2"/>
      <c r="G43" s="20"/>
      <c r="H43" s="50"/>
      <c r="I43" s="20"/>
      <c r="J43" s="54"/>
      <c r="K43" s="20"/>
      <c r="L43" s="54"/>
      <c r="O43" s="20"/>
      <c r="P43" s="21"/>
      <c r="R43" s="46"/>
      <c r="S43" s="54"/>
      <c r="T43" s="54"/>
      <c r="U43" s="54"/>
      <c r="V43" s="44"/>
      <c r="W43" s="27"/>
      <c r="Z43" s="27"/>
      <c r="AA43" s="8"/>
      <c r="AB43" s="81" t="str">
        <f t="shared" si="18"/>
        <v/>
      </c>
      <c r="AC43" s="6" t="str">
        <f t="shared" si="19"/>
        <v/>
      </c>
      <c r="AD43" s="1" t="str">
        <f t="shared" ca="1" si="20"/>
        <v/>
      </c>
      <c r="AE43" s="75" t="str">
        <f t="shared" si="21"/>
        <v/>
      </c>
      <c r="AF43" s="75" t="str">
        <f t="shared" si="22"/>
        <v/>
      </c>
      <c r="AG43" s="4" t="str">
        <f t="shared" si="23"/>
        <v/>
      </c>
      <c r="AH43" s="4" t="str">
        <f t="shared" si="24"/>
        <v/>
      </c>
      <c r="AI43" s="4" t="str">
        <f t="shared" si="25"/>
        <v/>
      </c>
      <c r="AJ43" s="4" t="str">
        <f t="shared" si="9"/>
        <v/>
      </c>
      <c r="AK43" s="4" t="str">
        <f t="shared" si="10"/>
        <v/>
      </c>
      <c r="AL43" s="2" t="str">
        <f t="shared" si="11"/>
        <v/>
      </c>
      <c r="AM43" s="6" t="str">
        <f t="shared" si="12"/>
        <v/>
      </c>
      <c r="AN43" s="4" t="str">
        <f t="shared" si="13"/>
        <v/>
      </c>
      <c r="AO43" s="4" t="str">
        <f t="shared" si="14"/>
        <v/>
      </c>
      <c r="AP43" s="4" t="str">
        <f t="shared" si="15"/>
        <v/>
      </c>
      <c r="AQ43" s="4" t="str">
        <f t="shared" si="16"/>
        <v/>
      </c>
      <c r="AR43" s="4" t="str">
        <f t="shared" si="17"/>
        <v/>
      </c>
    </row>
    <row r="44" spans="1:44" s="1" customFormat="1" ht="14.25" x14ac:dyDescent="0.3">
      <c r="C44" s="21"/>
      <c r="E44" s="22"/>
      <c r="F44" s="2"/>
      <c r="G44" s="20"/>
      <c r="H44" s="50"/>
      <c r="I44" s="21"/>
      <c r="J44" s="54"/>
      <c r="K44" s="21"/>
      <c r="L44" s="54"/>
      <c r="O44" s="20"/>
      <c r="P44" s="21"/>
      <c r="R44" s="46"/>
      <c r="S44" s="54"/>
      <c r="T44" s="54"/>
      <c r="U44" s="54"/>
      <c r="V44" s="44"/>
      <c r="W44" s="27"/>
      <c r="Z44" s="27"/>
      <c r="AA44" s="8"/>
      <c r="AB44" s="81" t="str">
        <f t="shared" si="18"/>
        <v/>
      </c>
      <c r="AC44" s="6" t="str">
        <f t="shared" si="19"/>
        <v/>
      </c>
      <c r="AD44" s="1" t="str">
        <f t="shared" ca="1" si="20"/>
        <v/>
      </c>
      <c r="AE44" s="75" t="str">
        <f t="shared" si="21"/>
        <v/>
      </c>
      <c r="AF44" s="75" t="str">
        <f t="shared" si="22"/>
        <v/>
      </c>
      <c r="AG44" s="4" t="str">
        <f t="shared" si="23"/>
        <v/>
      </c>
      <c r="AH44" s="4" t="str">
        <f t="shared" si="24"/>
        <v/>
      </c>
      <c r="AI44" s="4" t="str">
        <f t="shared" si="25"/>
        <v/>
      </c>
      <c r="AJ44" s="4" t="str">
        <f t="shared" si="9"/>
        <v/>
      </c>
      <c r="AK44" s="4" t="str">
        <f t="shared" si="10"/>
        <v/>
      </c>
      <c r="AL44" s="2" t="str">
        <f t="shared" si="11"/>
        <v/>
      </c>
      <c r="AM44" s="6" t="str">
        <f t="shared" si="12"/>
        <v/>
      </c>
      <c r="AN44" s="4" t="str">
        <f t="shared" si="13"/>
        <v/>
      </c>
      <c r="AO44" s="4" t="str">
        <f t="shared" si="14"/>
        <v/>
      </c>
      <c r="AP44" s="4" t="str">
        <f t="shared" si="15"/>
        <v/>
      </c>
      <c r="AQ44" s="4" t="str">
        <f t="shared" si="16"/>
        <v/>
      </c>
      <c r="AR44" s="4" t="str">
        <f t="shared" si="17"/>
        <v/>
      </c>
    </row>
    <row r="45" spans="1:44" s="1" customFormat="1" ht="14.25" x14ac:dyDescent="0.3">
      <c r="C45" s="20"/>
      <c r="E45" s="19"/>
      <c r="F45" s="2"/>
      <c r="G45" s="21"/>
      <c r="H45" s="50"/>
      <c r="I45" s="20"/>
      <c r="J45" s="54"/>
      <c r="K45" s="20"/>
      <c r="L45" s="54"/>
      <c r="O45" s="20"/>
      <c r="P45" s="21"/>
      <c r="R45" s="46"/>
      <c r="S45" s="54"/>
      <c r="T45" s="54"/>
      <c r="U45" s="54"/>
      <c r="V45" s="44"/>
      <c r="W45" s="27"/>
      <c r="Z45" s="27"/>
      <c r="AA45" s="8"/>
      <c r="AB45" s="81" t="str">
        <f t="shared" si="18"/>
        <v/>
      </c>
      <c r="AC45" s="6" t="str">
        <f t="shared" si="19"/>
        <v/>
      </c>
      <c r="AD45" s="1" t="str">
        <f t="shared" ca="1" si="20"/>
        <v/>
      </c>
      <c r="AE45" s="75" t="str">
        <f t="shared" si="21"/>
        <v/>
      </c>
      <c r="AF45" s="75" t="str">
        <f t="shared" si="22"/>
        <v/>
      </c>
      <c r="AG45" s="4" t="str">
        <f t="shared" si="23"/>
        <v/>
      </c>
      <c r="AH45" s="4" t="str">
        <f t="shared" si="24"/>
        <v/>
      </c>
      <c r="AI45" s="4" t="str">
        <f t="shared" si="25"/>
        <v/>
      </c>
      <c r="AJ45" s="4" t="str">
        <f t="shared" si="9"/>
        <v/>
      </c>
      <c r="AK45" s="4" t="str">
        <f t="shared" si="10"/>
        <v/>
      </c>
      <c r="AL45" s="2" t="str">
        <f t="shared" si="11"/>
        <v/>
      </c>
      <c r="AM45" s="6" t="str">
        <f t="shared" si="12"/>
        <v/>
      </c>
      <c r="AN45" s="4" t="str">
        <f t="shared" si="13"/>
        <v/>
      </c>
      <c r="AO45" s="4" t="str">
        <f t="shared" si="14"/>
        <v/>
      </c>
      <c r="AP45" s="4" t="str">
        <f t="shared" si="15"/>
        <v/>
      </c>
      <c r="AQ45" s="4" t="str">
        <f t="shared" si="16"/>
        <v/>
      </c>
      <c r="AR45" s="4" t="str">
        <f t="shared" si="17"/>
        <v/>
      </c>
    </row>
    <row r="46" spans="1:44" s="1" customFormat="1" ht="14.25" x14ac:dyDescent="0.3">
      <c r="C46" s="20"/>
      <c r="E46" s="19"/>
      <c r="F46" s="2"/>
      <c r="G46" s="20"/>
      <c r="H46" s="50"/>
      <c r="I46" s="20"/>
      <c r="J46" s="54"/>
      <c r="K46" s="20"/>
      <c r="L46" s="54"/>
      <c r="O46" s="20"/>
      <c r="P46" s="21"/>
      <c r="R46" s="46"/>
      <c r="S46" s="54"/>
      <c r="T46" s="54"/>
      <c r="U46" s="54"/>
      <c r="V46" s="44"/>
      <c r="W46" s="27"/>
      <c r="Z46" s="27"/>
      <c r="AA46" s="8"/>
      <c r="AB46" s="81" t="str">
        <f t="shared" si="18"/>
        <v/>
      </c>
      <c r="AC46" s="6" t="str">
        <f t="shared" si="19"/>
        <v/>
      </c>
      <c r="AD46" s="1" t="str">
        <f t="shared" ca="1" si="20"/>
        <v/>
      </c>
      <c r="AE46" s="75" t="str">
        <f t="shared" si="21"/>
        <v/>
      </c>
      <c r="AF46" s="75" t="str">
        <f t="shared" si="22"/>
        <v/>
      </c>
      <c r="AG46" s="4" t="str">
        <f t="shared" si="23"/>
        <v/>
      </c>
      <c r="AH46" s="4" t="str">
        <f t="shared" si="24"/>
        <v/>
      </c>
      <c r="AI46" s="4" t="str">
        <f t="shared" si="25"/>
        <v/>
      </c>
      <c r="AJ46" s="4" t="str">
        <f t="shared" si="9"/>
        <v/>
      </c>
      <c r="AK46" s="4" t="str">
        <f t="shared" si="10"/>
        <v/>
      </c>
      <c r="AL46" s="2" t="str">
        <f t="shared" si="11"/>
        <v/>
      </c>
      <c r="AM46" s="6" t="str">
        <f t="shared" si="12"/>
        <v/>
      </c>
      <c r="AN46" s="4" t="str">
        <f t="shared" si="13"/>
        <v/>
      </c>
      <c r="AO46" s="4" t="str">
        <f t="shared" si="14"/>
        <v/>
      </c>
      <c r="AP46" s="4" t="str">
        <f t="shared" si="15"/>
        <v/>
      </c>
      <c r="AQ46" s="4" t="str">
        <f t="shared" si="16"/>
        <v/>
      </c>
      <c r="AR46" s="4" t="str">
        <f t="shared" si="17"/>
        <v/>
      </c>
    </row>
    <row r="47" spans="1:44" s="1" customFormat="1" ht="14.25" x14ac:dyDescent="0.3">
      <c r="C47" s="20"/>
      <c r="E47" s="19"/>
      <c r="F47" s="2"/>
      <c r="G47" s="20"/>
      <c r="H47" s="50"/>
      <c r="I47" s="20"/>
      <c r="J47" s="54"/>
      <c r="K47" s="20"/>
      <c r="L47" s="54"/>
      <c r="O47" s="20"/>
      <c r="P47" s="21"/>
      <c r="R47" s="46"/>
      <c r="S47" s="54"/>
      <c r="T47" s="54"/>
      <c r="U47" s="54"/>
      <c r="V47" s="44"/>
      <c r="W47" s="27"/>
      <c r="Z47" s="27"/>
      <c r="AA47" s="8"/>
      <c r="AB47" s="81" t="str">
        <f t="shared" si="18"/>
        <v/>
      </c>
      <c r="AC47" s="6" t="str">
        <f t="shared" si="19"/>
        <v/>
      </c>
      <c r="AD47" s="1" t="str">
        <f t="shared" ca="1" si="20"/>
        <v/>
      </c>
      <c r="AE47" s="75" t="str">
        <f t="shared" si="21"/>
        <v/>
      </c>
      <c r="AF47" s="75" t="str">
        <f t="shared" si="22"/>
        <v/>
      </c>
      <c r="AG47" s="4" t="str">
        <f t="shared" si="23"/>
        <v/>
      </c>
      <c r="AH47" s="4" t="str">
        <f t="shared" si="24"/>
        <v/>
      </c>
      <c r="AI47" s="4" t="str">
        <f t="shared" si="25"/>
        <v/>
      </c>
      <c r="AJ47" s="4" t="str">
        <f t="shared" si="9"/>
        <v/>
      </c>
      <c r="AK47" s="4" t="str">
        <f t="shared" si="10"/>
        <v/>
      </c>
      <c r="AL47" s="2" t="str">
        <f t="shared" si="11"/>
        <v/>
      </c>
      <c r="AM47" s="6" t="str">
        <f t="shared" si="12"/>
        <v/>
      </c>
      <c r="AN47" s="4" t="str">
        <f t="shared" si="13"/>
        <v/>
      </c>
      <c r="AO47" s="4" t="str">
        <f t="shared" si="14"/>
        <v/>
      </c>
      <c r="AP47" s="4" t="str">
        <f t="shared" si="15"/>
        <v/>
      </c>
      <c r="AQ47" s="4" t="str">
        <f t="shared" si="16"/>
        <v/>
      </c>
      <c r="AR47" s="4" t="str">
        <f t="shared" si="17"/>
        <v/>
      </c>
    </row>
    <row r="48" spans="1:44" s="1" customFormat="1" ht="14.25" x14ac:dyDescent="0.3">
      <c r="C48" s="20"/>
      <c r="E48" s="23"/>
      <c r="F48" s="2"/>
      <c r="G48" s="21"/>
      <c r="H48" s="50"/>
      <c r="I48" s="20"/>
      <c r="J48" s="54"/>
      <c r="K48" s="20"/>
      <c r="L48" s="54"/>
      <c r="O48" s="21"/>
      <c r="P48" s="21"/>
      <c r="R48" s="46"/>
      <c r="S48" s="54"/>
      <c r="T48" s="54"/>
      <c r="U48" s="54"/>
      <c r="V48" s="44"/>
      <c r="W48" s="27"/>
      <c r="Z48" s="27"/>
      <c r="AA48" s="8"/>
      <c r="AB48" s="81" t="str">
        <f t="shared" si="18"/>
        <v/>
      </c>
      <c r="AC48" s="6" t="str">
        <f t="shared" si="19"/>
        <v/>
      </c>
      <c r="AD48" s="1" t="str">
        <f t="shared" ca="1" si="20"/>
        <v/>
      </c>
      <c r="AE48" s="75" t="str">
        <f t="shared" si="21"/>
        <v/>
      </c>
      <c r="AF48" s="75" t="str">
        <f t="shared" si="22"/>
        <v/>
      </c>
      <c r="AG48" s="4" t="str">
        <f t="shared" si="23"/>
        <v/>
      </c>
      <c r="AH48" s="4" t="str">
        <f t="shared" si="24"/>
        <v/>
      </c>
      <c r="AI48" s="4" t="str">
        <f t="shared" si="25"/>
        <v/>
      </c>
      <c r="AJ48" s="4" t="str">
        <f t="shared" si="9"/>
        <v/>
      </c>
      <c r="AK48" s="4" t="str">
        <f t="shared" si="10"/>
        <v/>
      </c>
      <c r="AL48" s="2" t="str">
        <f t="shared" si="11"/>
        <v/>
      </c>
      <c r="AM48" s="6" t="str">
        <f t="shared" si="12"/>
        <v/>
      </c>
      <c r="AN48" s="4" t="str">
        <f t="shared" si="13"/>
        <v/>
      </c>
      <c r="AO48" s="4" t="str">
        <f t="shared" si="14"/>
        <v/>
      </c>
      <c r="AP48" s="4" t="str">
        <f t="shared" si="15"/>
        <v/>
      </c>
      <c r="AQ48" s="4" t="str">
        <f t="shared" si="16"/>
        <v/>
      </c>
      <c r="AR48" s="4" t="str">
        <f t="shared" si="17"/>
        <v/>
      </c>
    </row>
    <row r="49" spans="3:44" s="1" customFormat="1" ht="14.25" x14ac:dyDescent="0.3">
      <c r="C49" s="20"/>
      <c r="E49" s="19"/>
      <c r="F49" s="2"/>
      <c r="G49" s="20"/>
      <c r="H49" s="50"/>
      <c r="I49" s="20"/>
      <c r="J49" s="54"/>
      <c r="K49" s="20"/>
      <c r="L49" s="54"/>
      <c r="O49" s="20"/>
      <c r="P49" s="21"/>
      <c r="R49" s="46"/>
      <c r="S49" s="54"/>
      <c r="T49" s="54"/>
      <c r="U49" s="54"/>
      <c r="V49" s="44"/>
      <c r="W49" s="27"/>
      <c r="Z49" s="27"/>
      <c r="AA49" s="8"/>
      <c r="AB49" s="81" t="str">
        <f t="shared" si="18"/>
        <v/>
      </c>
      <c r="AC49" s="6" t="str">
        <f t="shared" si="19"/>
        <v/>
      </c>
      <c r="AD49" s="1" t="str">
        <f t="shared" ca="1" si="20"/>
        <v/>
      </c>
      <c r="AE49" s="75" t="str">
        <f t="shared" si="21"/>
        <v/>
      </c>
      <c r="AF49" s="75" t="str">
        <f t="shared" si="22"/>
        <v/>
      </c>
      <c r="AG49" s="4" t="str">
        <f t="shared" si="23"/>
        <v/>
      </c>
      <c r="AH49" s="4" t="str">
        <f t="shared" si="24"/>
        <v/>
      </c>
      <c r="AI49" s="4" t="str">
        <f t="shared" si="25"/>
        <v/>
      </c>
      <c r="AJ49" s="4" t="str">
        <f t="shared" si="9"/>
        <v/>
      </c>
      <c r="AK49" s="4" t="str">
        <f t="shared" si="10"/>
        <v/>
      </c>
      <c r="AL49" s="2" t="str">
        <f t="shared" si="11"/>
        <v/>
      </c>
      <c r="AM49" s="6" t="str">
        <f t="shared" si="12"/>
        <v/>
      </c>
      <c r="AN49" s="4" t="str">
        <f t="shared" si="13"/>
        <v/>
      </c>
      <c r="AO49" s="4" t="str">
        <f t="shared" si="14"/>
        <v/>
      </c>
      <c r="AP49" s="4" t="str">
        <f t="shared" si="15"/>
        <v/>
      </c>
      <c r="AQ49" s="4" t="str">
        <f t="shared" si="16"/>
        <v/>
      </c>
      <c r="AR49" s="4" t="str">
        <f t="shared" si="17"/>
        <v/>
      </c>
    </row>
    <row r="50" spans="3:44" s="1" customFormat="1" ht="14.25" x14ac:dyDescent="0.3">
      <c r="C50" s="20"/>
      <c r="E50" s="23"/>
      <c r="F50" s="2"/>
      <c r="G50" s="21"/>
      <c r="H50" s="50"/>
      <c r="I50" s="20"/>
      <c r="J50" s="54"/>
      <c r="K50" s="20"/>
      <c r="L50" s="54"/>
      <c r="O50" s="21"/>
      <c r="P50" s="21"/>
      <c r="R50" s="46"/>
      <c r="S50" s="54"/>
      <c r="T50" s="54"/>
      <c r="U50" s="54"/>
      <c r="V50" s="44"/>
      <c r="W50" s="27"/>
      <c r="Z50" s="27"/>
      <c r="AA50" s="8"/>
      <c r="AB50" s="81" t="str">
        <f t="shared" si="18"/>
        <v/>
      </c>
      <c r="AC50" s="6" t="str">
        <f t="shared" si="19"/>
        <v/>
      </c>
      <c r="AD50" s="1" t="str">
        <f t="shared" ca="1" si="20"/>
        <v/>
      </c>
      <c r="AE50" s="75" t="str">
        <f t="shared" si="21"/>
        <v/>
      </c>
      <c r="AF50" s="75" t="str">
        <f t="shared" si="22"/>
        <v/>
      </c>
      <c r="AG50" s="4" t="str">
        <f t="shared" si="23"/>
        <v/>
      </c>
      <c r="AH50" s="4" t="str">
        <f t="shared" si="24"/>
        <v/>
      </c>
      <c r="AI50" s="4" t="str">
        <f t="shared" si="25"/>
        <v/>
      </c>
      <c r="AJ50" s="4" t="str">
        <f t="shared" si="9"/>
        <v/>
      </c>
      <c r="AK50" s="4" t="str">
        <f t="shared" si="10"/>
        <v/>
      </c>
      <c r="AL50" s="2" t="str">
        <f t="shared" si="11"/>
        <v/>
      </c>
      <c r="AM50" s="6" t="str">
        <f t="shared" si="12"/>
        <v/>
      </c>
      <c r="AN50" s="4" t="str">
        <f t="shared" si="13"/>
        <v/>
      </c>
      <c r="AO50" s="4" t="str">
        <f t="shared" si="14"/>
        <v/>
      </c>
      <c r="AP50" s="4" t="str">
        <f t="shared" si="15"/>
        <v/>
      </c>
      <c r="AQ50" s="4" t="str">
        <f t="shared" si="16"/>
        <v/>
      </c>
      <c r="AR50" s="4" t="str">
        <f t="shared" si="17"/>
        <v/>
      </c>
    </row>
    <row r="51" spans="3:44" s="1" customFormat="1" ht="14.25" x14ac:dyDescent="0.3">
      <c r="E51" s="23"/>
      <c r="F51" s="2"/>
      <c r="G51" s="21"/>
      <c r="H51" s="50"/>
      <c r="I51" s="21"/>
      <c r="J51" s="54"/>
      <c r="K51" s="21"/>
      <c r="L51" s="54"/>
      <c r="O51" s="21"/>
      <c r="P51" s="21"/>
      <c r="R51" s="46"/>
      <c r="S51" s="54"/>
      <c r="T51" s="54"/>
      <c r="U51" s="54"/>
      <c r="V51" s="44"/>
      <c r="W51" s="27"/>
      <c r="Z51" s="27"/>
      <c r="AA51" s="8"/>
      <c r="AB51" s="81" t="str">
        <f t="shared" ref="AB51:AB71" si="61">IF(X51="","",(AH51-AG51)/AG51)</f>
        <v/>
      </c>
      <c r="AC51" s="6" t="str">
        <f t="shared" ref="AC51:AC71" si="62">IF(X51="","",AH51-AG51)</f>
        <v/>
      </c>
      <c r="AD51" s="1" t="str">
        <f t="shared" ref="AD51:AD71" ca="1" si="63">IF(X51="","",IF(W51="","",IF(Z51="",TODAY()-W51,Z51-W51)))</f>
        <v/>
      </c>
      <c r="AE51" s="75" t="str">
        <f t="shared" ref="AE51:AE71" si="64">IF(X51="","",IF(AE50="",IF(AM51="","",AM51),IF(AM51="",AE50,AE50+AM51)))</f>
        <v/>
      </c>
      <c r="AF51" s="75" t="str">
        <f t="shared" ref="AF51:AF71" si="65">IF(X51="","",IF(AF50="",IF(AN51="","",AN51),IF(AN51="",AF50,AF50+AN51)))</f>
        <v/>
      </c>
      <c r="AG51" s="4" t="str">
        <f t="shared" ref="AG51:AG71" si="66">IF(X51="","",X51*Y51*100+AO51+AP51)</f>
        <v/>
      </c>
      <c r="AH51" s="4" t="str">
        <f t="shared" ref="AH51:AH71" si="67">IF(X51="","",IF(AA51="",C51*Y51*100-AO51-AQ51-AR51,AA51*Y51*100-AO51-AQ51-AR51))</f>
        <v/>
      </c>
      <c r="AI51" s="4" t="str">
        <f t="shared" ref="AI51:AI71" si="68">IF(X51="","",AI50+AC51)</f>
        <v/>
      </c>
      <c r="AJ51" s="4" t="str">
        <f t="shared" ref="AJ51:AJ71" si="69">IF(X51="","",AO51+AP51+AO51+AQ51+AR51)</f>
        <v/>
      </c>
      <c r="AK51" s="4" t="str">
        <f t="shared" ref="AK51:AK71" si="70">IF(X51="","",AK50+AJ51)</f>
        <v/>
      </c>
      <c r="AL51" s="2" t="str">
        <f t="shared" ref="AL51:AL71" si="71">IF(X51="","",0.18%)</f>
        <v/>
      </c>
      <c r="AM51" s="6" t="str">
        <f t="shared" ref="AM51:AM71" si="72">IF(X51="","",IF(Z51="",AC51,""))</f>
        <v/>
      </c>
      <c r="AN51" s="4" t="str">
        <f t="shared" ref="AN51:AN71" si="73">IF(X51="","",IF(Z51="",AH51,""))</f>
        <v/>
      </c>
      <c r="AO51" s="4" t="str">
        <f t="shared" ref="AO51:AO71" si="74">IF(X51="","",IF(LEFT(A51,2)="sh",IF(Y51*100/1000&lt;=1,1,Y51*100/1000),0))</f>
        <v/>
      </c>
      <c r="AP51" s="4" t="str">
        <f t="shared" ref="AP51:AP71" si="75">IF(X51="","",IF(X51*Y51*100*AL51&lt;=5,5,X51*Y51*100*AL51))</f>
        <v/>
      </c>
      <c r="AQ51" s="4" t="str">
        <f t="shared" ref="AQ51:AQ71" si="76">IF(X51="","",IF(AA51="",IF(C51*Y51*100*AL51&lt;=5,5,C51*Y51*100*AL51),IF(AA51*Y51*100*AL51&lt;=5,5,AA51*Y51*100*AL51)))</f>
        <v/>
      </c>
      <c r="AR51" s="4" t="str">
        <f t="shared" ref="AR51:AR71" si="77">IF(X51="","",IF(AA51="",C51*Y51*100*0.001,AA51*Y51*100*0.001))</f>
        <v/>
      </c>
    </row>
    <row r="52" spans="3:44" s="1" customFormat="1" ht="14.25" x14ac:dyDescent="0.3">
      <c r="C52" s="20"/>
      <c r="E52" s="19"/>
      <c r="F52" s="2"/>
      <c r="G52" s="20"/>
      <c r="H52" s="50"/>
      <c r="I52" s="20"/>
      <c r="J52" s="54"/>
      <c r="K52" s="20"/>
      <c r="L52" s="54"/>
      <c r="O52" s="20"/>
      <c r="P52" s="21"/>
      <c r="R52" s="46"/>
      <c r="S52" s="54"/>
      <c r="T52" s="54"/>
      <c r="U52" s="54"/>
      <c r="V52" s="44"/>
      <c r="W52" s="27"/>
      <c r="Z52" s="27"/>
      <c r="AA52" s="8"/>
      <c r="AB52" s="81" t="str">
        <f t="shared" si="61"/>
        <v/>
      </c>
      <c r="AC52" s="6" t="str">
        <f t="shared" si="62"/>
        <v/>
      </c>
      <c r="AD52" s="1" t="str">
        <f t="shared" ca="1" si="63"/>
        <v/>
      </c>
      <c r="AE52" s="75" t="str">
        <f t="shared" si="64"/>
        <v/>
      </c>
      <c r="AF52" s="75" t="str">
        <f t="shared" si="65"/>
        <v/>
      </c>
      <c r="AG52" s="4" t="str">
        <f t="shared" si="66"/>
        <v/>
      </c>
      <c r="AH52" s="4" t="str">
        <f t="shared" si="67"/>
        <v/>
      </c>
      <c r="AI52" s="4" t="str">
        <f t="shared" si="68"/>
        <v/>
      </c>
      <c r="AJ52" s="4" t="str">
        <f t="shared" si="69"/>
        <v/>
      </c>
      <c r="AK52" s="4" t="str">
        <f t="shared" si="70"/>
        <v/>
      </c>
      <c r="AL52" s="2" t="str">
        <f t="shared" si="71"/>
        <v/>
      </c>
      <c r="AM52" s="6" t="str">
        <f t="shared" si="72"/>
        <v/>
      </c>
      <c r="AN52" s="4" t="str">
        <f t="shared" si="73"/>
        <v/>
      </c>
      <c r="AO52" s="4" t="str">
        <f t="shared" si="74"/>
        <v/>
      </c>
      <c r="AP52" s="4" t="str">
        <f t="shared" si="75"/>
        <v/>
      </c>
      <c r="AQ52" s="4" t="str">
        <f t="shared" si="76"/>
        <v/>
      </c>
      <c r="AR52" s="4" t="str">
        <f t="shared" si="77"/>
        <v/>
      </c>
    </row>
    <row r="53" spans="3:44" s="1" customFormat="1" ht="14.25" x14ac:dyDescent="0.3">
      <c r="C53" s="20"/>
      <c r="E53" s="19"/>
      <c r="F53" s="2"/>
      <c r="G53" s="20"/>
      <c r="H53" s="50"/>
      <c r="I53" s="20"/>
      <c r="J53" s="54"/>
      <c r="K53" s="20"/>
      <c r="L53" s="54"/>
      <c r="O53" s="20"/>
      <c r="P53" s="21"/>
      <c r="R53" s="46"/>
      <c r="S53" s="54"/>
      <c r="T53" s="54"/>
      <c r="U53" s="54"/>
      <c r="V53" s="44"/>
      <c r="W53" s="27"/>
      <c r="Z53" s="27"/>
      <c r="AA53" s="8"/>
      <c r="AB53" s="81" t="str">
        <f t="shared" si="61"/>
        <v/>
      </c>
      <c r="AC53" s="6" t="str">
        <f t="shared" si="62"/>
        <v/>
      </c>
      <c r="AD53" s="1" t="str">
        <f t="shared" ca="1" si="63"/>
        <v/>
      </c>
      <c r="AE53" s="75" t="str">
        <f t="shared" si="64"/>
        <v/>
      </c>
      <c r="AF53" s="75" t="str">
        <f t="shared" si="65"/>
        <v/>
      </c>
      <c r="AG53" s="4" t="str">
        <f t="shared" si="66"/>
        <v/>
      </c>
      <c r="AH53" s="4" t="str">
        <f t="shared" si="67"/>
        <v/>
      </c>
      <c r="AI53" s="4" t="str">
        <f t="shared" si="68"/>
        <v/>
      </c>
      <c r="AJ53" s="4" t="str">
        <f t="shared" si="69"/>
        <v/>
      </c>
      <c r="AK53" s="4" t="str">
        <f t="shared" si="70"/>
        <v/>
      </c>
      <c r="AL53" s="2" t="str">
        <f t="shared" si="71"/>
        <v/>
      </c>
      <c r="AM53" s="6" t="str">
        <f t="shared" si="72"/>
        <v/>
      </c>
      <c r="AN53" s="4" t="str">
        <f t="shared" si="73"/>
        <v/>
      </c>
      <c r="AO53" s="4" t="str">
        <f t="shared" si="74"/>
        <v/>
      </c>
      <c r="AP53" s="4" t="str">
        <f t="shared" si="75"/>
        <v/>
      </c>
      <c r="AQ53" s="4" t="str">
        <f t="shared" si="76"/>
        <v/>
      </c>
      <c r="AR53" s="4" t="str">
        <f t="shared" si="77"/>
        <v/>
      </c>
    </row>
    <row r="54" spans="3:44" s="1" customFormat="1" ht="14.25" x14ac:dyDescent="0.3">
      <c r="C54" s="20"/>
      <c r="E54" s="19"/>
      <c r="F54" s="2"/>
      <c r="G54" s="20"/>
      <c r="H54" s="50"/>
      <c r="I54" s="20"/>
      <c r="J54" s="54"/>
      <c r="K54" s="20"/>
      <c r="L54" s="54"/>
      <c r="O54" s="20"/>
      <c r="P54" s="21"/>
      <c r="R54" s="46"/>
      <c r="S54" s="54"/>
      <c r="T54" s="54"/>
      <c r="U54" s="54"/>
      <c r="V54" s="44"/>
      <c r="W54" s="27"/>
      <c r="Z54" s="27"/>
      <c r="AA54" s="8"/>
      <c r="AB54" s="81" t="str">
        <f t="shared" si="61"/>
        <v/>
      </c>
      <c r="AC54" s="6" t="str">
        <f t="shared" si="62"/>
        <v/>
      </c>
      <c r="AD54" s="1" t="str">
        <f t="shared" ca="1" si="63"/>
        <v/>
      </c>
      <c r="AE54" s="75" t="str">
        <f t="shared" si="64"/>
        <v/>
      </c>
      <c r="AF54" s="75" t="str">
        <f t="shared" si="65"/>
        <v/>
      </c>
      <c r="AG54" s="4" t="str">
        <f t="shared" si="66"/>
        <v/>
      </c>
      <c r="AH54" s="4" t="str">
        <f t="shared" si="67"/>
        <v/>
      </c>
      <c r="AI54" s="4" t="str">
        <f t="shared" si="68"/>
        <v/>
      </c>
      <c r="AJ54" s="4" t="str">
        <f t="shared" si="69"/>
        <v/>
      </c>
      <c r="AK54" s="4" t="str">
        <f t="shared" si="70"/>
        <v/>
      </c>
      <c r="AL54" s="2" t="str">
        <f t="shared" si="71"/>
        <v/>
      </c>
      <c r="AM54" s="6" t="str">
        <f t="shared" si="72"/>
        <v/>
      </c>
      <c r="AN54" s="4" t="str">
        <f t="shared" si="73"/>
        <v/>
      </c>
      <c r="AO54" s="4" t="str">
        <f t="shared" si="74"/>
        <v/>
      </c>
      <c r="AP54" s="4" t="str">
        <f t="shared" si="75"/>
        <v/>
      </c>
      <c r="AQ54" s="4" t="str">
        <f t="shared" si="76"/>
        <v/>
      </c>
      <c r="AR54" s="4" t="str">
        <f t="shared" si="77"/>
        <v/>
      </c>
    </row>
    <row r="55" spans="3:44" s="1" customFormat="1" ht="14.25" x14ac:dyDescent="0.3">
      <c r="C55" s="20"/>
      <c r="E55" s="19"/>
      <c r="F55" s="2"/>
      <c r="G55" s="20"/>
      <c r="H55" s="50"/>
      <c r="I55" s="20"/>
      <c r="J55" s="54"/>
      <c r="K55" s="20"/>
      <c r="L55" s="54"/>
      <c r="O55" s="20"/>
      <c r="P55" s="21"/>
      <c r="R55" s="46"/>
      <c r="S55" s="54"/>
      <c r="T55" s="54"/>
      <c r="U55" s="54"/>
      <c r="V55" s="44"/>
      <c r="W55" s="27"/>
      <c r="Z55" s="27"/>
      <c r="AA55" s="8"/>
      <c r="AB55" s="81" t="str">
        <f t="shared" si="61"/>
        <v/>
      </c>
      <c r="AC55" s="6" t="str">
        <f t="shared" si="62"/>
        <v/>
      </c>
      <c r="AD55" s="1" t="str">
        <f t="shared" ca="1" si="63"/>
        <v/>
      </c>
      <c r="AE55" s="75" t="str">
        <f t="shared" si="64"/>
        <v/>
      </c>
      <c r="AF55" s="75" t="str">
        <f t="shared" si="65"/>
        <v/>
      </c>
      <c r="AG55" s="4" t="str">
        <f t="shared" si="66"/>
        <v/>
      </c>
      <c r="AH55" s="4" t="str">
        <f t="shared" si="67"/>
        <v/>
      </c>
      <c r="AI55" s="4" t="str">
        <f t="shared" si="68"/>
        <v/>
      </c>
      <c r="AJ55" s="4" t="str">
        <f t="shared" si="69"/>
        <v/>
      </c>
      <c r="AK55" s="4" t="str">
        <f t="shared" si="70"/>
        <v/>
      </c>
      <c r="AL55" s="2" t="str">
        <f t="shared" si="71"/>
        <v/>
      </c>
      <c r="AM55" s="6" t="str">
        <f t="shared" si="72"/>
        <v/>
      </c>
      <c r="AN55" s="4" t="str">
        <f t="shared" si="73"/>
        <v/>
      </c>
      <c r="AO55" s="4" t="str">
        <f t="shared" si="74"/>
        <v/>
      </c>
      <c r="AP55" s="4" t="str">
        <f t="shared" si="75"/>
        <v/>
      </c>
      <c r="AQ55" s="4" t="str">
        <f t="shared" si="76"/>
        <v/>
      </c>
      <c r="AR55" s="4" t="str">
        <f t="shared" si="77"/>
        <v/>
      </c>
    </row>
    <row r="56" spans="3:44" s="1" customFormat="1" ht="14.25" x14ac:dyDescent="0.3">
      <c r="C56" s="20"/>
      <c r="E56" s="23"/>
      <c r="F56" s="2"/>
      <c r="G56" s="21"/>
      <c r="H56" s="50"/>
      <c r="I56" s="20"/>
      <c r="J56" s="54"/>
      <c r="K56" s="20"/>
      <c r="L56" s="54"/>
      <c r="O56" s="21"/>
      <c r="P56" s="21"/>
      <c r="R56" s="46"/>
      <c r="S56" s="54"/>
      <c r="T56" s="54"/>
      <c r="U56" s="54"/>
      <c r="V56" s="44"/>
      <c r="W56" s="27"/>
      <c r="Z56" s="27"/>
      <c r="AA56" s="8"/>
      <c r="AB56" s="81" t="str">
        <f t="shared" si="61"/>
        <v/>
      </c>
      <c r="AC56" s="6" t="str">
        <f t="shared" si="62"/>
        <v/>
      </c>
      <c r="AD56" s="1" t="str">
        <f t="shared" ca="1" si="63"/>
        <v/>
      </c>
      <c r="AE56" s="75" t="str">
        <f t="shared" si="64"/>
        <v/>
      </c>
      <c r="AF56" s="75" t="str">
        <f t="shared" si="65"/>
        <v/>
      </c>
      <c r="AG56" s="4" t="str">
        <f t="shared" si="66"/>
        <v/>
      </c>
      <c r="AH56" s="4" t="str">
        <f t="shared" si="67"/>
        <v/>
      </c>
      <c r="AI56" s="4" t="str">
        <f t="shared" si="68"/>
        <v/>
      </c>
      <c r="AJ56" s="4" t="str">
        <f t="shared" si="69"/>
        <v/>
      </c>
      <c r="AK56" s="4" t="str">
        <f t="shared" si="70"/>
        <v/>
      </c>
      <c r="AL56" s="2" t="str">
        <f t="shared" si="71"/>
        <v/>
      </c>
      <c r="AM56" s="6" t="str">
        <f t="shared" si="72"/>
        <v/>
      </c>
      <c r="AN56" s="4" t="str">
        <f t="shared" si="73"/>
        <v/>
      </c>
      <c r="AO56" s="4" t="str">
        <f t="shared" si="74"/>
        <v/>
      </c>
      <c r="AP56" s="4" t="str">
        <f t="shared" si="75"/>
        <v/>
      </c>
      <c r="AQ56" s="4" t="str">
        <f t="shared" si="76"/>
        <v/>
      </c>
      <c r="AR56" s="4" t="str">
        <f t="shared" si="77"/>
        <v/>
      </c>
    </row>
    <row r="57" spans="3:44" s="1" customFormat="1" ht="14.25" x14ac:dyDescent="0.3">
      <c r="C57" s="20"/>
      <c r="E57" s="19"/>
      <c r="F57" s="2"/>
      <c r="G57" s="31"/>
      <c r="H57" s="50"/>
      <c r="I57" s="20"/>
      <c r="J57" s="54"/>
      <c r="K57" s="20"/>
      <c r="L57" s="54"/>
      <c r="O57" s="20"/>
      <c r="P57" s="21"/>
      <c r="R57" s="46"/>
      <c r="S57" s="54"/>
      <c r="T57" s="54"/>
      <c r="U57" s="54"/>
      <c r="V57" s="44"/>
      <c r="W57" s="27"/>
      <c r="Z57" s="27"/>
      <c r="AA57" s="8"/>
      <c r="AB57" s="81" t="str">
        <f t="shared" si="61"/>
        <v/>
      </c>
      <c r="AC57" s="6" t="str">
        <f t="shared" si="62"/>
        <v/>
      </c>
      <c r="AD57" s="1" t="str">
        <f t="shared" ca="1" si="63"/>
        <v/>
      </c>
      <c r="AE57" s="75" t="str">
        <f t="shared" si="64"/>
        <v/>
      </c>
      <c r="AF57" s="75" t="str">
        <f t="shared" si="65"/>
        <v/>
      </c>
      <c r="AG57" s="4" t="str">
        <f t="shared" si="66"/>
        <v/>
      </c>
      <c r="AH57" s="4" t="str">
        <f t="shared" si="67"/>
        <v/>
      </c>
      <c r="AI57" s="4" t="str">
        <f t="shared" si="68"/>
        <v/>
      </c>
      <c r="AJ57" s="4" t="str">
        <f t="shared" si="69"/>
        <v/>
      </c>
      <c r="AK57" s="4" t="str">
        <f t="shared" si="70"/>
        <v/>
      </c>
      <c r="AL57" s="2" t="str">
        <f t="shared" si="71"/>
        <v/>
      </c>
      <c r="AM57" s="6" t="str">
        <f t="shared" si="72"/>
        <v/>
      </c>
      <c r="AN57" s="4" t="str">
        <f t="shared" si="73"/>
        <v/>
      </c>
      <c r="AO57" s="4" t="str">
        <f t="shared" si="74"/>
        <v/>
      </c>
      <c r="AP57" s="4" t="str">
        <f t="shared" si="75"/>
        <v/>
      </c>
      <c r="AQ57" s="4" t="str">
        <f t="shared" si="76"/>
        <v/>
      </c>
      <c r="AR57" s="4" t="str">
        <f t="shared" si="77"/>
        <v/>
      </c>
    </row>
    <row r="58" spans="3:44" s="1" customFormat="1" ht="14.25" x14ac:dyDescent="0.3">
      <c r="C58" s="20"/>
      <c r="E58" s="19"/>
      <c r="F58" s="2"/>
      <c r="G58" s="31"/>
      <c r="H58" s="50"/>
      <c r="I58" s="20"/>
      <c r="J58" s="54"/>
      <c r="K58" s="20"/>
      <c r="L58" s="54"/>
      <c r="O58" s="20"/>
      <c r="P58" s="21"/>
      <c r="R58" s="46"/>
      <c r="S58" s="54"/>
      <c r="T58" s="54"/>
      <c r="U58" s="54"/>
      <c r="V58" s="44"/>
      <c r="W58" s="27"/>
      <c r="Z58" s="27"/>
      <c r="AA58" s="8"/>
      <c r="AB58" s="81" t="str">
        <f t="shared" si="61"/>
        <v/>
      </c>
      <c r="AC58" s="6" t="str">
        <f t="shared" si="62"/>
        <v/>
      </c>
      <c r="AD58" s="1" t="str">
        <f t="shared" ca="1" si="63"/>
        <v/>
      </c>
      <c r="AE58" s="75" t="str">
        <f t="shared" si="64"/>
        <v/>
      </c>
      <c r="AF58" s="75" t="str">
        <f t="shared" si="65"/>
        <v/>
      </c>
      <c r="AG58" s="4" t="str">
        <f t="shared" si="66"/>
        <v/>
      </c>
      <c r="AH58" s="4" t="str">
        <f t="shared" si="67"/>
        <v/>
      </c>
      <c r="AI58" s="4" t="str">
        <f t="shared" si="68"/>
        <v/>
      </c>
      <c r="AJ58" s="4" t="str">
        <f t="shared" si="69"/>
        <v/>
      </c>
      <c r="AK58" s="4" t="str">
        <f t="shared" si="70"/>
        <v/>
      </c>
      <c r="AL58" s="2" t="str">
        <f t="shared" si="71"/>
        <v/>
      </c>
      <c r="AM58" s="6" t="str">
        <f t="shared" si="72"/>
        <v/>
      </c>
      <c r="AN58" s="4" t="str">
        <f t="shared" si="73"/>
        <v/>
      </c>
      <c r="AO58" s="4" t="str">
        <f t="shared" si="74"/>
        <v/>
      </c>
      <c r="AP58" s="4" t="str">
        <f t="shared" si="75"/>
        <v/>
      </c>
      <c r="AQ58" s="4" t="str">
        <f t="shared" si="76"/>
        <v/>
      </c>
      <c r="AR58" s="4" t="str">
        <f t="shared" si="77"/>
        <v/>
      </c>
    </row>
    <row r="59" spans="3:44" s="1" customFormat="1" ht="14.25" x14ac:dyDescent="0.3">
      <c r="E59" s="23"/>
      <c r="F59" s="2"/>
      <c r="G59" s="21"/>
      <c r="H59" s="50"/>
      <c r="I59" s="21"/>
      <c r="J59" s="54"/>
      <c r="K59" s="21"/>
      <c r="L59" s="54"/>
      <c r="O59" s="21"/>
      <c r="P59" s="21"/>
      <c r="R59" s="46"/>
      <c r="S59" s="54"/>
      <c r="T59" s="54"/>
      <c r="U59" s="54"/>
      <c r="V59" s="44"/>
      <c r="W59" s="27"/>
      <c r="Z59" s="27"/>
      <c r="AA59" s="8"/>
      <c r="AB59" s="81" t="str">
        <f t="shared" si="61"/>
        <v/>
      </c>
      <c r="AC59" s="6" t="str">
        <f t="shared" si="62"/>
        <v/>
      </c>
      <c r="AD59" s="1" t="str">
        <f t="shared" ca="1" si="63"/>
        <v/>
      </c>
      <c r="AE59" s="75" t="str">
        <f t="shared" si="64"/>
        <v/>
      </c>
      <c r="AF59" s="75" t="str">
        <f t="shared" si="65"/>
        <v/>
      </c>
      <c r="AG59" s="4" t="str">
        <f t="shared" si="66"/>
        <v/>
      </c>
      <c r="AH59" s="4" t="str">
        <f t="shared" si="67"/>
        <v/>
      </c>
      <c r="AI59" s="4" t="str">
        <f t="shared" si="68"/>
        <v/>
      </c>
      <c r="AJ59" s="4" t="str">
        <f t="shared" si="69"/>
        <v/>
      </c>
      <c r="AK59" s="4" t="str">
        <f t="shared" si="70"/>
        <v/>
      </c>
      <c r="AL59" s="2" t="str">
        <f t="shared" si="71"/>
        <v/>
      </c>
      <c r="AM59" s="6" t="str">
        <f t="shared" si="72"/>
        <v/>
      </c>
      <c r="AN59" s="4" t="str">
        <f t="shared" si="73"/>
        <v/>
      </c>
      <c r="AO59" s="4" t="str">
        <f t="shared" si="74"/>
        <v/>
      </c>
      <c r="AP59" s="4" t="str">
        <f t="shared" si="75"/>
        <v/>
      </c>
      <c r="AQ59" s="4" t="str">
        <f t="shared" si="76"/>
        <v/>
      </c>
      <c r="AR59" s="4" t="str">
        <f t="shared" si="77"/>
        <v/>
      </c>
    </row>
    <row r="60" spans="3:44" s="1" customFormat="1" ht="14.25" x14ac:dyDescent="0.3">
      <c r="C60" s="20"/>
      <c r="E60" s="19"/>
      <c r="F60" s="2"/>
      <c r="G60" s="20"/>
      <c r="H60" s="50"/>
      <c r="I60" s="20"/>
      <c r="J60" s="54"/>
      <c r="K60" s="20"/>
      <c r="L60" s="54"/>
      <c r="O60" s="20"/>
      <c r="P60" s="21"/>
      <c r="R60" s="46"/>
      <c r="S60" s="54"/>
      <c r="T60" s="54"/>
      <c r="U60" s="54"/>
      <c r="V60" s="44"/>
      <c r="W60" s="27"/>
      <c r="Z60" s="27"/>
      <c r="AA60" s="8"/>
      <c r="AB60" s="81" t="str">
        <f t="shared" si="61"/>
        <v/>
      </c>
      <c r="AC60" s="6" t="str">
        <f t="shared" si="62"/>
        <v/>
      </c>
      <c r="AD60" s="1" t="str">
        <f t="shared" ca="1" si="63"/>
        <v/>
      </c>
      <c r="AE60" s="75" t="str">
        <f t="shared" si="64"/>
        <v/>
      </c>
      <c r="AF60" s="75" t="str">
        <f t="shared" si="65"/>
        <v/>
      </c>
      <c r="AG60" s="4" t="str">
        <f t="shared" si="66"/>
        <v/>
      </c>
      <c r="AH60" s="4" t="str">
        <f t="shared" si="67"/>
        <v/>
      </c>
      <c r="AI60" s="4" t="str">
        <f t="shared" si="68"/>
        <v/>
      </c>
      <c r="AJ60" s="4" t="str">
        <f t="shared" si="69"/>
        <v/>
      </c>
      <c r="AK60" s="4" t="str">
        <f t="shared" si="70"/>
        <v/>
      </c>
      <c r="AL60" s="2" t="str">
        <f t="shared" si="71"/>
        <v/>
      </c>
      <c r="AM60" s="6" t="str">
        <f t="shared" si="72"/>
        <v/>
      </c>
      <c r="AN60" s="4" t="str">
        <f t="shared" si="73"/>
        <v/>
      </c>
      <c r="AO60" s="4" t="str">
        <f t="shared" si="74"/>
        <v/>
      </c>
      <c r="AP60" s="4" t="str">
        <f t="shared" si="75"/>
        <v/>
      </c>
      <c r="AQ60" s="4" t="str">
        <f t="shared" si="76"/>
        <v/>
      </c>
      <c r="AR60" s="4" t="str">
        <f t="shared" si="77"/>
        <v/>
      </c>
    </row>
    <row r="61" spans="3:44" s="1" customFormat="1" ht="14.25" x14ac:dyDescent="0.3">
      <c r="C61" s="20"/>
      <c r="E61" s="19"/>
      <c r="F61" s="2"/>
      <c r="G61" s="20"/>
      <c r="H61" s="50"/>
      <c r="I61" s="20"/>
      <c r="J61" s="54"/>
      <c r="K61" s="20"/>
      <c r="L61" s="54"/>
      <c r="O61" s="20"/>
      <c r="P61" s="21"/>
      <c r="R61" s="46"/>
      <c r="S61" s="54"/>
      <c r="T61" s="54"/>
      <c r="U61" s="54"/>
      <c r="V61" s="44"/>
      <c r="W61" s="27"/>
      <c r="Z61" s="27"/>
      <c r="AA61" s="8"/>
      <c r="AB61" s="81" t="str">
        <f t="shared" si="61"/>
        <v/>
      </c>
      <c r="AC61" s="6" t="str">
        <f t="shared" si="62"/>
        <v/>
      </c>
      <c r="AD61" s="1" t="str">
        <f t="shared" ca="1" si="63"/>
        <v/>
      </c>
      <c r="AE61" s="75" t="str">
        <f t="shared" si="64"/>
        <v/>
      </c>
      <c r="AF61" s="75" t="str">
        <f t="shared" si="65"/>
        <v/>
      </c>
      <c r="AG61" s="4" t="str">
        <f t="shared" si="66"/>
        <v/>
      </c>
      <c r="AH61" s="4" t="str">
        <f t="shared" si="67"/>
        <v/>
      </c>
      <c r="AI61" s="4" t="str">
        <f t="shared" si="68"/>
        <v/>
      </c>
      <c r="AJ61" s="4" t="str">
        <f t="shared" si="69"/>
        <v/>
      </c>
      <c r="AK61" s="4" t="str">
        <f t="shared" si="70"/>
        <v/>
      </c>
      <c r="AL61" s="2" t="str">
        <f t="shared" si="71"/>
        <v/>
      </c>
      <c r="AM61" s="6" t="str">
        <f t="shared" si="72"/>
        <v/>
      </c>
      <c r="AN61" s="4" t="str">
        <f t="shared" si="73"/>
        <v/>
      </c>
      <c r="AO61" s="4" t="str">
        <f t="shared" si="74"/>
        <v/>
      </c>
      <c r="AP61" s="4" t="str">
        <f t="shared" si="75"/>
        <v/>
      </c>
      <c r="AQ61" s="4" t="str">
        <f t="shared" si="76"/>
        <v/>
      </c>
      <c r="AR61" s="4" t="str">
        <f t="shared" si="77"/>
        <v/>
      </c>
    </row>
    <row r="62" spans="3:44" s="1" customFormat="1" ht="14.25" x14ac:dyDescent="0.3">
      <c r="C62" s="20"/>
      <c r="E62" s="19"/>
      <c r="F62" s="2"/>
      <c r="G62" s="20"/>
      <c r="H62" s="50"/>
      <c r="I62" s="20"/>
      <c r="J62" s="54"/>
      <c r="K62" s="20"/>
      <c r="L62" s="54"/>
      <c r="O62" s="20"/>
      <c r="P62" s="21"/>
      <c r="R62" s="46"/>
      <c r="S62" s="54"/>
      <c r="T62" s="54"/>
      <c r="U62" s="54"/>
      <c r="V62" s="44"/>
      <c r="W62" s="27"/>
      <c r="Z62" s="27"/>
      <c r="AA62" s="8"/>
      <c r="AB62" s="81" t="str">
        <f t="shared" si="61"/>
        <v/>
      </c>
      <c r="AC62" s="6" t="str">
        <f t="shared" si="62"/>
        <v/>
      </c>
      <c r="AD62" s="1" t="str">
        <f t="shared" ca="1" si="63"/>
        <v/>
      </c>
      <c r="AE62" s="75" t="str">
        <f t="shared" si="64"/>
        <v/>
      </c>
      <c r="AF62" s="75" t="str">
        <f t="shared" si="65"/>
        <v/>
      </c>
      <c r="AG62" s="4" t="str">
        <f t="shared" si="66"/>
        <v/>
      </c>
      <c r="AH62" s="4" t="str">
        <f t="shared" si="67"/>
        <v/>
      </c>
      <c r="AI62" s="4" t="str">
        <f t="shared" si="68"/>
        <v/>
      </c>
      <c r="AJ62" s="4" t="str">
        <f t="shared" si="69"/>
        <v/>
      </c>
      <c r="AK62" s="4" t="str">
        <f t="shared" si="70"/>
        <v/>
      </c>
      <c r="AL62" s="2" t="str">
        <f t="shared" si="71"/>
        <v/>
      </c>
      <c r="AM62" s="6" t="str">
        <f t="shared" si="72"/>
        <v/>
      </c>
      <c r="AN62" s="4" t="str">
        <f t="shared" si="73"/>
        <v/>
      </c>
      <c r="AO62" s="4" t="str">
        <f t="shared" si="74"/>
        <v/>
      </c>
      <c r="AP62" s="4" t="str">
        <f t="shared" si="75"/>
        <v/>
      </c>
      <c r="AQ62" s="4" t="str">
        <f t="shared" si="76"/>
        <v/>
      </c>
      <c r="AR62" s="4" t="str">
        <f t="shared" si="77"/>
        <v/>
      </c>
    </row>
    <row r="63" spans="3:44" s="1" customFormat="1" ht="14.25" x14ac:dyDescent="0.3">
      <c r="C63" s="20"/>
      <c r="E63" s="19"/>
      <c r="F63" s="2"/>
      <c r="G63" s="31"/>
      <c r="H63" s="50"/>
      <c r="I63" s="20"/>
      <c r="J63" s="54"/>
      <c r="K63" s="20"/>
      <c r="L63" s="54"/>
      <c r="O63" s="20"/>
      <c r="P63" s="21"/>
      <c r="R63" s="46"/>
      <c r="S63" s="54"/>
      <c r="T63" s="54"/>
      <c r="U63" s="54"/>
      <c r="V63" s="44"/>
      <c r="W63" s="27"/>
      <c r="Z63" s="27"/>
      <c r="AA63" s="8"/>
      <c r="AB63" s="81" t="str">
        <f t="shared" si="61"/>
        <v/>
      </c>
      <c r="AC63" s="6" t="str">
        <f t="shared" si="62"/>
        <v/>
      </c>
      <c r="AD63" s="1" t="str">
        <f t="shared" ca="1" si="63"/>
        <v/>
      </c>
      <c r="AE63" s="75" t="str">
        <f t="shared" si="64"/>
        <v/>
      </c>
      <c r="AF63" s="75" t="str">
        <f t="shared" si="65"/>
        <v/>
      </c>
      <c r="AG63" s="4" t="str">
        <f t="shared" si="66"/>
        <v/>
      </c>
      <c r="AH63" s="4" t="str">
        <f t="shared" si="67"/>
        <v/>
      </c>
      <c r="AI63" s="4" t="str">
        <f t="shared" si="68"/>
        <v/>
      </c>
      <c r="AJ63" s="4" t="str">
        <f t="shared" si="69"/>
        <v/>
      </c>
      <c r="AK63" s="4" t="str">
        <f t="shared" si="70"/>
        <v/>
      </c>
      <c r="AL63" s="2" t="str">
        <f t="shared" si="71"/>
        <v/>
      </c>
      <c r="AM63" s="6" t="str">
        <f t="shared" si="72"/>
        <v/>
      </c>
      <c r="AN63" s="4" t="str">
        <f t="shared" si="73"/>
        <v/>
      </c>
      <c r="AO63" s="4" t="str">
        <f t="shared" si="74"/>
        <v/>
      </c>
      <c r="AP63" s="4" t="str">
        <f t="shared" si="75"/>
        <v/>
      </c>
      <c r="AQ63" s="4" t="str">
        <f t="shared" si="76"/>
        <v/>
      </c>
      <c r="AR63" s="4" t="str">
        <f t="shared" si="77"/>
        <v/>
      </c>
    </row>
    <row r="64" spans="3:44" s="1" customFormat="1" ht="14.25" x14ac:dyDescent="0.3">
      <c r="C64" s="20"/>
      <c r="E64" s="23"/>
      <c r="F64" s="2"/>
      <c r="G64" s="21"/>
      <c r="H64" s="50"/>
      <c r="I64" s="20"/>
      <c r="J64" s="54"/>
      <c r="K64" s="20"/>
      <c r="L64" s="54"/>
      <c r="O64" s="21"/>
      <c r="P64" s="21"/>
      <c r="R64" s="46"/>
      <c r="S64" s="54"/>
      <c r="T64" s="54"/>
      <c r="U64" s="54"/>
      <c r="V64" s="44"/>
      <c r="W64" s="27"/>
      <c r="Z64" s="27"/>
      <c r="AA64" s="8"/>
      <c r="AB64" s="81" t="str">
        <f t="shared" si="61"/>
        <v/>
      </c>
      <c r="AC64" s="6" t="str">
        <f t="shared" si="62"/>
        <v/>
      </c>
      <c r="AD64" s="1" t="str">
        <f t="shared" ca="1" si="63"/>
        <v/>
      </c>
      <c r="AE64" s="75" t="str">
        <f t="shared" si="64"/>
        <v/>
      </c>
      <c r="AF64" s="75" t="str">
        <f t="shared" si="65"/>
        <v/>
      </c>
      <c r="AG64" s="4" t="str">
        <f t="shared" si="66"/>
        <v/>
      </c>
      <c r="AH64" s="4" t="str">
        <f t="shared" si="67"/>
        <v/>
      </c>
      <c r="AI64" s="4" t="str">
        <f t="shared" si="68"/>
        <v/>
      </c>
      <c r="AJ64" s="4" t="str">
        <f t="shared" si="69"/>
        <v/>
      </c>
      <c r="AK64" s="4" t="str">
        <f t="shared" si="70"/>
        <v/>
      </c>
      <c r="AL64" s="2" t="str">
        <f t="shared" si="71"/>
        <v/>
      </c>
      <c r="AM64" s="6" t="str">
        <f t="shared" si="72"/>
        <v/>
      </c>
      <c r="AN64" s="4" t="str">
        <f t="shared" si="73"/>
        <v/>
      </c>
      <c r="AO64" s="4" t="str">
        <f t="shared" si="74"/>
        <v/>
      </c>
      <c r="AP64" s="4" t="str">
        <f t="shared" si="75"/>
        <v/>
      </c>
      <c r="AQ64" s="4" t="str">
        <f t="shared" si="76"/>
        <v/>
      </c>
      <c r="AR64" s="4" t="str">
        <f t="shared" si="77"/>
        <v/>
      </c>
    </row>
    <row r="65" spans="3:46" s="1" customFormat="1" ht="14.25" x14ac:dyDescent="0.3">
      <c r="C65" s="20"/>
      <c r="E65" s="19"/>
      <c r="F65" s="2"/>
      <c r="G65" s="20"/>
      <c r="H65" s="50"/>
      <c r="I65" s="20"/>
      <c r="J65" s="54"/>
      <c r="K65" s="20"/>
      <c r="L65" s="54"/>
      <c r="O65" s="20"/>
      <c r="P65" s="21"/>
      <c r="R65" s="46"/>
      <c r="S65" s="54"/>
      <c r="T65" s="54"/>
      <c r="U65" s="54"/>
      <c r="V65" s="44"/>
      <c r="W65" s="27"/>
      <c r="Z65" s="27"/>
      <c r="AA65" s="8"/>
      <c r="AB65" s="81" t="str">
        <f t="shared" si="61"/>
        <v/>
      </c>
      <c r="AC65" s="6" t="str">
        <f t="shared" si="62"/>
        <v/>
      </c>
      <c r="AD65" s="1" t="str">
        <f t="shared" ca="1" si="63"/>
        <v/>
      </c>
      <c r="AE65" s="75" t="str">
        <f t="shared" si="64"/>
        <v/>
      </c>
      <c r="AF65" s="75" t="str">
        <f t="shared" si="65"/>
        <v/>
      </c>
      <c r="AG65" s="4" t="str">
        <f t="shared" si="66"/>
        <v/>
      </c>
      <c r="AH65" s="4" t="str">
        <f t="shared" si="67"/>
        <v/>
      </c>
      <c r="AI65" s="4" t="str">
        <f t="shared" si="68"/>
        <v/>
      </c>
      <c r="AJ65" s="4" t="str">
        <f t="shared" si="69"/>
        <v/>
      </c>
      <c r="AK65" s="4" t="str">
        <f t="shared" si="70"/>
        <v/>
      </c>
      <c r="AL65" s="2" t="str">
        <f t="shared" si="71"/>
        <v/>
      </c>
      <c r="AM65" s="6" t="str">
        <f t="shared" si="72"/>
        <v/>
      </c>
      <c r="AN65" s="4" t="str">
        <f t="shared" si="73"/>
        <v/>
      </c>
      <c r="AO65" s="4" t="str">
        <f t="shared" si="74"/>
        <v/>
      </c>
      <c r="AP65" s="4" t="str">
        <f t="shared" si="75"/>
        <v/>
      </c>
      <c r="AQ65" s="4" t="str">
        <f t="shared" si="76"/>
        <v/>
      </c>
      <c r="AR65" s="4" t="str">
        <f t="shared" si="77"/>
        <v/>
      </c>
    </row>
    <row r="66" spans="3:46" s="1" customFormat="1" ht="14.25" x14ac:dyDescent="0.3">
      <c r="C66" s="20"/>
      <c r="E66" s="19"/>
      <c r="F66" s="2"/>
      <c r="G66" s="31"/>
      <c r="H66" s="50"/>
      <c r="I66" s="20"/>
      <c r="J66" s="54"/>
      <c r="K66" s="20"/>
      <c r="L66" s="54"/>
      <c r="O66" s="20"/>
      <c r="P66" s="21"/>
      <c r="R66" s="46"/>
      <c r="S66" s="54"/>
      <c r="T66" s="54"/>
      <c r="U66" s="54"/>
      <c r="V66" s="44"/>
      <c r="W66" s="27"/>
      <c r="Z66" s="27"/>
      <c r="AA66" s="8"/>
      <c r="AB66" s="81" t="str">
        <f t="shared" si="61"/>
        <v/>
      </c>
      <c r="AC66" s="6" t="str">
        <f t="shared" si="62"/>
        <v/>
      </c>
      <c r="AD66" s="1" t="str">
        <f t="shared" ca="1" si="63"/>
        <v/>
      </c>
      <c r="AE66" s="75" t="str">
        <f t="shared" si="64"/>
        <v/>
      </c>
      <c r="AF66" s="75" t="str">
        <f t="shared" si="65"/>
        <v/>
      </c>
      <c r="AG66" s="4" t="str">
        <f t="shared" si="66"/>
        <v/>
      </c>
      <c r="AH66" s="4" t="str">
        <f t="shared" si="67"/>
        <v/>
      </c>
      <c r="AI66" s="4" t="str">
        <f t="shared" si="68"/>
        <v/>
      </c>
      <c r="AJ66" s="4" t="str">
        <f t="shared" si="69"/>
        <v/>
      </c>
      <c r="AK66" s="4" t="str">
        <f t="shared" si="70"/>
        <v/>
      </c>
      <c r="AL66" s="2" t="str">
        <f t="shared" si="71"/>
        <v/>
      </c>
      <c r="AM66" s="6" t="str">
        <f t="shared" si="72"/>
        <v/>
      </c>
      <c r="AN66" s="4" t="str">
        <f t="shared" si="73"/>
        <v/>
      </c>
      <c r="AO66" s="4" t="str">
        <f t="shared" si="74"/>
        <v/>
      </c>
      <c r="AP66" s="4" t="str">
        <f t="shared" si="75"/>
        <v/>
      </c>
      <c r="AQ66" s="4" t="str">
        <f t="shared" si="76"/>
        <v/>
      </c>
      <c r="AR66" s="4" t="str">
        <f t="shared" si="77"/>
        <v/>
      </c>
    </row>
    <row r="67" spans="3:46" s="1" customFormat="1" ht="14.25" x14ac:dyDescent="0.3">
      <c r="E67" s="23"/>
      <c r="F67" s="2"/>
      <c r="G67" s="21"/>
      <c r="H67" s="50"/>
      <c r="I67" s="21"/>
      <c r="J67" s="54"/>
      <c r="K67" s="21"/>
      <c r="L67" s="54"/>
      <c r="O67" s="21"/>
      <c r="P67" s="21"/>
      <c r="R67" s="46"/>
      <c r="S67" s="54"/>
      <c r="T67" s="54"/>
      <c r="U67" s="54"/>
      <c r="V67" s="44"/>
      <c r="W67" s="27"/>
      <c r="Z67" s="27"/>
      <c r="AA67" s="8"/>
      <c r="AB67" s="81" t="str">
        <f t="shared" si="61"/>
        <v/>
      </c>
      <c r="AC67" s="6" t="str">
        <f t="shared" si="62"/>
        <v/>
      </c>
      <c r="AD67" s="1" t="str">
        <f t="shared" ca="1" si="63"/>
        <v/>
      </c>
      <c r="AE67" s="75" t="str">
        <f t="shared" si="64"/>
        <v/>
      </c>
      <c r="AF67" s="75" t="str">
        <f t="shared" si="65"/>
        <v/>
      </c>
      <c r="AG67" s="4" t="str">
        <f t="shared" si="66"/>
        <v/>
      </c>
      <c r="AH67" s="4" t="str">
        <f t="shared" si="67"/>
        <v/>
      </c>
      <c r="AI67" s="4" t="str">
        <f t="shared" si="68"/>
        <v/>
      </c>
      <c r="AJ67" s="4" t="str">
        <f t="shared" si="69"/>
        <v/>
      </c>
      <c r="AK67" s="4" t="str">
        <f t="shared" si="70"/>
        <v/>
      </c>
      <c r="AL67" s="2" t="str">
        <f t="shared" si="71"/>
        <v/>
      </c>
      <c r="AM67" s="6" t="str">
        <f t="shared" si="72"/>
        <v/>
      </c>
      <c r="AN67" s="4" t="str">
        <f t="shared" si="73"/>
        <v/>
      </c>
      <c r="AO67" s="4" t="str">
        <f t="shared" si="74"/>
        <v/>
      </c>
      <c r="AP67" s="4" t="str">
        <f t="shared" si="75"/>
        <v/>
      </c>
      <c r="AQ67" s="4" t="str">
        <f t="shared" si="76"/>
        <v/>
      </c>
      <c r="AR67" s="4" t="str">
        <f t="shared" si="77"/>
        <v/>
      </c>
    </row>
    <row r="68" spans="3:46" s="1" customFormat="1" ht="14.25" x14ac:dyDescent="0.3">
      <c r="C68" s="20"/>
      <c r="E68" s="19"/>
      <c r="F68" s="2"/>
      <c r="G68" s="31"/>
      <c r="H68" s="50"/>
      <c r="I68" s="20"/>
      <c r="J68" s="54"/>
      <c r="K68" s="20"/>
      <c r="L68" s="54"/>
      <c r="O68" s="20"/>
      <c r="P68" s="21"/>
      <c r="R68" s="46"/>
      <c r="S68" s="54"/>
      <c r="T68" s="54"/>
      <c r="U68" s="54"/>
      <c r="V68" s="44"/>
      <c r="W68" s="27"/>
      <c r="Z68" s="27"/>
      <c r="AA68" s="8"/>
      <c r="AB68" s="81" t="str">
        <f t="shared" si="61"/>
        <v/>
      </c>
      <c r="AC68" s="6" t="str">
        <f t="shared" si="62"/>
        <v/>
      </c>
      <c r="AD68" s="1" t="str">
        <f t="shared" ca="1" si="63"/>
        <v/>
      </c>
      <c r="AE68" s="75" t="str">
        <f t="shared" si="64"/>
        <v/>
      </c>
      <c r="AF68" s="75" t="str">
        <f t="shared" si="65"/>
        <v/>
      </c>
      <c r="AG68" s="4" t="str">
        <f t="shared" si="66"/>
        <v/>
      </c>
      <c r="AH68" s="4" t="str">
        <f t="shared" si="67"/>
        <v/>
      </c>
      <c r="AI68" s="4" t="str">
        <f t="shared" si="68"/>
        <v/>
      </c>
      <c r="AJ68" s="4" t="str">
        <f t="shared" si="69"/>
        <v/>
      </c>
      <c r="AK68" s="4" t="str">
        <f t="shared" si="70"/>
        <v/>
      </c>
      <c r="AL68" s="2" t="str">
        <f t="shared" si="71"/>
        <v/>
      </c>
      <c r="AM68" s="6" t="str">
        <f t="shared" si="72"/>
        <v/>
      </c>
      <c r="AN68" s="4" t="str">
        <f t="shared" si="73"/>
        <v/>
      </c>
      <c r="AO68" s="4" t="str">
        <f t="shared" si="74"/>
        <v/>
      </c>
      <c r="AP68" s="4" t="str">
        <f t="shared" si="75"/>
        <v/>
      </c>
      <c r="AQ68" s="4" t="str">
        <f t="shared" si="76"/>
        <v/>
      </c>
      <c r="AR68" s="4" t="str">
        <f t="shared" si="77"/>
        <v/>
      </c>
    </row>
    <row r="69" spans="3:46" s="1" customFormat="1" ht="14.25" x14ac:dyDescent="0.3">
      <c r="C69" s="20"/>
      <c r="E69" s="19"/>
      <c r="F69" s="2"/>
      <c r="G69" s="20"/>
      <c r="H69" s="50"/>
      <c r="I69" s="20"/>
      <c r="J69" s="54"/>
      <c r="K69" s="20"/>
      <c r="L69" s="54"/>
      <c r="O69" s="20"/>
      <c r="P69" s="21"/>
      <c r="R69" s="46"/>
      <c r="S69" s="54"/>
      <c r="T69" s="54"/>
      <c r="U69" s="54"/>
      <c r="V69" s="44"/>
      <c r="W69" s="27"/>
      <c r="Z69" s="27"/>
      <c r="AA69" s="8"/>
      <c r="AB69" s="81" t="str">
        <f t="shared" si="61"/>
        <v/>
      </c>
      <c r="AC69" s="6" t="str">
        <f t="shared" si="62"/>
        <v/>
      </c>
      <c r="AD69" s="1" t="str">
        <f t="shared" ca="1" si="63"/>
        <v/>
      </c>
      <c r="AE69" s="75" t="str">
        <f t="shared" si="64"/>
        <v/>
      </c>
      <c r="AF69" s="75" t="str">
        <f t="shared" si="65"/>
        <v/>
      </c>
      <c r="AG69" s="4" t="str">
        <f t="shared" si="66"/>
        <v/>
      </c>
      <c r="AH69" s="4" t="str">
        <f t="shared" si="67"/>
        <v/>
      </c>
      <c r="AI69" s="4" t="str">
        <f t="shared" si="68"/>
        <v/>
      </c>
      <c r="AJ69" s="4" t="str">
        <f t="shared" si="69"/>
        <v/>
      </c>
      <c r="AK69" s="4" t="str">
        <f t="shared" si="70"/>
        <v/>
      </c>
      <c r="AL69" s="2" t="str">
        <f t="shared" si="71"/>
        <v/>
      </c>
      <c r="AM69" s="6" t="str">
        <f t="shared" si="72"/>
        <v/>
      </c>
      <c r="AN69" s="4" t="str">
        <f t="shared" si="73"/>
        <v/>
      </c>
      <c r="AO69" s="4" t="str">
        <f t="shared" si="74"/>
        <v/>
      </c>
      <c r="AP69" s="4" t="str">
        <f t="shared" si="75"/>
        <v/>
      </c>
      <c r="AQ69" s="4" t="str">
        <f t="shared" si="76"/>
        <v/>
      </c>
      <c r="AR69" s="4" t="str">
        <f t="shared" si="77"/>
        <v/>
      </c>
    </row>
    <row r="70" spans="3:46" s="1" customFormat="1" ht="14.25" x14ac:dyDescent="0.3">
      <c r="C70" s="20"/>
      <c r="E70" s="19"/>
      <c r="F70" s="2"/>
      <c r="G70" s="20"/>
      <c r="H70" s="50"/>
      <c r="I70" s="20"/>
      <c r="J70" s="54"/>
      <c r="K70" s="20"/>
      <c r="L70" s="54"/>
      <c r="O70" s="20"/>
      <c r="P70" s="21"/>
      <c r="R70" s="46"/>
      <c r="S70" s="54"/>
      <c r="T70" s="54"/>
      <c r="U70" s="54"/>
      <c r="V70" s="44"/>
      <c r="W70" s="27"/>
      <c r="Z70" s="27"/>
      <c r="AA70" s="8"/>
      <c r="AB70" s="81" t="str">
        <f t="shared" si="61"/>
        <v/>
      </c>
      <c r="AC70" s="6" t="str">
        <f t="shared" si="62"/>
        <v/>
      </c>
      <c r="AD70" s="1" t="str">
        <f t="shared" ca="1" si="63"/>
        <v/>
      </c>
      <c r="AE70" s="75" t="str">
        <f t="shared" si="64"/>
        <v/>
      </c>
      <c r="AF70" s="75" t="str">
        <f t="shared" si="65"/>
        <v/>
      </c>
      <c r="AG70" s="4" t="str">
        <f t="shared" si="66"/>
        <v/>
      </c>
      <c r="AH70" s="4" t="str">
        <f t="shared" si="67"/>
        <v/>
      </c>
      <c r="AI70" s="4" t="str">
        <f t="shared" si="68"/>
        <v/>
      </c>
      <c r="AJ70" s="4" t="str">
        <f t="shared" si="69"/>
        <v/>
      </c>
      <c r="AK70" s="4" t="str">
        <f t="shared" si="70"/>
        <v/>
      </c>
      <c r="AL70" s="2" t="str">
        <f t="shared" si="71"/>
        <v/>
      </c>
      <c r="AM70" s="6" t="str">
        <f t="shared" si="72"/>
        <v/>
      </c>
      <c r="AN70" s="4" t="str">
        <f t="shared" si="73"/>
        <v/>
      </c>
      <c r="AO70" s="4" t="str">
        <f t="shared" si="74"/>
        <v/>
      </c>
      <c r="AP70" s="4" t="str">
        <f t="shared" si="75"/>
        <v/>
      </c>
      <c r="AQ70" s="4" t="str">
        <f t="shared" si="76"/>
        <v/>
      </c>
      <c r="AR70" s="4" t="str">
        <f t="shared" si="77"/>
        <v/>
      </c>
    </row>
    <row r="71" spans="3:46" s="1" customFormat="1" ht="14.25" x14ac:dyDescent="0.3">
      <c r="C71" s="20"/>
      <c r="E71" s="19"/>
      <c r="F71" s="2"/>
      <c r="G71" s="20"/>
      <c r="H71" s="50"/>
      <c r="I71" s="20"/>
      <c r="J71" s="54"/>
      <c r="K71" s="20"/>
      <c r="L71" s="54"/>
      <c r="O71" s="20"/>
      <c r="P71" s="21"/>
      <c r="R71" s="46"/>
      <c r="S71" s="54"/>
      <c r="T71" s="54"/>
      <c r="U71" s="54"/>
      <c r="V71" s="44"/>
      <c r="W71" s="27"/>
      <c r="Z71" s="27"/>
      <c r="AA71" s="8"/>
      <c r="AB71" s="81" t="str">
        <f t="shared" si="61"/>
        <v/>
      </c>
      <c r="AC71" s="6" t="str">
        <f t="shared" si="62"/>
        <v/>
      </c>
      <c r="AD71" s="1" t="str">
        <f t="shared" ca="1" si="63"/>
        <v/>
      </c>
      <c r="AE71" s="75" t="str">
        <f t="shared" si="64"/>
        <v/>
      </c>
      <c r="AF71" s="75" t="str">
        <f t="shared" si="65"/>
        <v/>
      </c>
      <c r="AG71" s="4" t="str">
        <f t="shared" si="66"/>
        <v/>
      </c>
      <c r="AH71" s="4" t="str">
        <f t="shared" si="67"/>
        <v/>
      </c>
      <c r="AI71" s="4" t="str">
        <f t="shared" si="68"/>
        <v/>
      </c>
      <c r="AJ71" s="4" t="str">
        <f t="shared" si="69"/>
        <v/>
      </c>
      <c r="AK71" s="4" t="str">
        <f t="shared" si="70"/>
        <v/>
      </c>
      <c r="AL71" s="2" t="str">
        <f t="shared" si="71"/>
        <v/>
      </c>
      <c r="AM71" s="6" t="str">
        <f t="shared" si="72"/>
        <v/>
      </c>
      <c r="AN71" s="4" t="str">
        <f t="shared" si="73"/>
        <v/>
      </c>
      <c r="AO71" s="4" t="str">
        <f t="shared" si="74"/>
        <v/>
      </c>
      <c r="AP71" s="4" t="str">
        <f t="shared" si="75"/>
        <v/>
      </c>
      <c r="AQ71" s="4" t="str">
        <f t="shared" si="76"/>
        <v/>
      </c>
      <c r="AR71" s="4" t="str">
        <f t="shared" si="77"/>
        <v/>
      </c>
    </row>
    <row r="72" spans="3:46" s="1" customFormat="1" ht="14.25" x14ac:dyDescent="0.3">
      <c r="C72" s="20"/>
      <c r="E72" s="19"/>
      <c r="F72" s="2"/>
      <c r="G72" s="20"/>
      <c r="H72" s="50"/>
      <c r="I72" s="20"/>
      <c r="J72" s="54"/>
      <c r="K72" s="20"/>
      <c r="L72" s="54"/>
      <c r="O72" s="20"/>
      <c r="P72" s="21"/>
      <c r="R72" s="46"/>
      <c r="S72" s="54"/>
      <c r="T72" s="54"/>
      <c r="U72" s="54"/>
      <c r="V72" s="44"/>
      <c r="W72" s="27"/>
      <c r="Z72" s="27"/>
      <c r="AA72" s="8"/>
      <c r="AB72" s="81" t="str">
        <f>IF(X72="","",(AH72-AG72)/AG72)</f>
        <v/>
      </c>
      <c r="AC72" s="6" t="str">
        <f>IF(X72="","",AH72-AG72)</f>
        <v/>
      </c>
      <c r="AD72" s="1" t="str">
        <f ca="1">IF(X72="","",IF(W72="","",IF(Z72="",TODAY()-W72,Z72-W72)))</f>
        <v/>
      </c>
      <c r="AE72" s="75" t="str">
        <f>IF(X72="","",IF(AE71="",IF(AM72="","",AM72),IF(AM72="",AE71,AE71+AM72)))</f>
        <v/>
      </c>
      <c r="AF72" s="75" t="str">
        <f>IF(X72="","",IF(AF71="",IF(AN72="","",AN72),IF(AN72="",AF71,AF71+AN72)))</f>
        <v/>
      </c>
      <c r="AG72" s="4" t="str">
        <f>IF(X72="","",X72*Y72*100+AO72+AP72)</f>
        <v/>
      </c>
      <c r="AH72" s="4" t="str">
        <f>IF(X72="","",IF(AA72="",C72*Y72*100-AO72-AQ72-AR72,AA72*Y72*100-AO72-AQ72-AR72))</f>
        <v/>
      </c>
      <c r="AI72" s="4" t="str">
        <f>IF(X72="","",AI71+AC72)</f>
        <v/>
      </c>
      <c r="AJ72" s="4" t="str">
        <f>IF(X72="","",AO72+AP72+AO72+AQ72+AR72)</f>
        <v/>
      </c>
      <c r="AK72" s="4" t="str">
        <f>IF(X72="","",AK71+AJ72)</f>
        <v/>
      </c>
      <c r="AL72" s="2" t="str">
        <f>IF(X72="","",0.18%)</f>
        <v/>
      </c>
      <c r="AM72" s="6" t="str">
        <f>IF(X72="","",IF(Z72="",AC72,""))</f>
        <v/>
      </c>
      <c r="AN72" s="4" t="str">
        <f>IF(X72="","",IF(Z72="",AH72,""))</f>
        <v/>
      </c>
      <c r="AO72" s="4" t="str">
        <f>IF(X72="","",IF(LEFT(A72,2)="sh",IF(Y72*100/1000&lt;=1,1,Y72*100/1000),0))</f>
        <v/>
      </c>
      <c r="AP72" s="4" t="str">
        <f>IF(X72="","",IF(X72*Y72*100*AL72&lt;=5,5,X72*Y72*100*AL72))</f>
        <v/>
      </c>
      <c r="AQ72" s="4" t="str">
        <f>IF(X72="","",IF(AA72="",IF(C72*Y72*100*AL72&lt;=5,5,C72*Y72*100*AL72),IF(AA72*Y72*100*AL72&lt;=5,5,AA72*Y72*100*AL72)))</f>
        <v/>
      </c>
      <c r="AR72" s="4" t="str">
        <f>IF(X72="","",IF(AA72="",C72*Y72*100*0.001,AA72*Y72*100*0.001))</f>
        <v/>
      </c>
    </row>
    <row r="73" spans="3:46" s="1" customFormat="1" ht="14.25" x14ac:dyDescent="0.3">
      <c r="C73" s="20"/>
      <c r="E73" s="19"/>
      <c r="F73" s="2"/>
      <c r="G73" s="20"/>
      <c r="H73" s="50"/>
      <c r="I73" s="20"/>
      <c r="J73" s="54"/>
      <c r="K73" s="20"/>
      <c r="L73" s="54"/>
      <c r="O73" s="20"/>
      <c r="P73" s="21"/>
      <c r="R73" s="46"/>
      <c r="S73" s="54"/>
      <c r="T73" s="54"/>
      <c r="U73" s="54"/>
      <c r="V73" s="44"/>
      <c r="W73" s="27"/>
      <c r="Z73" s="27"/>
      <c r="AA73" s="8"/>
      <c r="AB73" s="81" t="str">
        <f>IF(X73="","",(AH73-AG73)/AG73)</f>
        <v/>
      </c>
      <c r="AC73" s="6" t="str">
        <f>IF(X73="","",AH73-AG73)</f>
        <v/>
      </c>
      <c r="AD73" s="1" t="str">
        <f ca="1">IF(X73="","",IF(W73="","",IF(Z73="",TODAY()-W73,Z73-W73)))</f>
        <v/>
      </c>
      <c r="AE73" s="75" t="str">
        <f>IF(X73="","",IF(AE72="",IF(AM73="","",AM73),IF(AM73="",AE72,AE72+AM73)))</f>
        <v/>
      </c>
      <c r="AF73" s="75" t="str">
        <f>IF(X73="","",IF(AF72="",IF(AN73="","",AN73),IF(AN73="",AF72,AF72+AN73)))</f>
        <v/>
      </c>
      <c r="AG73" s="4" t="str">
        <f>IF(X73="","",X73*Y73*100+AO73+AP73)</f>
        <v/>
      </c>
      <c r="AH73" s="4" t="str">
        <f>IF(X73="","",IF(AA73="",C73*Y73*100-AO73-AQ73-AR73,AA73*Y73*100-AO73-AQ73-AR73))</f>
        <v/>
      </c>
      <c r="AI73" s="4" t="str">
        <f>IF(X73="","",AI72+AC73)</f>
        <v/>
      </c>
      <c r="AJ73" s="4" t="str">
        <f>IF(X73="","",AO73+AP73+AO73+AQ73+AR73)</f>
        <v/>
      </c>
      <c r="AK73" s="4" t="str">
        <f>IF(X73="","",AK72+AJ73)</f>
        <v/>
      </c>
      <c r="AL73" s="2" t="str">
        <f>IF(X73="","",0.18%)</f>
        <v/>
      </c>
      <c r="AM73" s="6" t="str">
        <f>IF(X73="","",IF(Z73="",AC73,""))</f>
        <v/>
      </c>
      <c r="AN73" s="4" t="str">
        <f>IF(X73="","",IF(Z73="",AH73,""))</f>
        <v/>
      </c>
      <c r="AO73" s="4" t="str">
        <f>IF(X73="","",IF(LEFT(A73,2)="sh",IF(Y73*100/1000&lt;=1,1,Y73*100/1000),0))</f>
        <v/>
      </c>
      <c r="AP73" s="4" t="str">
        <f>IF(X73="","",IF(X73*Y73*100*AL73&lt;=5,5,X73*Y73*100*AL73))</f>
        <v/>
      </c>
      <c r="AQ73" s="4" t="str">
        <f>IF(X73="","",IF(AA73="",IF(C73*Y73*100*AL73&lt;=5,5,C73*Y73*100*AL73),IF(AA73*Y73*100*AL73&lt;=5,5,AA73*Y73*100*AL73)))</f>
        <v/>
      </c>
      <c r="AR73" s="4" t="str">
        <f>IF(X73="","",IF(AA73="",C73*Y73*100*0.001,AA73*Y73*100*0.001))</f>
        <v/>
      </c>
    </row>
    <row r="74" spans="3:46" s="1" customFormat="1" ht="14.25" x14ac:dyDescent="0.3">
      <c r="C74" s="21"/>
      <c r="E74" s="22"/>
      <c r="F74" s="2"/>
      <c r="G74" s="20"/>
      <c r="H74" s="50"/>
      <c r="I74" s="21"/>
      <c r="J74" s="54"/>
      <c r="K74" s="21"/>
      <c r="L74" s="54"/>
      <c r="O74" s="20"/>
      <c r="P74" s="21"/>
      <c r="R74" s="46"/>
      <c r="S74" s="54"/>
      <c r="T74" s="54"/>
      <c r="U74" s="54"/>
      <c r="V74" s="44"/>
      <c r="W74" s="27"/>
      <c r="Z74" s="27"/>
      <c r="AA74" s="8"/>
      <c r="AB74" s="81" t="str">
        <f t="shared" ref="AB74:AB99" si="78">IF(X74="","",(AH74-AG74)/AG74)</f>
        <v/>
      </c>
      <c r="AC74" s="6" t="str">
        <f t="shared" ref="AC74:AC99" si="79">IF(X74="","",AH74-AG74)</f>
        <v/>
      </c>
      <c r="AD74" s="1" t="str">
        <f t="shared" ref="AD74:AD99" ca="1" si="80">IF(X74="","",IF(W74="","",IF(Z74="",TODAY()-W74,Z74-W74)))</f>
        <v/>
      </c>
      <c r="AE74" s="75" t="str">
        <f t="shared" ref="AE74:AE99" si="81">IF(X74="","",IF(AE73="",IF(AM74="","",AM74),IF(AM74="",AE73,AE73+AM74)))</f>
        <v/>
      </c>
      <c r="AF74" s="75" t="str">
        <f t="shared" ref="AF74:AF99" si="82">IF(X74="","",IF(AF73="",IF(AN74="","",AN74),IF(AN74="",AF73,AF73+AN74)))</f>
        <v/>
      </c>
      <c r="AG74" s="4" t="str">
        <f t="shared" ref="AG74:AG99" si="83">IF(X74="","",X74*Y74*100+AO74+AP74)</f>
        <v/>
      </c>
      <c r="AH74" s="4" t="str">
        <f t="shared" ref="AH74:AH99" si="84">IF(X74="","",IF(AA74="",C74*Y74*100-AO74-AQ74-AR74,AA74*Y74*100-AO74-AQ74-AR74))</f>
        <v/>
      </c>
      <c r="AI74" s="4" t="str">
        <f t="shared" ref="AI74:AI99" si="85">IF(X74="","",AI73+AC74)</f>
        <v/>
      </c>
      <c r="AJ74" s="4" t="str">
        <f t="shared" ref="AJ74:AJ99" si="86">IF(X74="","",AO74+AP74+AO74+AQ74+AR74)</f>
        <v/>
      </c>
      <c r="AK74" s="4" t="str">
        <f t="shared" ref="AK74:AK99" si="87">IF(X74="","",AK73+AJ74)</f>
        <v/>
      </c>
      <c r="AL74" s="2" t="str">
        <f t="shared" ref="AL74:AL99" si="88">IF(X74="","",0.18%)</f>
        <v/>
      </c>
      <c r="AM74" s="6" t="str">
        <f t="shared" ref="AM74:AM99" si="89">IF(X74="","",IF(Z74="",AC74,""))</f>
        <v/>
      </c>
      <c r="AN74" s="4" t="str">
        <f t="shared" ref="AN74:AN99" si="90">IF(X74="","",IF(Z74="",AH74,""))</f>
        <v/>
      </c>
      <c r="AO74" s="4" t="str">
        <f t="shared" ref="AO74:AO99" si="91">IF(X74="","",IF(LEFT(A74,2)="sh",IF(Y74*100/1000&lt;=1,1,Y74*100/1000),0))</f>
        <v/>
      </c>
      <c r="AP74" s="4" t="str">
        <f t="shared" ref="AP74:AP99" si="92">IF(X74="","",IF(X74*Y74*100*AL74&lt;=5,5,X74*Y74*100*AL74))</f>
        <v/>
      </c>
      <c r="AQ74" s="4" t="str">
        <f t="shared" ref="AQ74:AQ99" si="93">IF(X74="","",IF(AA74="",IF(C74*Y74*100*AL74&lt;=5,5,C74*Y74*100*AL74),IF(AA74*Y74*100*AL74&lt;=5,5,AA74*Y74*100*AL74)))</f>
        <v/>
      </c>
      <c r="AR74" s="4" t="str">
        <f t="shared" ref="AR74:AR99" si="94">IF(X74="","",IF(AA74="",C74*Y74*100*0.001,AA74*Y74*100*0.001))</f>
        <v/>
      </c>
    </row>
    <row r="75" spans="3:46" s="1" customFormat="1" ht="14.25" x14ac:dyDescent="0.3">
      <c r="C75" s="20"/>
      <c r="E75" s="23"/>
      <c r="F75" s="2"/>
      <c r="G75" s="21"/>
      <c r="H75" s="50"/>
      <c r="I75" s="20"/>
      <c r="J75" s="54"/>
      <c r="K75" s="20"/>
      <c r="L75" s="54"/>
      <c r="O75" s="21"/>
      <c r="P75" s="21"/>
      <c r="R75" s="46"/>
      <c r="S75" s="54"/>
      <c r="T75" s="54"/>
      <c r="U75" s="54"/>
      <c r="V75" s="44"/>
      <c r="W75" s="27"/>
      <c r="Z75" s="27"/>
      <c r="AA75" s="8"/>
      <c r="AB75" s="81" t="str">
        <f t="shared" si="78"/>
        <v/>
      </c>
      <c r="AC75" s="6" t="str">
        <f t="shared" si="79"/>
        <v/>
      </c>
      <c r="AD75" s="1" t="str">
        <f t="shared" ca="1" si="80"/>
        <v/>
      </c>
      <c r="AE75" s="75" t="str">
        <f t="shared" si="81"/>
        <v/>
      </c>
      <c r="AF75" s="75" t="str">
        <f t="shared" si="82"/>
        <v/>
      </c>
      <c r="AG75" s="4" t="str">
        <f t="shared" si="83"/>
        <v/>
      </c>
      <c r="AH75" s="4" t="str">
        <f t="shared" si="84"/>
        <v/>
      </c>
      <c r="AI75" s="4" t="str">
        <f t="shared" si="85"/>
        <v/>
      </c>
      <c r="AJ75" s="4" t="str">
        <f t="shared" si="86"/>
        <v/>
      </c>
      <c r="AK75" s="4" t="str">
        <f t="shared" si="87"/>
        <v/>
      </c>
      <c r="AL75" s="2" t="str">
        <f t="shared" si="88"/>
        <v/>
      </c>
      <c r="AM75" s="6" t="str">
        <f t="shared" si="89"/>
        <v/>
      </c>
      <c r="AN75" s="4" t="str">
        <f t="shared" si="90"/>
        <v/>
      </c>
      <c r="AO75" s="4" t="str">
        <f t="shared" si="91"/>
        <v/>
      </c>
      <c r="AP75" s="4" t="str">
        <f t="shared" si="92"/>
        <v/>
      </c>
      <c r="AQ75" s="4" t="str">
        <f t="shared" si="93"/>
        <v/>
      </c>
      <c r="AR75" s="4" t="str">
        <f t="shared" si="94"/>
        <v/>
      </c>
    </row>
    <row r="76" spans="3:46" s="1" customFormat="1" ht="14.25" x14ac:dyDescent="0.3">
      <c r="C76" s="20"/>
      <c r="E76" s="23"/>
      <c r="F76" s="2"/>
      <c r="G76" s="21"/>
      <c r="H76" s="50"/>
      <c r="I76" s="20"/>
      <c r="J76" s="54"/>
      <c r="K76" s="20"/>
      <c r="L76" s="54"/>
      <c r="O76" s="21"/>
      <c r="P76" s="21"/>
      <c r="R76" s="46"/>
      <c r="S76" s="54"/>
      <c r="T76" s="54"/>
      <c r="U76" s="54"/>
      <c r="V76" s="44"/>
      <c r="W76" s="27"/>
      <c r="Z76" s="27"/>
      <c r="AA76" s="8"/>
      <c r="AB76" s="81" t="str">
        <f t="shared" si="78"/>
        <v/>
      </c>
      <c r="AC76" s="6" t="str">
        <f t="shared" si="79"/>
        <v/>
      </c>
      <c r="AD76" s="1" t="str">
        <f t="shared" ca="1" si="80"/>
        <v/>
      </c>
      <c r="AE76" s="75" t="str">
        <f t="shared" si="81"/>
        <v/>
      </c>
      <c r="AF76" s="75" t="str">
        <f t="shared" si="82"/>
        <v/>
      </c>
      <c r="AG76" s="4" t="str">
        <f t="shared" si="83"/>
        <v/>
      </c>
      <c r="AH76" s="4" t="str">
        <f t="shared" si="84"/>
        <v/>
      </c>
      <c r="AI76" s="4" t="str">
        <f t="shared" si="85"/>
        <v/>
      </c>
      <c r="AJ76" s="4" t="str">
        <f t="shared" si="86"/>
        <v/>
      </c>
      <c r="AK76" s="4" t="str">
        <f t="shared" si="87"/>
        <v/>
      </c>
      <c r="AL76" s="2" t="str">
        <f t="shared" si="88"/>
        <v/>
      </c>
      <c r="AM76" s="6" t="str">
        <f t="shared" si="89"/>
        <v/>
      </c>
      <c r="AN76" s="4" t="str">
        <f t="shared" si="90"/>
        <v/>
      </c>
      <c r="AO76" s="4" t="str">
        <f t="shared" si="91"/>
        <v/>
      </c>
      <c r="AP76" s="4" t="str">
        <f t="shared" si="92"/>
        <v/>
      </c>
      <c r="AQ76" s="4" t="str">
        <f t="shared" si="93"/>
        <v/>
      </c>
      <c r="AR76" s="4" t="str">
        <f t="shared" si="94"/>
        <v/>
      </c>
    </row>
    <row r="77" spans="3:46" s="1" customFormat="1" ht="14.25" x14ac:dyDescent="0.3">
      <c r="C77" s="20"/>
      <c r="E77" s="19"/>
      <c r="F77" s="2"/>
      <c r="G77" s="31"/>
      <c r="H77" s="50"/>
      <c r="I77" s="20"/>
      <c r="J77" s="54"/>
      <c r="K77" s="20"/>
      <c r="L77" s="54"/>
      <c r="O77" s="20"/>
      <c r="P77" s="21"/>
      <c r="R77" s="46"/>
      <c r="S77" s="54"/>
      <c r="T77" s="54"/>
      <c r="U77" s="54"/>
      <c r="V77" s="44"/>
      <c r="W77" s="27"/>
      <c r="Z77" s="27"/>
      <c r="AA77" s="8"/>
      <c r="AB77" s="81" t="str">
        <f t="shared" si="78"/>
        <v/>
      </c>
      <c r="AC77" s="6" t="str">
        <f t="shared" si="79"/>
        <v/>
      </c>
      <c r="AD77" s="1" t="str">
        <f t="shared" ca="1" si="80"/>
        <v/>
      </c>
      <c r="AE77" s="75" t="str">
        <f t="shared" si="81"/>
        <v/>
      </c>
      <c r="AF77" s="75" t="str">
        <f t="shared" si="82"/>
        <v/>
      </c>
      <c r="AG77" s="4" t="str">
        <f t="shared" si="83"/>
        <v/>
      </c>
      <c r="AH77" s="4" t="str">
        <f t="shared" si="84"/>
        <v/>
      </c>
      <c r="AI77" s="4" t="str">
        <f t="shared" si="85"/>
        <v/>
      </c>
      <c r="AJ77" s="4" t="str">
        <f t="shared" si="86"/>
        <v/>
      </c>
      <c r="AK77" s="4" t="str">
        <f t="shared" si="87"/>
        <v/>
      </c>
      <c r="AL77" s="2" t="str">
        <f t="shared" si="88"/>
        <v/>
      </c>
      <c r="AM77" s="6" t="str">
        <f t="shared" si="89"/>
        <v/>
      </c>
      <c r="AN77" s="4" t="str">
        <f t="shared" si="90"/>
        <v/>
      </c>
      <c r="AO77" s="4" t="str">
        <f t="shared" si="91"/>
        <v/>
      </c>
      <c r="AP77" s="4" t="str">
        <f t="shared" si="92"/>
        <v/>
      </c>
      <c r="AQ77" s="4" t="str">
        <f t="shared" si="93"/>
        <v/>
      </c>
      <c r="AR77" s="4" t="str">
        <f t="shared" si="94"/>
        <v/>
      </c>
    </row>
    <row r="78" spans="3:46" s="1" customFormat="1" ht="14.25" x14ac:dyDescent="0.3">
      <c r="C78" s="20"/>
      <c r="E78" s="19"/>
      <c r="F78" s="2"/>
      <c r="G78" s="31"/>
      <c r="H78" s="50"/>
      <c r="I78" s="20"/>
      <c r="J78" s="54"/>
      <c r="K78" s="20"/>
      <c r="L78" s="54"/>
      <c r="O78" s="20"/>
      <c r="P78" s="21"/>
      <c r="R78" s="46"/>
      <c r="S78" s="54"/>
      <c r="T78" s="54"/>
      <c r="U78" s="54"/>
      <c r="V78" s="44"/>
      <c r="W78" s="27"/>
      <c r="Z78" s="27"/>
      <c r="AA78" s="8"/>
      <c r="AB78" s="81" t="str">
        <f t="shared" si="78"/>
        <v/>
      </c>
      <c r="AC78" s="6" t="str">
        <f t="shared" si="79"/>
        <v/>
      </c>
      <c r="AD78" s="1" t="str">
        <f t="shared" ca="1" si="80"/>
        <v/>
      </c>
      <c r="AE78" s="75" t="str">
        <f t="shared" si="81"/>
        <v/>
      </c>
      <c r="AF78" s="75" t="str">
        <f t="shared" si="82"/>
        <v/>
      </c>
      <c r="AG78" s="4" t="str">
        <f t="shared" si="83"/>
        <v/>
      </c>
      <c r="AH78" s="4" t="str">
        <f t="shared" si="84"/>
        <v/>
      </c>
      <c r="AI78" s="4" t="str">
        <f t="shared" si="85"/>
        <v/>
      </c>
      <c r="AJ78" s="4" t="str">
        <f t="shared" si="86"/>
        <v/>
      </c>
      <c r="AK78" s="4" t="str">
        <f t="shared" si="87"/>
        <v/>
      </c>
      <c r="AL78" s="2" t="str">
        <f t="shared" si="88"/>
        <v/>
      </c>
      <c r="AM78" s="6" t="str">
        <f t="shared" si="89"/>
        <v/>
      </c>
      <c r="AN78" s="4" t="str">
        <f t="shared" si="90"/>
        <v/>
      </c>
      <c r="AO78" s="4" t="str">
        <f t="shared" si="91"/>
        <v/>
      </c>
      <c r="AP78" s="4" t="str">
        <f t="shared" si="92"/>
        <v/>
      </c>
      <c r="AQ78" s="4" t="str">
        <f t="shared" si="93"/>
        <v/>
      </c>
      <c r="AR78" s="4" t="str">
        <f t="shared" si="94"/>
        <v/>
      </c>
    </row>
    <row r="79" spans="3:46" s="1" customFormat="1" ht="14.25" x14ac:dyDescent="0.3">
      <c r="C79" s="20"/>
      <c r="E79" s="19"/>
      <c r="F79" s="2"/>
      <c r="G79" s="31"/>
      <c r="H79" s="50"/>
      <c r="I79" s="20"/>
      <c r="J79" s="54"/>
      <c r="K79" s="20"/>
      <c r="L79" s="54"/>
      <c r="O79" s="20"/>
      <c r="P79" s="21"/>
      <c r="R79" s="46"/>
      <c r="S79" s="54"/>
      <c r="T79" s="54"/>
      <c r="U79" s="54"/>
      <c r="V79" s="44"/>
      <c r="W79" s="27"/>
      <c r="Z79" s="27"/>
      <c r="AA79" s="8"/>
      <c r="AB79" s="81" t="str">
        <f t="shared" si="78"/>
        <v/>
      </c>
      <c r="AC79" s="6" t="str">
        <f t="shared" si="79"/>
        <v/>
      </c>
      <c r="AD79" s="1" t="str">
        <f t="shared" ca="1" si="80"/>
        <v/>
      </c>
      <c r="AE79" s="75" t="str">
        <f t="shared" si="81"/>
        <v/>
      </c>
      <c r="AF79" s="75" t="str">
        <f t="shared" si="82"/>
        <v/>
      </c>
      <c r="AG79" s="4" t="str">
        <f t="shared" si="83"/>
        <v/>
      </c>
      <c r="AH79" s="4" t="str">
        <f t="shared" si="84"/>
        <v/>
      </c>
      <c r="AI79" s="4" t="str">
        <f t="shared" si="85"/>
        <v/>
      </c>
      <c r="AJ79" s="4" t="str">
        <f t="shared" si="86"/>
        <v/>
      </c>
      <c r="AK79" s="4" t="str">
        <f t="shared" si="87"/>
        <v/>
      </c>
      <c r="AL79" s="2" t="str">
        <f t="shared" si="88"/>
        <v/>
      </c>
      <c r="AM79" s="6" t="str">
        <f t="shared" si="89"/>
        <v/>
      </c>
      <c r="AN79" s="4" t="str">
        <f t="shared" si="90"/>
        <v/>
      </c>
      <c r="AO79" s="4" t="str">
        <f t="shared" si="91"/>
        <v/>
      </c>
      <c r="AP79" s="4" t="str">
        <f t="shared" si="92"/>
        <v/>
      </c>
      <c r="AQ79" s="4" t="str">
        <f t="shared" si="93"/>
        <v/>
      </c>
      <c r="AR79" s="4" t="str">
        <f t="shared" si="94"/>
        <v/>
      </c>
    </row>
    <row r="80" spans="3:46" s="1" customFormat="1" ht="14.25" x14ac:dyDescent="0.3">
      <c r="C80" s="20"/>
      <c r="E80" s="19"/>
      <c r="F80" s="2"/>
      <c r="G80" s="31"/>
      <c r="H80" s="50"/>
      <c r="I80" s="20"/>
      <c r="J80" s="54"/>
      <c r="K80" s="20"/>
      <c r="L80" s="54"/>
      <c r="O80" s="20"/>
      <c r="P80" s="21"/>
      <c r="R80" s="46"/>
      <c r="S80" s="54"/>
      <c r="T80" s="54"/>
      <c r="U80" s="54"/>
      <c r="V80" s="44"/>
      <c r="W80" s="27"/>
      <c r="Z80" s="27"/>
      <c r="AA80" s="8"/>
      <c r="AB80" s="81" t="str">
        <f t="shared" si="78"/>
        <v/>
      </c>
      <c r="AC80" s="6" t="str">
        <f t="shared" si="79"/>
        <v/>
      </c>
      <c r="AD80" s="1" t="str">
        <f t="shared" ca="1" si="80"/>
        <v/>
      </c>
      <c r="AE80" s="75" t="str">
        <f t="shared" si="81"/>
        <v/>
      </c>
      <c r="AF80" s="75" t="str">
        <f t="shared" si="82"/>
        <v/>
      </c>
      <c r="AG80" s="4" t="str">
        <f t="shared" si="83"/>
        <v/>
      </c>
      <c r="AH80" s="4" t="str">
        <f t="shared" si="84"/>
        <v/>
      </c>
      <c r="AI80" s="4" t="str">
        <f t="shared" si="85"/>
        <v/>
      </c>
      <c r="AJ80" s="4" t="str">
        <f t="shared" si="86"/>
        <v/>
      </c>
      <c r="AK80" s="4" t="str">
        <f t="shared" si="87"/>
        <v/>
      </c>
      <c r="AL80" s="2" t="str">
        <f t="shared" si="88"/>
        <v/>
      </c>
      <c r="AM80" s="6" t="str">
        <f t="shared" si="89"/>
        <v/>
      </c>
      <c r="AN80" s="4" t="str">
        <f t="shared" si="90"/>
        <v/>
      </c>
      <c r="AO80" s="4" t="str">
        <f t="shared" si="91"/>
        <v/>
      </c>
      <c r="AP80" s="4" t="str">
        <f t="shared" si="92"/>
        <v/>
      </c>
      <c r="AQ80" s="4" t="str">
        <f t="shared" si="93"/>
        <v/>
      </c>
      <c r="AR80" s="4" t="str">
        <f t="shared" si="94"/>
        <v/>
      </c>
      <c r="AT80" s="28"/>
    </row>
    <row r="81" spans="3:44" s="1" customFormat="1" ht="14.25" x14ac:dyDescent="0.3">
      <c r="C81" s="20"/>
      <c r="E81" s="23"/>
      <c r="F81" s="2"/>
      <c r="G81" s="21"/>
      <c r="H81" s="50"/>
      <c r="I81" s="20"/>
      <c r="J81" s="54"/>
      <c r="K81" s="20"/>
      <c r="L81" s="54"/>
      <c r="O81" s="21"/>
      <c r="P81" s="21"/>
      <c r="R81" s="46"/>
      <c r="S81" s="54"/>
      <c r="T81" s="54"/>
      <c r="U81" s="54"/>
      <c r="V81" s="44"/>
      <c r="W81" s="27"/>
      <c r="Z81" s="27"/>
      <c r="AA81" s="8"/>
      <c r="AB81" s="81" t="str">
        <f t="shared" si="78"/>
        <v/>
      </c>
      <c r="AC81" s="6" t="str">
        <f t="shared" si="79"/>
        <v/>
      </c>
      <c r="AD81" s="1" t="str">
        <f t="shared" ca="1" si="80"/>
        <v/>
      </c>
      <c r="AE81" s="75" t="str">
        <f t="shared" si="81"/>
        <v/>
      </c>
      <c r="AF81" s="75" t="str">
        <f t="shared" si="82"/>
        <v/>
      </c>
      <c r="AG81" s="4" t="str">
        <f t="shared" si="83"/>
        <v/>
      </c>
      <c r="AH81" s="4" t="str">
        <f t="shared" si="84"/>
        <v/>
      </c>
      <c r="AI81" s="4" t="str">
        <f t="shared" si="85"/>
        <v/>
      </c>
      <c r="AJ81" s="4" t="str">
        <f t="shared" si="86"/>
        <v/>
      </c>
      <c r="AK81" s="4" t="str">
        <f t="shared" si="87"/>
        <v/>
      </c>
      <c r="AL81" s="2" t="str">
        <f t="shared" si="88"/>
        <v/>
      </c>
      <c r="AM81" s="6" t="str">
        <f t="shared" si="89"/>
        <v/>
      </c>
      <c r="AN81" s="4" t="str">
        <f t="shared" si="90"/>
        <v/>
      </c>
      <c r="AO81" s="4" t="str">
        <f t="shared" si="91"/>
        <v/>
      </c>
      <c r="AP81" s="4" t="str">
        <f t="shared" si="92"/>
        <v/>
      </c>
      <c r="AQ81" s="4" t="str">
        <f t="shared" si="93"/>
        <v/>
      </c>
      <c r="AR81" s="4" t="str">
        <f t="shared" si="94"/>
        <v/>
      </c>
    </row>
    <row r="82" spans="3:44" s="1" customFormat="1" ht="14.25" x14ac:dyDescent="0.3">
      <c r="C82" s="20"/>
      <c r="E82" s="19"/>
      <c r="F82" s="2"/>
      <c r="G82" s="31"/>
      <c r="H82" s="50"/>
      <c r="I82" s="20"/>
      <c r="J82" s="54"/>
      <c r="K82" s="20"/>
      <c r="L82" s="54"/>
      <c r="O82" s="20"/>
      <c r="P82" s="21"/>
      <c r="R82" s="46"/>
      <c r="S82" s="54"/>
      <c r="T82" s="54"/>
      <c r="U82" s="54"/>
      <c r="V82" s="44"/>
      <c r="W82" s="27"/>
      <c r="Z82" s="27"/>
      <c r="AA82" s="8"/>
      <c r="AB82" s="81" t="str">
        <f t="shared" si="78"/>
        <v/>
      </c>
      <c r="AC82" s="6" t="str">
        <f t="shared" si="79"/>
        <v/>
      </c>
      <c r="AD82" s="1" t="str">
        <f t="shared" ca="1" si="80"/>
        <v/>
      </c>
      <c r="AE82" s="75" t="str">
        <f t="shared" si="81"/>
        <v/>
      </c>
      <c r="AF82" s="75" t="str">
        <f t="shared" si="82"/>
        <v/>
      </c>
      <c r="AG82" s="4" t="str">
        <f t="shared" si="83"/>
        <v/>
      </c>
      <c r="AH82" s="4" t="str">
        <f t="shared" si="84"/>
        <v/>
      </c>
      <c r="AI82" s="4" t="str">
        <f t="shared" si="85"/>
        <v/>
      </c>
      <c r="AJ82" s="4" t="str">
        <f t="shared" si="86"/>
        <v/>
      </c>
      <c r="AK82" s="4" t="str">
        <f t="shared" si="87"/>
        <v/>
      </c>
      <c r="AL82" s="2" t="str">
        <f t="shared" si="88"/>
        <v/>
      </c>
      <c r="AM82" s="6" t="str">
        <f t="shared" si="89"/>
        <v/>
      </c>
      <c r="AN82" s="4" t="str">
        <f t="shared" si="90"/>
        <v/>
      </c>
      <c r="AO82" s="4" t="str">
        <f t="shared" si="91"/>
        <v/>
      </c>
      <c r="AP82" s="4" t="str">
        <f t="shared" si="92"/>
        <v/>
      </c>
      <c r="AQ82" s="4" t="str">
        <f t="shared" si="93"/>
        <v/>
      </c>
      <c r="AR82" s="4" t="str">
        <f t="shared" si="94"/>
        <v/>
      </c>
    </row>
    <row r="83" spans="3:44" s="1" customFormat="1" ht="14.25" x14ac:dyDescent="0.3">
      <c r="C83" s="20"/>
      <c r="E83" s="19"/>
      <c r="F83" s="2"/>
      <c r="G83" s="20"/>
      <c r="H83" s="50"/>
      <c r="I83" s="20"/>
      <c r="J83" s="54"/>
      <c r="K83" s="20"/>
      <c r="L83" s="54"/>
      <c r="O83" s="20"/>
      <c r="P83" s="21"/>
      <c r="R83" s="46"/>
      <c r="S83" s="54"/>
      <c r="T83" s="54"/>
      <c r="U83" s="54"/>
      <c r="V83" s="44"/>
      <c r="W83" s="27"/>
      <c r="Z83" s="27"/>
      <c r="AA83" s="8"/>
      <c r="AB83" s="81" t="str">
        <f t="shared" si="78"/>
        <v/>
      </c>
      <c r="AC83" s="6" t="str">
        <f t="shared" si="79"/>
        <v/>
      </c>
      <c r="AD83" s="1" t="str">
        <f t="shared" ca="1" si="80"/>
        <v/>
      </c>
      <c r="AE83" s="75" t="str">
        <f t="shared" si="81"/>
        <v/>
      </c>
      <c r="AF83" s="75" t="str">
        <f t="shared" si="82"/>
        <v/>
      </c>
      <c r="AG83" s="4" t="str">
        <f t="shared" si="83"/>
        <v/>
      </c>
      <c r="AH83" s="4" t="str">
        <f t="shared" si="84"/>
        <v/>
      </c>
      <c r="AI83" s="4" t="str">
        <f t="shared" si="85"/>
        <v/>
      </c>
      <c r="AJ83" s="4" t="str">
        <f t="shared" si="86"/>
        <v/>
      </c>
      <c r="AK83" s="4" t="str">
        <f t="shared" si="87"/>
        <v/>
      </c>
      <c r="AL83" s="2" t="str">
        <f t="shared" si="88"/>
        <v/>
      </c>
      <c r="AM83" s="6" t="str">
        <f t="shared" si="89"/>
        <v/>
      </c>
      <c r="AN83" s="4" t="str">
        <f t="shared" si="90"/>
        <v/>
      </c>
      <c r="AO83" s="4" t="str">
        <f t="shared" si="91"/>
        <v/>
      </c>
      <c r="AP83" s="4" t="str">
        <f t="shared" si="92"/>
        <v/>
      </c>
      <c r="AQ83" s="4" t="str">
        <f t="shared" si="93"/>
        <v/>
      </c>
      <c r="AR83" s="4" t="str">
        <f t="shared" si="94"/>
        <v/>
      </c>
    </row>
    <row r="84" spans="3:44" s="1" customFormat="1" ht="14.25" x14ac:dyDescent="0.3">
      <c r="C84" s="20"/>
      <c r="E84" s="19"/>
      <c r="F84" s="2"/>
      <c r="G84" s="20"/>
      <c r="H84" s="50"/>
      <c r="I84" s="20"/>
      <c r="J84" s="54"/>
      <c r="K84" s="20"/>
      <c r="L84" s="54"/>
      <c r="O84" s="20"/>
      <c r="P84" s="21"/>
      <c r="R84" s="46"/>
      <c r="S84" s="54"/>
      <c r="T84" s="54"/>
      <c r="U84" s="54"/>
      <c r="V84" s="44"/>
      <c r="W84" s="27"/>
      <c r="Z84" s="27"/>
      <c r="AA84" s="8"/>
      <c r="AB84" s="81" t="str">
        <f t="shared" si="78"/>
        <v/>
      </c>
      <c r="AC84" s="6" t="str">
        <f t="shared" si="79"/>
        <v/>
      </c>
      <c r="AD84" s="1" t="str">
        <f t="shared" ca="1" si="80"/>
        <v/>
      </c>
      <c r="AE84" s="75" t="str">
        <f t="shared" si="81"/>
        <v/>
      </c>
      <c r="AF84" s="75" t="str">
        <f t="shared" si="82"/>
        <v/>
      </c>
      <c r="AG84" s="4" t="str">
        <f t="shared" si="83"/>
        <v/>
      </c>
      <c r="AH84" s="4" t="str">
        <f t="shared" si="84"/>
        <v/>
      </c>
      <c r="AI84" s="4" t="str">
        <f t="shared" si="85"/>
        <v/>
      </c>
      <c r="AJ84" s="4" t="str">
        <f t="shared" si="86"/>
        <v/>
      </c>
      <c r="AK84" s="4" t="str">
        <f t="shared" si="87"/>
        <v/>
      </c>
      <c r="AL84" s="2" t="str">
        <f t="shared" si="88"/>
        <v/>
      </c>
      <c r="AM84" s="6" t="str">
        <f t="shared" si="89"/>
        <v/>
      </c>
      <c r="AN84" s="4" t="str">
        <f t="shared" si="90"/>
        <v/>
      </c>
      <c r="AO84" s="4" t="str">
        <f t="shared" si="91"/>
        <v/>
      </c>
      <c r="AP84" s="4" t="str">
        <f t="shared" si="92"/>
        <v/>
      </c>
      <c r="AQ84" s="4" t="str">
        <f t="shared" si="93"/>
        <v/>
      </c>
      <c r="AR84" s="4" t="str">
        <f t="shared" si="94"/>
        <v/>
      </c>
    </row>
    <row r="85" spans="3:44" s="1" customFormat="1" ht="14.25" x14ac:dyDescent="0.3">
      <c r="C85" s="20"/>
      <c r="E85" s="19"/>
      <c r="F85" s="2"/>
      <c r="G85" s="21"/>
      <c r="H85" s="50"/>
      <c r="I85" s="20"/>
      <c r="J85" s="54"/>
      <c r="K85" s="20"/>
      <c r="L85" s="54"/>
      <c r="O85" s="20"/>
      <c r="P85" s="21"/>
      <c r="R85" s="46"/>
      <c r="S85" s="54"/>
      <c r="T85" s="54"/>
      <c r="U85" s="54"/>
      <c r="V85" s="44"/>
      <c r="W85" s="27"/>
      <c r="Z85" s="27"/>
      <c r="AA85" s="8"/>
      <c r="AB85" s="81" t="str">
        <f t="shared" si="78"/>
        <v/>
      </c>
      <c r="AC85" s="6" t="str">
        <f t="shared" si="79"/>
        <v/>
      </c>
      <c r="AD85" s="1" t="str">
        <f t="shared" ca="1" si="80"/>
        <v/>
      </c>
      <c r="AE85" s="75" t="str">
        <f t="shared" si="81"/>
        <v/>
      </c>
      <c r="AF85" s="75" t="str">
        <f t="shared" si="82"/>
        <v/>
      </c>
      <c r="AG85" s="4" t="str">
        <f t="shared" si="83"/>
        <v/>
      </c>
      <c r="AH85" s="4" t="str">
        <f t="shared" si="84"/>
        <v/>
      </c>
      <c r="AI85" s="4" t="str">
        <f t="shared" si="85"/>
        <v/>
      </c>
      <c r="AJ85" s="4" t="str">
        <f t="shared" si="86"/>
        <v/>
      </c>
      <c r="AK85" s="4" t="str">
        <f t="shared" si="87"/>
        <v/>
      </c>
      <c r="AL85" s="2" t="str">
        <f t="shared" si="88"/>
        <v/>
      </c>
      <c r="AM85" s="6" t="str">
        <f t="shared" si="89"/>
        <v/>
      </c>
      <c r="AN85" s="4" t="str">
        <f t="shared" si="90"/>
        <v/>
      </c>
      <c r="AO85" s="4" t="str">
        <f t="shared" si="91"/>
        <v/>
      </c>
      <c r="AP85" s="4" t="str">
        <f t="shared" si="92"/>
        <v/>
      </c>
      <c r="AQ85" s="4" t="str">
        <f t="shared" si="93"/>
        <v/>
      </c>
      <c r="AR85" s="4" t="str">
        <f t="shared" si="94"/>
        <v/>
      </c>
    </row>
    <row r="86" spans="3:44" s="1" customFormat="1" ht="14.25" x14ac:dyDescent="0.3">
      <c r="C86" s="20"/>
      <c r="E86" s="19"/>
      <c r="F86" s="2"/>
      <c r="G86" s="20"/>
      <c r="H86" s="50"/>
      <c r="I86" s="20"/>
      <c r="J86" s="54"/>
      <c r="K86" s="20"/>
      <c r="L86" s="54"/>
      <c r="O86" s="20"/>
      <c r="P86" s="21"/>
      <c r="R86" s="46"/>
      <c r="S86" s="54"/>
      <c r="T86" s="54"/>
      <c r="U86" s="54"/>
      <c r="V86" s="44"/>
      <c r="W86" s="27"/>
      <c r="Z86" s="27"/>
      <c r="AA86" s="8"/>
      <c r="AB86" s="81" t="str">
        <f t="shared" si="78"/>
        <v/>
      </c>
      <c r="AC86" s="6" t="str">
        <f t="shared" si="79"/>
        <v/>
      </c>
      <c r="AD86" s="1" t="str">
        <f t="shared" ca="1" si="80"/>
        <v/>
      </c>
      <c r="AE86" s="75" t="str">
        <f t="shared" si="81"/>
        <v/>
      </c>
      <c r="AF86" s="75" t="str">
        <f t="shared" si="82"/>
        <v/>
      </c>
      <c r="AG86" s="4" t="str">
        <f t="shared" si="83"/>
        <v/>
      </c>
      <c r="AH86" s="4" t="str">
        <f t="shared" si="84"/>
        <v/>
      </c>
      <c r="AI86" s="4" t="str">
        <f t="shared" si="85"/>
        <v/>
      </c>
      <c r="AJ86" s="4" t="str">
        <f t="shared" si="86"/>
        <v/>
      </c>
      <c r="AK86" s="4" t="str">
        <f t="shared" si="87"/>
        <v/>
      </c>
      <c r="AL86" s="2" t="str">
        <f t="shared" si="88"/>
        <v/>
      </c>
      <c r="AM86" s="6" t="str">
        <f t="shared" si="89"/>
        <v/>
      </c>
      <c r="AN86" s="4" t="str">
        <f t="shared" si="90"/>
        <v/>
      </c>
      <c r="AO86" s="4" t="str">
        <f t="shared" si="91"/>
        <v/>
      </c>
      <c r="AP86" s="4" t="str">
        <f t="shared" si="92"/>
        <v/>
      </c>
      <c r="AQ86" s="4" t="str">
        <f t="shared" si="93"/>
        <v/>
      </c>
      <c r="AR86" s="4" t="str">
        <f t="shared" si="94"/>
        <v/>
      </c>
    </row>
    <row r="87" spans="3:44" s="1" customFormat="1" ht="14.25" x14ac:dyDescent="0.3">
      <c r="C87" s="20"/>
      <c r="E87" s="19"/>
      <c r="F87" s="2"/>
      <c r="G87" s="31"/>
      <c r="H87" s="50"/>
      <c r="I87" s="20"/>
      <c r="J87" s="54"/>
      <c r="K87" s="20"/>
      <c r="L87" s="54"/>
      <c r="O87" s="20"/>
      <c r="P87" s="21"/>
      <c r="R87" s="46"/>
      <c r="S87" s="54"/>
      <c r="T87" s="54"/>
      <c r="U87" s="54"/>
      <c r="V87" s="44"/>
      <c r="W87" s="27"/>
      <c r="Z87" s="27"/>
      <c r="AA87" s="8"/>
      <c r="AB87" s="81" t="str">
        <f t="shared" si="78"/>
        <v/>
      </c>
      <c r="AC87" s="6" t="str">
        <f t="shared" si="79"/>
        <v/>
      </c>
      <c r="AD87" s="1" t="str">
        <f t="shared" ca="1" si="80"/>
        <v/>
      </c>
      <c r="AE87" s="75" t="str">
        <f t="shared" si="81"/>
        <v/>
      </c>
      <c r="AF87" s="75" t="str">
        <f t="shared" si="82"/>
        <v/>
      </c>
      <c r="AG87" s="4" t="str">
        <f t="shared" si="83"/>
        <v/>
      </c>
      <c r="AH87" s="4" t="str">
        <f t="shared" si="84"/>
        <v/>
      </c>
      <c r="AI87" s="4" t="str">
        <f t="shared" si="85"/>
        <v/>
      </c>
      <c r="AJ87" s="4" t="str">
        <f t="shared" si="86"/>
        <v/>
      </c>
      <c r="AK87" s="4" t="str">
        <f t="shared" si="87"/>
        <v/>
      </c>
      <c r="AL87" s="2" t="str">
        <f t="shared" si="88"/>
        <v/>
      </c>
      <c r="AM87" s="6" t="str">
        <f t="shared" si="89"/>
        <v/>
      </c>
      <c r="AN87" s="4" t="str">
        <f t="shared" si="90"/>
        <v/>
      </c>
      <c r="AO87" s="4" t="str">
        <f t="shared" si="91"/>
        <v/>
      </c>
      <c r="AP87" s="4" t="str">
        <f t="shared" si="92"/>
        <v/>
      </c>
      <c r="AQ87" s="4" t="str">
        <f t="shared" si="93"/>
        <v/>
      </c>
      <c r="AR87" s="4" t="str">
        <f t="shared" si="94"/>
        <v/>
      </c>
    </row>
    <row r="88" spans="3:44" s="1" customFormat="1" ht="14.25" x14ac:dyDescent="0.3">
      <c r="C88" s="20"/>
      <c r="E88" s="19"/>
      <c r="F88" s="2"/>
      <c r="G88" s="21"/>
      <c r="H88" s="50"/>
      <c r="I88" s="20"/>
      <c r="J88" s="54"/>
      <c r="K88" s="20"/>
      <c r="L88" s="54"/>
      <c r="O88" s="20"/>
      <c r="P88" s="21"/>
      <c r="R88" s="46"/>
      <c r="S88" s="54"/>
      <c r="T88" s="54"/>
      <c r="U88" s="54"/>
      <c r="V88" s="44"/>
      <c r="W88" s="27"/>
      <c r="Z88" s="27"/>
      <c r="AA88" s="8"/>
      <c r="AB88" s="81" t="str">
        <f t="shared" si="78"/>
        <v/>
      </c>
      <c r="AC88" s="6" t="str">
        <f t="shared" si="79"/>
        <v/>
      </c>
      <c r="AD88" s="1" t="str">
        <f t="shared" ca="1" si="80"/>
        <v/>
      </c>
      <c r="AE88" s="75" t="str">
        <f t="shared" si="81"/>
        <v/>
      </c>
      <c r="AF88" s="75" t="str">
        <f t="shared" si="82"/>
        <v/>
      </c>
      <c r="AG88" s="4" t="str">
        <f t="shared" si="83"/>
        <v/>
      </c>
      <c r="AH88" s="4" t="str">
        <f t="shared" si="84"/>
        <v/>
      </c>
      <c r="AI88" s="4" t="str">
        <f t="shared" si="85"/>
        <v/>
      </c>
      <c r="AJ88" s="4" t="str">
        <f t="shared" si="86"/>
        <v/>
      </c>
      <c r="AK88" s="4" t="str">
        <f t="shared" si="87"/>
        <v/>
      </c>
      <c r="AL88" s="2" t="str">
        <f t="shared" si="88"/>
        <v/>
      </c>
      <c r="AM88" s="6" t="str">
        <f t="shared" si="89"/>
        <v/>
      </c>
      <c r="AN88" s="4" t="str">
        <f t="shared" si="90"/>
        <v/>
      </c>
      <c r="AO88" s="4" t="str">
        <f t="shared" si="91"/>
        <v/>
      </c>
      <c r="AP88" s="4" t="str">
        <f t="shared" si="92"/>
        <v/>
      </c>
      <c r="AQ88" s="4" t="str">
        <f t="shared" si="93"/>
        <v/>
      </c>
      <c r="AR88" s="4" t="str">
        <f t="shared" si="94"/>
        <v/>
      </c>
    </row>
    <row r="89" spans="3:44" s="1" customFormat="1" ht="14.25" x14ac:dyDescent="0.3">
      <c r="C89" s="20"/>
      <c r="E89" s="19"/>
      <c r="F89" s="2"/>
      <c r="G89" s="21"/>
      <c r="H89" s="50"/>
      <c r="I89" s="20"/>
      <c r="J89" s="54"/>
      <c r="K89" s="20"/>
      <c r="L89" s="54"/>
      <c r="O89" s="20"/>
      <c r="P89" s="21"/>
      <c r="R89" s="46"/>
      <c r="S89" s="54"/>
      <c r="T89" s="54"/>
      <c r="U89" s="54"/>
      <c r="V89" s="44"/>
      <c r="W89" s="27"/>
      <c r="Z89" s="27"/>
      <c r="AA89" s="8"/>
      <c r="AB89" s="81" t="str">
        <f t="shared" si="78"/>
        <v/>
      </c>
      <c r="AC89" s="6" t="str">
        <f t="shared" si="79"/>
        <v/>
      </c>
      <c r="AD89" s="1" t="str">
        <f t="shared" ca="1" si="80"/>
        <v/>
      </c>
      <c r="AE89" s="75" t="str">
        <f t="shared" si="81"/>
        <v/>
      </c>
      <c r="AF89" s="75" t="str">
        <f t="shared" si="82"/>
        <v/>
      </c>
      <c r="AG89" s="4" t="str">
        <f t="shared" si="83"/>
        <v/>
      </c>
      <c r="AH89" s="4" t="str">
        <f t="shared" si="84"/>
        <v/>
      </c>
      <c r="AI89" s="4" t="str">
        <f t="shared" si="85"/>
        <v/>
      </c>
      <c r="AJ89" s="4" t="str">
        <f t="shared" si="86"/>
        <v/>
      </c>
      <c r="AK89" s="4" t="str">
        <f t="shared" si="87"/>
        <v/>
      </c>
      <c r="AL89" s="2" t="str">
        <f t="shared" si="88"/>
        <v/>
      </c>
      <c r="AM89" s="6" t="str">
        <f t="shared" si="89"/>
        <v/>
      </c>
      <c r="AN89" s="4" t="str">
        <f t="shared" si="90"/>
        <v/>
      </c>
      <c r="AO89" s="4" t="str">
        <f t="shared" si="91"/>
        <v/>
      </c>
      <c r="AP89" s="4" t="str">
        <f t="shared" si="92"/>
        <v/>
      </c>
      <c r="AQ89" s="4" t="str">
        <f t="shared" si="93"/>
        <v/>
      </c>
      <c r="AR89" s="4" t="str">
        <f t="shared" si="94"/>
        <v/>
      </c>
    </row>
    <row r="90" spans="3:44" s="1" customFormat="1" ht="14.25" x14ac:dyDescent="0.3">
      <c r="C90" s="20"/>
      <c r="E90" s="19"/>
      <c r="F90" s="2"/>
      <c r="G90" s="31"/>
      <c r="H90" s="50"/>
      <c r="I90" s="20"/>
      <c r="J90" s="54"/>
      <c r="K90" s="20"/>
      <c r="L90" s="54"/>
      <c r="O90" s="20"/>
      <c r="P90" s="21"/>
      <c r="R90" s="46"/>
      <c r="S90" s="54"/>
      <c r="T90" s="54"/>
      <c r="U90" s="54"/>
      <c r="V90" s="44"/>
      <c r="W90" s="27"/>
      <c r="Z90" s="27"/>
      <c r="AA90" s="8"/>
      <c r="AB90" s="81" t="str">
        <f t="shared" si="78"/>
        <v/>
      </c>
      <c r="AC90" s="6" t="str">
        <f t="shared" si="79"/>
        <v/>
      </c>
      <c r="AD90" s="1" t="str">
        <f t="shared" ca="1" si="80"/>
        <v/>
      </c>
      <c r="AE90" s="75" t="str">
        <f t="shared" si="81"/>
        <v/>
      </c>
      <c r="AF90" s="75" t="str">
        <f t="shared" si="82"/>
        <v/>
      </c>
      <c r="AG90" s="4" t="str">
        <f t="shared" si="83"/>
        <v/>
      </c>
      <c r="AH90" s="4" t="str">
        <f t="shared" si="84"/>
        <v/>
      </c>
      <c r="AI90" s="4" t="str">
        <f t="shared" si="85"/>
        <v/>
      </c>
      <c r="AJ90" s="4" t="str">
        <f t="shared" si="86"/>
        <v/>
      </c>
      <c r="AK90" s="4" t="str">
        <f t="shared" si="87"/>
        <v/>
      </c>
      <c r="AL90" s="2" t="str">
        <f t="shared" si="88"/>
        <v/>
      </c>
      <c r="AM90" s="6" t="str">
        <f t="shared" si="89"/>
        <v/>
      </c>
      <c r="AN90" s="4" t="str">
        <f t="shared" si="90"/>
        <v/>
      </c>
      <c r="AO90" s="4" t="str">
        <f t="shared" si="91"/>
        <v/>
      </c>
      <c r="AP90" s="4" t="str">
        <f t="shared" si="92"/>
        <v/>
      </c>
      <c r="AQ90" s="4" t="str">
        <f t="shared" si="93"/>
        <v/>
      </c>
      <c r="AR90" s="4" t="str">
        <f t="shared" si="94"/>
        <v/>
      </c>
    </row>
    <row r="91" spans="3:44" s="1" customFormat="1" ht="14.25" x14ac:dyDescent="0.3">
      <c r="C91" s="20"/>
      <c r="E91" s="19"/>
      <c r="F91" s="2"/>
      <c r="G91" s="21"/>
      <c r="H91" s="50"/>
      <c r="I91" s="20"/>
      <c r="J91" s="54"/>
      <c r="K91" s="20"/>
      <c r="L91" s="54"/>
      <c r="O91" s="20"/>
      <c r="P91" s="21"/>
      <c r="R91" s="46"/>
      <c r="S91" s="54"/>
      <c r="T91" s="54"/>
      <c r="U91" s="54"/>
      <c r="V91" s="44"/>
      <c r="W91" s="27"/>
      <c r="Z91" s="27"/>
      <c r="AA91" s="8"/>
      <c r="AB91" s="81" t="str">
        <f t="shared" si="78"/>
        <v/>
      </c>
      <c r="AC91" s="6" t="str">
        <f t="shared" si="79"/>
        <v/>
      </c>
      <c r="AD91" s="1" t="str">
        <f t="shared" ca="1" si="80"/>
        <v/>
      </c>
      <c r="AE91" s="75" t="str">
        <f t="shared" si="81"/>
        <v/>
      </c>
      <c r="AF91" s="75" t="str">
        <f t="shared" si="82"/>
        <v/>
      </c>
      <c r="AG91" s="4" t="str">
        <f t="shared" si="83"/>
        <v/>
      </c>
      <c r="AH91" s="4" t="str">
        <f t="shared" si="84"/>
        <v/>
      </c>
      <c r="AI91" s="4" t="str">
        <f t="shared" si="85"/>
        <v/>
      </c>
      <c r="AJ91" s="4" t="str">
        <f t="shared" si="86"/>
        <v/>
      </c>
      <c r="AK91" s="4" t="str">
        <f t="shared" si="87"/>
        <v/>
      </c>
      <c r="AL91" s="2" t="str">
        <f t="shared" si="88"/>
        <v/>
      </c>
      <c r="AM91" s="6" t="str">
        <f t="shared" si="89"/>
        <v/>
      </c>
      <c r="AN91" s="4" t="str">
        <f t="shared" si="90"/>
        <v/>
      </c>
      <c r="AO91" s="4" t="str">
        <f t="shared" si="91"/>
        <v/>
      </c>
      <c r="AP91" s="4" t="str">
        <f t="shared" si="92"/>
        <v/>
      </c>
      <c r="AQ91" s="4" t="str">
        <f t="shared" si="93"/>
        <v/>
      </c>
      <c r="AR91" s="4" t="str">
        <f t="shared" si="94"/>
        <v/>
      </c>
    </row>
    <row r="92" spans="3:44" s="1" customFormat="1" ht="14.25" x14ac:dyDescent="0.3">
      <c r="C92" s="20"/>
      <c r="E92" s="19"/>
      <c r="F92" s="2"/>
      <c r="G92" s="20"/>
      <c r="H92" s="50"/>
      <c r="I92" s="20"/>
      <c r="J92" s="54"/>
      <c r="K92" s="20"/>
      <c r="L92" s="54"/>
      <c r="O92" s="20"/>
      <c r="P92" s="21"/>
      <c r="R92" s="46"/>
      <c r="S92" s="54"/>
      <c r="T92" s="54"/>
      <c r="U92" s="54"/>
      <c r="V92" s="44"/>
      <c r="W92" s="27"/>
      <c r="Z92" s="27"/>
      <c r="AA92" s="8"/>
      <c r="AB92" s="81" t="str">
        <f t="shared" si="78"/>
        <v/>
      </c>
      <c r="AC92" s="6" t="str">
        <f t="shared" si="79"/>
        <v/>
      </c>
      <c r="AD92" s="1" t="str">
        <f t="shared" ca="1" si="80"/>
        <v/>
      </c>
      <c r="AE92" s="75" t="str">
        <f t="shared" si="81"/>
        <v/>
      </c>
      <c r="AF92" s="75" t="str">
        <f t="shared" si="82"/>
        <v/>
      </c>
      <c r="AG92" s="4" t="str">
        <f t="shared" si="83"/>
        <v/>
      </c>
      <c r="AH92" s="4" t="str">
        <f t="shared" si="84"/>
        <v/>
      </c>
      <c r="AI92" s="4" t="str">
        <f t="shared" si="85"/>
        <v/>
      </c>
      <c r="AJ92" s="4" t="str">
        <f t="shared" si="86"/>
        <v/>
      </c>
      <c r="AK92" s="4" t="str">
        <f t="shared" si="87"/>
        <v/>
      </c>
      <c r="AL92" s="2" t="str">
        <f t="shared" si="88"/>
        <v/>
      </c>
      <c r="AM92" s="6" t="str">
        <f t="shared" si="89"/>
        <v/>
      </c>
      <c r="AN92" s="4" t="str">
        <f t="shared" si="90"/>
        <v/>
      </c>
      <c r="AO92" s="4" t="str">
        <f t="shared" si="91"/>
        <v/>
      </c>
      <c r="AP92" s="4" t="str">
        <f t="shared" si="92"/>
        <v/>
      </c>
      <c r="AQ92" s="4" t="str">
        <f t="shared" si="93"/>
        <v/>
      </c>
      <c r="AR92" s="4" t="str">
        <f t="shared" si="94"/>
        <v/>
      </c>
    </row>
    <row r="93" spans="3:44" s="1" customFormat="1" ht="14.25" x14ac:dyDescent="0.3">
      <c r="C93" s="20"/>
      <c r="E93" s="19"/>
      <c r="F93" s="2"/>
      <c r="G93" s="20"/>
      <c r="H93" s="50"/>
      <c r="I93" s="20"/>
      <c r="J93" s="54"/>
      <c r="K93" s="20"/>
      <c r="L93" s="54"/>
      <c r="O93" s="20"/>
      <c r="P93" s="21"/>
      <c r="R93" s="46"/>
      <c r="S93" s="54"/>
      <c r="T93" s="54"/>
      <c r="U93" s="54"/>
      <c r="V93" s="44"/>
      <c r="W93" s="27"/>
      <c r="Z93" s="27"/>
      <c r="AA93" s="8"/>
      <c r="AB93" s="81" t="str">
        <f t="shared" si="78"/>
        <v/>
      </c>
      <c r="AC93" s="6" t="str">
        <f t="shared" si="79"/>
        <v/>
      </c>
      <c r="AD93" s="1" t="str">
        <f t="shared" ca="1" si="80"/>
        <v/>
      </c>
      <c r="AE93" s="75" t="str">
        <f t="shared" si="81"/>
        <v/>
      </c>
      <c r="AF93" s="75" t="str">
        <f t="shared" si="82"/>
        <v/>
      </c>
      <c r="AG93" s="4" t="str">
        <f t="shared" si="83"/>
        <v/>
      </c>
      <c r="AH93" s="4" t="str">
        <f t="shared" si="84"/>
        <v/>
      </c>
      <c r="AI93" s="4" t="str">
        <f t="shared" si="85"/>
        <v/>
      </c>
      <c r="AJ93" s="4" t="str">
        <f t="shared" si="86"/>
        <v/>
      </c>
      <c r="AK93" s="4" t="str">
        <f t="shared" si="87"/>
        <v/>
      </c>
      <c r="AL93" s="2" t="str">
        <f t="shared" si="88"/>
        <v/>
      </c>
      <c r="AM93" s="6" t="str">
        <f t="shared" si="89"/>
        <v/>
      </c>
      <c r="AN93" s="4" t="str">
        <f t="shared" si="90"/>
        <v/>
      </c>
      <c r="AO93" s="4" t="str">
        <f t="shared" si="91"/>
        <v/>
      </c>
      <c r="AP93" s="4" t="str">
        <f t="shared" si="92"/>
        <v/>
      </c>
      <c r="AQ93" s="4" t="str">
        <f t="shared" si="93"/>
        <v/>
      </c>
      <c r="AR93" s="4" t="str">
        <f t="shared" si="94"/>
        <v/>
      </c>
    </row>
    <row r="94" spans="3:44" s="1" customFormat="1" ht="14.25" x14ac:dyDescent="0.3">
      <c r="C94" s="20"/>
      <c r="E94" s="19"/>
      <c r="F94" s="2"/>
      <c r="G94" s="31"/>
      <c r="H94" s="50"/>
      <c r="I94" s="20"/>
      <c r="J94" s="54"/>
      <c r="K94" s="20"/>
      <c r="L94" s="54"/>
      <c r="O94" s="20"/>
      <c r="P94" s="21"/>
      <c r="R94" s="46"/>
      <c r="S94" s="54"/>
      <c r="T94" s="54"/>
      <c r="U94" s="54"/>
      <c r="V94" s="44"/>
      <c r="W94" s="27"/>
      <c r="Z94" s="27"/>
      <c r="AA94" s="8"/>
      <c r="AB94" s="81" t="str">
        <f t="shared" si="78"/>
        <v/>
      </c>
      <c r="AC94" s="6" t="str">
        <f t="shared" si="79"/>
        <v/>
      </c>
      <c r="AD94" s="1" t="str">
        <f t="shared" ca="1" si="80"/>
        <v/>
      </c>
      <c r="AE94" s="75" t="str">
        <f t="shared" si="81"/>
        <v/>
      </c>
      <c r="AF94" s="75" t="str">
        <f t="shared" si="82"/>
        <v/>
      </c>
      <c r="AG94" s="4" t="str">
        <f t="shared" si="83"/>
        <v/>
      </c>
      <c r="AH94" s="4" t="str">
        <f t="shared" si="84"/>
        <v/>
      </c>
      <c r="AI94" s="4" t="str">
        <f t="shared" si="85"/>
        <v/>
      </c>
      <c r="AJ94" s="4" t="str">
        <f t="shared" si="86"/>
        <v/>
      </c>
      <c r="AK94" s="4" t="str">
        <f t="shared" si="87"/>
        <v/>
      </c>
      <c r="AL94" s="2" t="str">
        <f t="shared" si="88"/>
        <v/>
      </c>
      <c r="AM94" s="6" t="str">
        <f t="shared" si="89"/>
        <v/>
      </c>
      <c r="AN94" s="4" t="str">
        <f t="shared" si="90"/>
        <v/>
      </c>
      <c r="AO94" s="4" t="str">
        <f t="shared" si="91"/>
        <v/>
      </c>
      <c r="AP94" s="4" t="str">
        <f t="shared" si="92"/>
        <v/>
      </c>
      <c r="AQ94" s="4" t="str">
        <f t="shared" si="93"/>
        <v/>
      </c>
      <c r="AR94" s="4" t="str">
        <f t="shared" si="94"/>
        <v/>
      </c>
    </row>
    <row r="95" spans="3:44" s="1" customFormat="1" ht="14.25" x14ac:dyDescent="0.3">
      <c r="C95" s="20"/>
      <c r="E95" s="19"/>
      <c r="F95" s="2"/>
      <c r="G95" s="21"/>
      <c r="H95" s="50"/>
      <c r="I95" s="20"/>
      <c r="J95" s="54"/>
      <c r="K95" s="20"/>
      <c r="L95" s="54"/>
      <c r="O95" s="20"/>
      <c r="P95" s="21"/>
      <c r="R95" s="46"/>
      <c r="S95" s="54"/>
      <c r="T95" s="54"/>
      <c r="U95" s="54"/>
      <c r="V95" s="44"/>
      <c r="W95" s="27"/>
      <c r="Z95" s="27"/>
      <c r="AA95" s="8"/>
      <c r="AB95" s="81" t="str">
        <f t="shared" si="78"/>
        <v/>
      </c>
      <c r="AC95" s="6" t="str">
        <f t="shared" si="79"/>
        <v/>
      </c>
      <c r="AD95" s="1" t="str">
        <f t="shared" ca="1" si="80"/>
        <v/>
      </c>
      <c r="AE95" s="75" t="str">
        <f t="shared" si="81"/>
        <v/>
      </c>
      <c r="AF95" s="75" t="str">
        <f t="shared" si="82"/>
        <v/>
      </c>
      <c r="AG95" s="4" t="str">
        <f t="shared" si="83"/>
        <v/>
      </c>
      <c r="AH95" s="4" t="str">
        <f t="shared" si="84"/>
        <v/>
      </c>
      <c r="AI95" s="4" t="str">
        <f t="shared" si="85"/>
        <v/>
      </c>
      <c r="AJ95" s="4" t="str">
        <f t="shared" si="86"/>
        <v/>
      </c>
      <c r="AK95" s="4" t="str">
        <f t="shared" si="87"/>
        <v/>
      </c>
      <c r="AL95" s="2" t="str">
        <f t="shared" si="88"/>
        <v/>
      </c>
      <c r="AM95" s="6" t="str">
        <f t="shared" si="89"/>
        <v/>
      </c>
      <c r="AN95" s="4" t="str">
        <f t="shared" si="90"/>
        <v/>
      </c>
      <c r="AO95" s="4" t="str">
        <f t="shared" si="91"/>
        <v/>
      </c>
      <c r="AP95" s="4" t="str">
        <f t="shared" si="92"/>
        <v/>
      </c>
      <c r="AQ95" s="4" t="str">
        <f t="shared" si="93"/>
        <v/>
      </c>
      <c r="AR95" s="4" t="str">
        <f t="shared" si="94"/>
        <v/>
      </c>
    </row>
    <row r="96" spans="3:44" s="1" customFormat="1" ht="14.25" x14ac:dyDescent="0.3">
      <c r="C96" s="20"/>
      <c r="E96" s="19"/>
      <c r="F96" s="2"/>
      <c r="G96" s="21"/>
      <c r="H96" s="50"/>
      <c r="I96" s="20"/>
      <c r="J96" s="54"/>
      <c r="K96" s="20"/>
      <c r="L96" s="54"/>
      <c r="O96" s="20"/>
      <c r="P96" s="21"/>
      <c r="R96" s="46"/>
      <c r="S96" s="54"/>
      <c r="T96" s="54"/>
      <c r="U96" s="54"/>
      <c r="V96" s="44"/>
      <c r="W96" s="27"/>
      <c r="Z96" s="27"/>
      <c r="AA96" s="8"/>
      <c r="AB96" s="81" t="str">
        <f t="shared" si="78"/>
        <v/>
      </c>
      <c r="AC96" s="6" t="str">
        <f t="shared" si="79"/>
        <v/>
      </c>
      <c r="AD96" s="1" t="str">
        <f t="shared" ca="1" si="80"/>
        <v/>
      </c>
      <c r="AE96" s="75" t="str">
        <f t="shared" si="81"/>
        <v/>
      </c>
      <c r="AF96" s="75" t="str">
        <f t="shared" si="82"/>
        <v/>
      </c>
      <c r="AG96" s="4" t="str">
        <f t="shared" si="83"/>
        <v/>
      </c>
      <c r="AH96" s="4" t="str">
        <f t="shared" si="84"/>
        <v/>
      </c>
      <c r="AI96" s="4" t="str">
        <f t="shared" si="85"/>
        <v/>
      </c>
      <c r="AJ96" s="4" t="str">
        <f t="shared" si="86"/>
        <v/>
      </c>
      <c r="AK96" s="4" t="str">
        <f t="shared" si="87"/>
        <v/>
      </c>
      <c r="AL96" s="2" t="str">
        <f t="shared" si="88"/>
        <v/>
      </c>
      <c r="AM96" s="6" t="str">
        <f t="shared" si="89"/>
        <v/>
      </c>
      <c r="AN96" s="4" t="str">
        <f t="shared" si="90"/>
        <v/>
      </c>
      <c r="AO96" s="4" t="str">
        <f t="shared" si="91"/>
        <v/>
      </c>
      <c r="AP96" s="4" t="str">
        <f t="shared" si="92"/>
        <v/>
      </c>
      <c r="AQ96" s="4" t="str">
        <f t="shared" si="93"/>
        <v/>
      </c>
      <c r="AR96" s="4" t="str">
        <f t="shared" si="94"/>
        <v/>
      </c>
    </row>
    <row r="97" spans="3:44" s="1" customFormat="1" ht="14.25" x14ac:dyDescent="0.3">
      <c r="C97" s="20"/>
      <c r="E97" s="19"/>
      <c r="F97" s="2"/>
      <c r="G97" s="31"/>
      <c r="H97" s="50"/>
      <c r="I97" s="20"/>
      <c r="J97" s="54"/>
      <c r="K97" s="20"/>
      <c r="L97" s="54"/>
      <c r="O97" s="20"/>
      <c r="P97" s="21"/>
      <c r="R97" s="46"/>
      <c r="S97" s="54"/>
      <c r="T97" s="54"/>
      <c r="U97" s="54"/>
      <c r="V97" s="44"/>
      <c r="W97" s="27"/>
      <c r="Z97" s="27"/>
      <c r="AA97" s="8"/>
      <c r="AB97" s="81" t="str">
        <f t="shared" si="78"/>
        <v/>
      </c>
      <c r="AC97" s="6" t="str">
        <f t="shared" si="79"/>
        <v/>
      </c>
      <c r="AD97" s="1" t="str">
        <f t="shared" ca="1" si="80"/>
        <v/>
      </c>
      <c r="AE97" s="75" t="str">
        <f t="shared" si="81"/>
        <v/>
      </c>
      <c r="AF97" s="75" t="str">
        <f t="shared" si="82"/>
        <v/>
      </c>
      <c r="AG97" s="4" t="str">
        <f t="shared" si="83"/>
        <v/>
      </c>
      <c r="AH97" s="4" t="str">
        <f t="shared" si="84"/>
        <v/>
      </c>
      <c r="AI97" s="4" t="str">
        <f t="shared" si="85"/>
        <v/>
      </c>
      <c r="AJ97" s="4" t="str">
        <f t="shared" si="86"/>
        <v/>
      </c>
      <c r="AK97" s="4" t="str">
        <f t="shared" si="87"/>
        <v/>
      </c>
      <c r="AL97" s="2" t="str">
        <f t="shared" si="88"/>
        <v/>
      </c>
      <c r="AM97" s="6" t="str">
        <f t="shared" si="89"/>
        <v/>
      </c>
      <c r="AN97" s="4" t="str">
        <f t="shared" si="90"/>
        <v/>
      </c>
      <c r="AO97" s="4" t="str">
        <f t="shared" si="91"/>
        <v/>
      </c>
      <c r="AP97" s="4" t="str">
        <f t="shared" si="92"/>
        <v/>
      </c>
      <c r="AQ97" s="4" t="str">
        <f t="shared" si="93"/>
        <v/>
      </c>
      <c r="AR97" s="4" t="str">
        <f t="shared" si="94"/>
        <v/>
      </c>
    </row>
    <row r="98" spans="3:44" s="1" customFormat="1" ht="14.25" x14ac:dyDescent="0.3">
      <c r="C98" s="20"/>
      <c r="E98" s="19"/>
      <c r="F98" s="2"/>
      <c r="G98" s="20"/>
      <c r="H98" s="50"/>
      <c r="I98" s="20"/>
      <c r="J98" s="54"/>
      <c r="K98" s="20"/>
      <c r="L98" s="54"/>
      <c r="O98" s="20"/>
      <c r="P98" s="21"/>
      <c r="R98" s="46"/>
      <c r="S98" s="54"/>
      <c r="T98" s="54"/>
      <c r="U98" s="54"/>
      <c r="V98" s="44"/>
      <c r="W98" s="27"/>
      <c r="Z98" s="27"/>
      <c r="AA98" s="8"/>
      <c r="AB98" s="81" t="str">
        <f t="shared" si="78"/>
        <v/>
      </c>
      <c r="AC98" s="6" t="str">
        <f t="shared" si="79"/>
        <v/>
      </c>
      <c r="AD98" s="1" t="str">
        <f t="shared" ca="1" si="80"/>
        <v/>
      </c>
      <c r="AE98" s="75" t="str">
        <f t="shared" si="81"/>
        <v/>
      </c>
      <c r="AF98" s="75" t="str">
        <f t="shared" si="82"/>
        <v/>
      </c>
      <c r="AG98" s="4" t="str">
        <f t="shared" si="83"/>
        <v/>
      </c>
      <c r="AH98" s="4" t="str">
        <f t="shared" si="84"/>
        <v/>
      </c>
      <c r="AI98" s="4" t="str">
        <f t="shared" si="85"/>
        <v/>
      </c>
      <c r="AJ98" s="4" t="str">
        <f t="shared" si="86"/>
        <v/>
      </c>
      <c r="AK98" s="4" t="str">
        <f t="shared" si="87"/>
        <v/>
      </c>
      <c r="AL98" s="2" t="str">
        <f t="shared" si="88"/>
        <v/>
      </c>
      <c r="AM98" s="6" t="str">
        <f t="shared" si="89"/>
        <v/>
      </c>
      <c r="AN98" s="4" t="str">
        <f t="shared" si="90"/>
        <v/>
      </c>
      <c r="AO98" s="4" t="str">
        <f t="shared" si="91"/>
        <v/>
      </c>
      <c r="AP98" s="4" t="str">
        <f t="shared" si="92"/>
        <v/>
      </c>
      <c r="AQ98" s="4" t="str">
        <f t="shared" si="93"/>
        <v/>
      </c>
      <c r="AR98" s="4" t="str">
        <f t="shared" si="94"/>
        <v/>
      </c>
    </row>
    <row r="99" spans="3:44" s="1" customFormat="1" ht="14.25" x14ac:dyDescent="0.3">
      <c r="C99" s="20"/>
      <c r="E99" s="19"/>
      <c r="F99" s="2"/>
      <c r="G99" s="31"/>
      <c r="H99" s="50"/>
      <c r="I99" s="20"/>
      <c r="J99" s="54"/>
      <c r="K99" s="20"/>
      <c r="L99" s="54"/>
      <c r="O99" s="20"/>
      <c r="P99" s="21"/>
      <c r="R99" s="46"/>
      <c r="S99" s="54"/>
      <c r="T99" s="54"/>
      <c r="U99" s="54"/>
      <c r="V99" s="44"/>
      <c r="W99" s="27"/>
      <c r="Z99" s="27"/>
      <c r="AA99" s="8"/>
      <c r="AB99" s="81" t="str">
        <f t="shared" si="78"/>
        <v/>
      </c>
      <c r="AC99" s="6" t="str">
        <f t="shared" si="79"/>
        <v/>
      </c>
      <c r="AD99" s="1" t="str">
        <f t="shared" ca="1" si="80"/>
        <v/>
      </c>
      <c r="AE99" s="75" t="str">
        <f t="shared" si="81"/>
        <v/>
      </c>
      <c r="AF99" s="75" t="str">
        <f t="shared" si="82"/>
        <v/>
      </c>
      <c r="AG99" s="4" t="str">
        <f t="shared" si="83"/>
        <v/>
      </c>
      <c r="AH99" s="4" t="str">
        <f t="shared" si="84"/>
        <v/>
      </c>
      <c r="AI99" s="4" t="str">
        <f t="shared" si="85"/>
        <v/>
      </c>
      <c r="AJ99" s="4" t="str">
        <f t="shared" si="86"/>
        <v/>
      </c>
      <c r="AK99" s="4" t="str">
        <f t="shared" si="87"/>
        <v/>
      </c>
      <c r="AL99" s="2" t="str">
        <f t="shared" si="88"/>
        <v/>
      </c>
      <c r="AM99" s="6" t="str">
        <f t="shared" si="89"/>
        <v/>
      </c>
      <c r="AN99" s="4" t="str">
        <f t="shared" si="90"/>
        <v/>
      </c>
      <c r="AO99" s="4" t="str">
        <f t="shared" si="91"/>
        <v/>
      </c>
      <c r="AP99" s="4" t="str">
        <f t="shared" si="92"/>
        <v/>
      </c>
      <c r="AQ99" s="4" t="str">
        <f t="shared" si="93"/>
        <v/>
      </c>
      <c r="AR99" s="4" t="str">
        <f t="shared" si="94"/>
        <v/>
      </c>
    </row>
    <row r="100" spans="3:44" s="1" customFormat="1" ht="14.25" x14ac:dyDescent="0.3">
      <c r="C100" s="20"/>
      <c r="E100" s="19"/>
      <c r="F100" s="2"/>
      <c r="G100" s="31"/>
      <c r="H100" s="50"/>
      <c r="I100" s="20"/>
      <c r="J100" s="54"/>
      <c r="K100" s="20"/>
      <c r="L100" s="54"/>
      <c r="O100" s="20"/>
      <c r="P100" s="21"/>
      <c r="R100" s="46"/>
      <c r="S100" s="54"/>
      <c r="T100" s="54"/>
      <c r="U100" s="54"/>
      <c r="V100" s="44"/>
      <c r="W100" s="27"/>
      <c r="Z100" s="27"/>
      <c r="AA100" s="8"/>
      <c r="AB100" s="81" t="str">
        <f>IF(X100="","",(AH100-AG100)/AG100)</f>
        <v/>
      </c>
      <c r="AC100" s="6" t="str">
        <f>IF(X100="","",AH100-AG100)</f>
        <v/>
      </c>
      <c r="AD100" s="1" t="str">
        <f ca="1">IF(X100="","",IF(W100="","",IF(Z100="",TODAY()-W100,Z100-W100)))</f>
        <v/>
      </c>
      <c r="AE100" s="75" t="str">
        <f>IF(X100="","",IF(AE99="",IF(AM100="","",AM100),IF(AM100="",AE99,AE99+AM100)))</f>
        <v/>
      </c>
      <c r="AF100" s="75" t="str">
        <f>IF(X100="","",IF(AF99="",IF(AN100="","",AN100),IF(AN100="",AF99,AF99+AN100)))</f>
        <v/>
      </c>
      <c r="AG100" s="4" t="str">
        <f>IF(X100="","",X100*Y100*100+AO100+AP100)</f>
        <v/>
      </c>
      <c r="AH100" s="4" t="str">
        <f>IF(X100="","",IF(AA100="",C100*Y100*100-AO100-AQ100-AR100,AA100*Y100*100-AO100-AQ100-AR100))</f>
        <v/>
      </c>
      <c r="AI100" s="4" t="str">
        <f>IF(X100="","",AI99+AC100)</f>
        <v/>
      </c>
      <c r="AJ100" s="4" t="str">
        <f>IF(X100="","",AO100+AP100+AO100+AQ100+AR100)</f>
        <v/>
      </c>
      <c r="AK100" s="4" t="str">
        <f>IF(X100="","",AK99+AJ100)</f>
        <v/>
      </c>
      <c r="AL100" s="2" t="str">
        <f>IF(X100="","",0.18%)</f>
        <v/>
      </c>
      <c r="AM100" s="6" t="str">
        <f>IF(X100="","",IF(Z100="",AC100,""))</f>
        <v/>
      </c>
      <c r="AN100" s="4" t="str">
        <f>IF(X100="","",IF(Z100="",AH100,""))</f>
        <v/>
      </c>
      <c r="AO100" s="4" t="str">
        <f>IF(X100="","",IF(LEFT(A100,2)="sh",IF(Y100*100/1000&lt;=1,1,Y100*100/1000),0))</f>
        <v/>
      </c>
      <c r="AP100" s="4" t="str">
        <f>IF(X100="","",IF(X100*Y100*100*AL100&lt;=5,5,X100*Y100*100*AL100))</f>
        <v/>
      </c>
      <c r="AQ100" s="4" t="str">
        <f>IF(X100="","",IF(AA100="",IF(C100*Y100*100*AL100&lt;=5,5,C100*Y100*100*AL100),IF(AA100*Y100*100*AL100&lt;=5,5,AA100*Y100*100*AL100)))</f>
        <v/>
      </c>
      <c r="AR100" s="4" t="str">
        <f>IF(X100="","",IF(AA100="",C100*Y100*100*0.001,AA100*Y100*100*0.001))</f>
        <v/>
      </c>
    </row>
    <row r="101" spans="3:44" s="1" customFormat="1" ht="14.25" x14ac:dyDescent="0.3">
      <c r="C101" s="20"/>
      <c r="E101" s="19"/>
      <c r="F101" s="2"/>
      <c r="G101" s="21"/>
      <c r="H101" s="50"/>
      <c r="I101" s="20"/>
      <c r="J101" s="54"/>
      <c r="K101" s="20"/>
      <c r="L101" s="54"/>
      <c r="O101" s="20"/>
      <c r="P101" s="21"/>
      <c r="R101" s="46"/>
      <c r="S101" s="54"/>
      <c r="T101" s="54"/>
      <c r="U101" s="54"/>
      <c r="V101" s="44"/>
      <c r="W101" s="27"/>
      <c r="Z101" s="27"/>
      <c r="AA101" s="8"/>
      <c r="AB101" s="81" t="str">
        <f>IF(X101="","",(AH101-AG101)/AG101)</f>
        <v/>
      </c>
      <c r="AC101" s="6" t="str">
        <f>IF(X101="","",AH101-AG101)</f>
        <v/>
      </c>
      <c r="AD101" s="1" t="str">
        <f ca="1">IF(X101="","",IF(W101="","",IF(Z101="",TODAY()-W101,Z101-W101)))</f>
        <v/>
      </c>
      <c r="AE101" s="75" t="str">
        <f>IF(X101="","",IF(AE100="",IF(AM101="","",AM101),IF(AM101="",AE100,AE100+AM101)))</f>
        <v/>
      </c>
      <c r="AF101" s="75" t="str">
        <f>IF(X101="","",IF(AF100="",IF(AN101="","",AN101),IF(AN101="",AF100,AF100+AN101)))</f>
        <v/>
      </c>
      <c r="AG101" s="4" t="str">
        <f>IF(X101="","",X101*Y101*100+AO101+AP101)</f>
        <v/>
      </c>
      <c r="AH101" s="4" t="str">
        <f>IF(X101="","",IF(AA101="",C101*Y101*100-AO101-AQ101-AR101,AA101*Y101*100-AO101-AQ101-AR101))</f>
        <v/>
      </c>
      <c r="AI101" s="4" t="str">
        <f>IF(X101="","",AI100+AC101)</f>
        <v/>
      </c>
      <c r="AJ101" s="4" t="str">
        <f>IF(X101="","",AO101+AP101+AO101+AQ101+AR101)</f>
        <v/>
      </c>
      <c r="AK101" s="4" t="str">
        <f>IF(X101="","",AK100+AJ101)</f>
        <v/>
      </c>
      <c r="AL101" s="2" t="str">
        <f>IF(X101="","",0.18%)</f>
        <v/>
      </c>
      <c r="AM101" s="6" t="str">
        <f>IF(X101="","",IF(Z101="",AC101,""))</f>
        <v/>
      </c>
      <c r="AN101" s="4" t="str">
        <f>IF(X101="","",IF(Z101="",AH101,""))</f>
        <v/>
      </c>
      <c r="AO101" s="4" t="str">
        <f>IF(X101="","",IF(LEFT(A101,2)="sh",IF(Y101*100/1000&lt;=1,1,Y101*100/1000),0))</f>
        <v/>
      </c>
      <c r="AP101" s="4" t="str">
        <f>IF(X101="","",IF(X101*Y101*100*AL101&lt;=5,5,X101*Y101*100*AL101))</f>
        <v/>
      </c>
      <c r="AQ101" s="4" t="str">
        <f>IF(X101="","",IF(AA101="",IF(C101*Y101*100*AL101&lt;=5,5,C101*Y101*100*AL101),IF(AA101*Y101*100*AL101&lt;=5,5,AA101*Y101*100*AL101)))</f>
        <v/>
      </c>
      <c r="AR101" s="4" t="str">
        <f>IF(X101="","",IF(AA101="",C101*Y101*100*0.001,AA101*Y101*100*0.001))</f>
        <v/>
      </c>
    </row>
    <row r="102" spans="3:44" s="1" customFormat="1" ht="14.25" x14ac:dyDescent="0.3">
      <c r="C102" s="20"/>
      <c r="E102" s="19"/>
      <c r="F102" s="2"/>
      <c r="G102" s="21"/>
      <c r="H102" s="50"/>
      <c r="I102" s="20"/>
      <c r="J102" s="54"/>
      <c r="K102" s="20"/>
      <c r="L102" s="54"/>
      <c r="O102" s="20"/>
      <c r="P102" s="21"/>
      <c r="R102" s="46"/>
      <c r="S102" s="54"/>
      <c r="T102" s="54"/>
      <c r="U102" s="54"/>
      <c r="V102" s="44"/>
      <c r="W102" s="27"/>
      <c r="Z102" s="27"/>
      <c r="AA102" s="8"/>
      <c r="AB102" s="81" t="str">
        <f t="shared" ref="AB102:AB117" si="95">IF(X102="","",(AH102-AG102)/AG102)</f>
        <v/>
      </c>
      <c r="AC102" s="6" t="str">
        <f t="shared" ref="AC102:AC117" si="96">IF(X102="","",AH102-AG102)</f>
        <v/>
      </c>
      <c r="AD102" s="1" t="str">
        <f t="shared" ref="AD102:AD117" ca="1" si="97">IF(X102="","",IF(W102="","",IF(Z102="",TODAY()-W102,Z102-W102)))</f>
        <v/>
      </c>
      <c r="AE102" s="75" t="str">
        <f t="shared" ref="AE102:AE117" si="98">IF(X102="","",IF(AE101="",IF(AM102="","",AM102),IF(AM102="",AE101,AE101+AM102)))</f>
        <v/>
      </c>
      <c r="AF102" s="75" t="str">
        <f t="shared" ref="AF102:AF117" si="99">IF(X102="","",IF(AF101="",IF(AN102="","",AN102),IF(AN102="",AF101,AF101+AN102)))</f>
        <v/>
      </c>
      <c r="AG102" s="4" t="str">
        <f t="shared" ref="AG102:AG117" si="100">IF(X102="","",X102*Y102*100+AO102+AP102)</f>
        <v/>
      </c>
      <c r="AH102" s="4" t="str">
        <f t="shared" ref="AH102:AH117" si="101">IF(X102="","",IF(AA102="",C102*Y102*100-AO102-AQ102-AR102,AA102*Y102*100-AO102-AQ102-AR102))</f>
        <v/>
      </c>
      <c r="AI102" s="4" t="str">
        <f t="shared" ref="AI102:AI117" si="102">IF(X102="","",AI101+AC102)</f>
        <v/>
      </c>
      <c r="AJ102" s="4" t="str">
        <f t="shared" ref="AJ102:AJ117" si="103">IF(X102="","",AO102+AP102+AO102+AQ102+AR102)</f>
        <v/>
      </c>
      <c r="AK102" s="4" t="str">
        <f t="shared" ref="AK102:AK117" si="104">IF(X102="","",AK101+AJ102)</f>
        <v/>
      </c>
      <c r="AL102" s="2" t="str">
        <f t="shared" ref="AL102:AL117" si="105">IF(X102="","",0.18%)</f>
        <v/>
      </c>
      <c r="AM102" s="6" t="str">
        <f t="shared" ref="AM102:AM117" si="106">IF(X102="","",IF(Z102="",AC102,""))</f>
        <v/>
      </c>
      <c r="AN102" s="4" t="str">
        <f t="shared" ref="AN102:AN117" si="107">IF(X102="","",IF(Z102="",AH102,""))</f>
        <v/>
      </c>
      <c r="AO102" s="4" t="str">
        <f t="shared" ref="AO102:AO117" si="108">IF(X102="","",IF(LEFT(A102,2)="sh",IF(Y102*100/1000&lt;=1,1,Y102*100/1000),0))</f>
        <v/>
      </c>
      <c r="AP102" s="4" t="str">
        <f t="shared" ref="AP102:AP117" si="109">IF(X102="","",IF(X102*Y102*100*AL102&lt;=5,5,X102*Y102*100*AL102))</f>
        <v/>
      </c>
      <c r="AQ102" s="4" t="str">
        <f t="shared" ref="AQ102:AQ117" si="110">IF(X102="","",IF(AA102="",IF(C102*Y102*100*AL102&lt;=5,5,C102*Y102*100*AL102),IF(AA102*Y102*100*AL102&lt;=5,5,AA102*Y102*100*AL102)))</f>
        <v/>
      </c>
      <c r="AR102" s="4" t="str">
        <f t="shared" ref="AR102:AR117" si="111">IF(X102="","",IF(AA102="",C102*Y102*100*0.001,AA102*Y102*100*0.001))</f>
        <v/>
      </c>
    </row>
    <row r="103" spans="3:44" s="1" customFormat="1" ht="14.25" x14ac:dyDescent="0.3">
      <c r="C103" s="20"/>
      <c r="E103" s="19"/>
      <c r="F103" s="2"/>
      <c r="G103" s="31"/>
      <c r="H103" s="50"/>
      <c r="I103" s="20"/>
      <c r="J103" s="54"/>
      <c r="K103" s="20"/>
      <c r="L103" s="54"/>
      <c r="O103" s="20"/>
      <c r="P103" s="21"/>
      <c r="R103" s="46"/>
      <c r="S103" s="54"/>
      <c r="T103" s="54"/>
      <c r="U103" s="54"/>
      <c r="V103" s="44"/>
      <c r="W103" s="27"/>
      <c r="Z103" s="27"/>
      <c r="AA103" s="8"/>
      <c r="AB103" s="81" t="str">
        <f t="shared" si="95"/>
        <v/>
      </c>
      <c r="AC103" s="6" t="str">
        <f t="shared" si="96"/>
        <v/>
      </c>
      <c r="AD103" s="1" t="str">
        <f t="shared" ca="1" si="97"/>
        <v/>
      </c>
      <c r="AE103" s="75" t="str">
        <f t="shared" si="98"/>
        <v/>
      </c>
      <c r="AF103" s="75" t="str">
        <f t="shared" si="99"/>
        <v/>
      </c>
      <c r="AG103" s="4" t="str">
        <f t="shared" si="100"/>
        <v/>
      </c>
      <c r="AH103" s="4" t="str">
        <f t="shared" si="101"/>
        <v/>
      </c>
      <c r="AI103" s="4" t="str">
        <f t="shared" si="102"/>
        <v/>
      </c>
      <c r="AJ103" s="4" t="str">
        <f t="shared" si="103"/>
        <v/>
      </c>
      <c r="AK103" s="4" t="str">
        <f t="shared" si="104"/>
        <v/>
      </c>
      <c r="AL103" s="2" t="str">
        <f t="shared" si="105"/>
        <v/>
      </c>
      <c r="AM103" s="6" t="str">
        <f t="shared" si="106"/>
        <v/>
      </c>
      <c r="AN103" s="4" t="str">
        <f t="shared" si="107"/>
        <v/>
      </c>
      <c r="AO103" s="4" t="str">
        <f t="shared" si="108"/>
        <v/>
      </c>
      <c r="AP103" s="4" t="str">
        <f t="shared" si="109"/>
        <v/>
      </c>
      <c r="AQ103" s="4" t="str">
        <f t="shared" si="110"/>
        <v/>
      </c>
      <c r="AR103" s="4" t="str">
        <f t="shared" si="111"/>
        <v/>
      </c>
    </row>
    <row r="104" spans="3:44" s="1" customFormat="1" ht="14.25" x14ac:dyDescent="0.3">
      <c r="C104" s="20"/>
      <c r="E104" s="19"/>
      <c r="F104" s="2"/>
      <c r="G104" s="20"/>
      <c r="H104" s="50"/>
      <c r="I104" s="20"/>
      <c r="J104" s="54"/>
      <c r="K104" s="20"/>
      <c r="L104" s="54"/>
      <c r="O104" s="20"/>
      <c r="P104" s="21"/>
      <c r="R104" s="46"/>
      <c r="S104" s="54"/>
      <c r="T104" s="54"/>
      <c r="U104" s="54"/>
      <c r="V104" s="44"/>
      <c r="W104" s="27"/>
      <c r="Z104" s="27"/>
      <c r="AA104" s="8"/>
      <c r="AB104" s="81" t="str">
        <f t="shared" si="95"/>
        <v/>
      </c>
      <c r="AC104" s="6" t="str">
        <f t="shared" si="96"/>
        <v/>
      </c>
      <c r="AD104" s="1" t="str">
        <f t="shared" ca="1" si="97"/>
        <v/>
      </c>
      <c r="AE104" s="75" t="str">
        <f t="shared" si="98"/>
        <v/>
      </c>
      <c r="AF104" s="75" t="str">
        <f t="shared" si="99"/>
        <v/>
      </c>
      <c r="AG104" s="4" t="str">
        <f t="shared" si="100"/>
        <v/>
      </c>
      <c r="AH104" s="4" t="str">
        <f t="shared" si="101"/>
        <v/>
      </c>
      <c r="AI104" s="4" t="str">
        <f t="shared" si="102"/>
        <v/>
      </c>
      <c r="AJ104" s="4" t="str">
        <f t="shared" si="103"/>
        <v/>
      </c>
      <c r="AK104" s="4" t="str">
        <f t="shared" si="104"/>
        <v/>
      </c>
      <c r="AL104" s="2" t="str">
        <f t="shared" si="105"/>
        <v/>
      </c>
      <c r="AM104" s="6" t="str">
        <f t="shared" si="106"/>
        <v/>
      </c>
      <c r="AN104" s="4" t="str">
        <f t="shared" si="107"/>
        <v/>
      </c>
      <c r="AO104" s="4" t="str">
        <f t="shared" si="108"/>
        <v/>
      </c>
      <c r="AP104" s="4" t="str">
        <f t="shared" si="109"/>
        <v/>
      </c>
      <c r="AQ104" s="4" t="str">
        <f t="shared" si="110"/>
        <v/>
      </c>
      <c r="AR104" s="4" t="str">
        <f t="shared" si="111"/>
        <v/>
      </c>
    </row>
    <row r="105" spans="3:44" s="1" customFormat="1" ht="14.25" x14ac:dyDescent="0.3">
      <c r="C105" s="20"/>
      <c r="E105" s="19"/>
      <c r="F105" s="2"/>
      <c r="G105" s="20"/>
      <c r="H105" s="50"/>
      <c r="I105" s="20"/>
      <c r="J105" s="54"/>
      <c r="K105" s="20"/>
      <c r="L105" s="54"/>
      <c r="O105" s="20"/>
      <c r="P105" s="21"/>
      <c r="R105" s="46"/>
      <c r="S105" s="54"/>
      <c r="T105" s="54"/>
      <c r="U105" s="54"/>
      <c r="V105" s="44"/>
      <c r="W105" s="27"/>
      <c r="Z105" s="27"/>
      <c r="AA105" s="8"/>
      <c r="AB105" s="81" t="str">
        <f t="shared" si="95"/>
        <v/>
      </c>
      <c r="AC105" s="6" t="str">
        <f t="shared" si="96"/>
        <v/>
      </c>
      <c r="AD105" s="1" t="str">
        <f t="shared" ca="1" si="97"/>
        <v/>
      </c>
      <c r="AE105" s="75" t="str">
        <f t="shared" si="98"/>
        <v/>
      </c>
      <c r="AF105" s="75" t="str">
        <f t="shared" si="99"/>
        <v/>
      </c>
      <c r="AG105" s="4" t="str">
        <f t="shared" si="100"/>
        <v/>
      </c>
      <c r="AH105" s="4" t="str">
        <f t="shared" si="101"/>
        <v/>
      </c>
      <c r="AI105" s="4" t="str">
        <f t="shared" si="102"/>
        <v/>
      </c>
      <c r="AJ105" s="4" t="str">
        <f t="shared" si="103"/>
        <v/>
      </c>
      <c r="AK105" s="4" t="str">
        <f t="shared" si="104"/>
        <v/>
      </c>
      <c r="AL105" s="2" t="str">
        <f t="shared" si="105"/>
        <v/>
      </c>
      <c r="AM105" s="6" t="str">
        <f t="shared" si="106"/>
        <v/>
      </c>
      <c r="AN105" s="4" t="str">
        <f t="shared" si="107"/>
        <v/>
      </c>
      <c r="AO105" s="4" t="str">
        <f t="shared" si="108"/>
        <v/>
      </c>
      <c r="AP105" s="4" t="str">
        <f t="shared" si="109"/>
        <v/>
      </c>
      <c r="AQ105" s="4" t="str">
        <f t="shared" si="110"/>
        <v/>
      </c>
      <c r="AR105" s="4" t="str">
        <f t="shared" si="111"/>
        <v/>
      </c>
    </row>
    <row r="106" spans="3:44" s="1" customFormat="1" ht="14.25" x14ac:dyDescent="0.3">
      <c r="C106" s="20"/>
      <c r="E106" s="19"/>
      <c r="F106" s="2"/>
      <c r="G106" s="31"/>
      <c r="H106" s="50"/>
      <c r="I106" s="20"/>
      <c r="J106" s="54"/>
      <c r="K106" s="20"/>
      <c r="L106" s="54"/>
      <c r="O106" s="20"/>
      <c r="P106" s="31"/>
      <c r="R106" s="46"/>
      <c r="S106" s="54"/>
      <c r="T106" s="54"/>
      <c r="U106" s="54"/>
      <c r="V106" s="44"/>
      <c r="W106" s="27"/>
      <c r="Z106" s="27"/>
      <c r="AA106" s="8"/>
      <c r="AB106" s="81" t="str">
        <f t="shared" si="95"/>
        <v/>
      </c>
      <c r="AC106" s="6" t="str">
        <f t="shared" si="96"/>
        <v/>
      </c>
      <c r="AD106" s="1" t="str">
        <f t="shared" ca="1" si="97"/>
        <v/>
      </c>
      <c r="AE106" s="75" t="str">
        <f t="shared" si="98"/>
        <v/>
      </c>
      <c r="AF106" s="75" t="str">
        <f t="shared" si="99"/>
        <v/>
      </c>
      <c r="AG106" s="4" t="str">
        <f t="shared" si="100"/>
        <v/>
      </c>
      <c r="AH106" s="4" t="str">
        <f t="shared" si="101"/>
        <v/>
      </c>
      <c r="AI106" s="4" t="str">
        <f t="shared" si="102"/>
        <v/>
      </c>
      <c r="AJ106" s="4" t="str">
        <f t="shared" si="103"/>
        <v/>
      </c>
      <c r="AK106" s="4" t="str">
        <f t="shared" si="104"/>
        <v/>
      </c>
      <c r="AL106" s="2" t="str">
        <f t="shared" si="105"/>
        <v/>
      </c>
      <c r="AM106" s="6" t="str">
        <f t="shared" si="106"/>
        <v/>
      </c>
      <c r="AN106" s="4" t="str">
        <f t="shared" si="107"/>
        <v/>
      </c>
      <c r="AO106" s="4" t="str">
        <f t="shared" si="108"/>
        <v/>
      </c>
      <c r="AP106" s="4" t="str">
        <f t="shared" si="109"/>
        <v/>
      </c>
      <c r="AQ106" s="4" t="str">
        <f t="shared" si="110"/>
        <v/>
      </c>
      <c r="AR106" s="4" t="str">
        <f t="shared" si="111"/>
        <v/>
      </c>
    </row>
    <row r="107" spans="3:44" s="1" customFormat="1" ht="14.25" x14ac:dyDescent="0.3">
      <c r="C107" s="20"/>
      <c r="E107" s="19"/>
      <c r="F107" s="2"/>
      <c r="G107" s="20"/>
      <c r="H107" s="50"/>
      <c r="I107" s="20"/>
      <c r="J107" s="54"/>
      <c r="K107" s="20"/>
      <c r="L107" s="54"/>
      <c r="O107" s="20"/>
      <c r="P107" s="21"/>
      <c r="R107" s="46"/>
      <c r="S107" s="54"/>
      <c r="T107" s="54"/>
      <c r="U107" s="54"/>
      <c r="V107" s="44"/>
      <c r="W107" s="27"/>
      <c r="Z107" s="27"/>
      <c r="AA107" s="8"/>
      <c r="AB107" s="81" t="str">
        <f t="shared" si="95"/>
        <v/>
      </c>
      <c r="AC107" s="6" t="str">
        <f t="shared" si="96"/>
        <v/>
      </c>
      <c r="AD107" s="1" t="str">
        <f t="shared" ca="1" si="97"/>
        <v/>
      </c>
      <c r="AE107" s="75" t="str">
        <f t="shared" si="98"/>
        <v/>
      </c>
      <c r="AF107" s="75" t="str">
        <f t="shared" si="99"/>
        <v/>
      </c>
      <c r="AG107" s="4" t="str">
        <f t="shared" si="100"/>
        <v/>
      </c>
      <c r="AH107" s="4" t="str">
        <f t="shared" si="101"/>
        <v/>
      </c>
      <c r="AI107" s="4" t="str">
        <f t="shared" si="102"/>
        <v/>
      </c>
      <c r="AJ107" s="4" t="str">
        <f t="shared" si="103"/>
        <v/>
      </c>
      <c r="AK107" s="4" t="str">
        <f t="shared" si="104"/>
        <v/>
      </c>
      <c r="AL107" s="2" t="str">
        <f t="shared" si="105"/>
        <v/>
      </c>
      <c r="AM107" s="6" t="str">
        <f t="shared" si="106"/>
        <v/>
      </c>
      <c r="AN107" s="4" t="str">
        <f t="shared" si="107"/>
        <v/>
      </c>
      <c r="AO107" s="4" t="str">
        <f t="shared" si="108"/>
        <v/>
      </c>
      <c r="AP107" s="4" t="str">
        <f t="shared" si="109"/>
        <v/>
      </c>
      <c r="AQ107" s="4" t="str">
        <f t="shared" si="110"/>
        <v/>
      </c>
      <c r="AR107" s="4" t="str">
        <f t="shared" si="111"/>
        <v/>
      </c>
    </row>
    <row r="108" spans="3:44" s="1" customFormat="1" ht="14.25" x14ac:dyDescent="0.3">
      <c r="C108" s="20"/>
      <c r="E108" s="19"/>
      <c r="F108" s="2"/>
      <c r="G108" s="31"/>
      <c r="H108" s="50"/>
      <c r="I108" s="20"/>
      <c r="J108" s="54"/>
      <c r="K108" s="20"/>
      <c r="L108" s="54"/>
      <c r="O108" s="20"/>
      <c r="P108" s="31"/>
      <c r="R108" s="46"/>
      <c r="S108" s="54"/>
      <c r="T108" s="54"/>
      <c r="U108" s="54"/>
      <c r="V108" s="44"/>
      <c r="W108" s="27"/>
      <c r="Z108" s="27"/>
      <c r="AA108" s="8"/>
      <c r="AB108" s="81" t="str">
        <f t="shared" si="95"/>
        <v/>
      </c>
      <c r="AC108" s="6" t="str">
        <f t="shared" si="96"/>
        <v/>
      </c>
      <c r="AD108" s="1" t="str">
        <f t="shared" ca="1" si="97"/>
        <v/>
      </c>
      <c r="AE108" s="75" t="str">
        <f t="shared" si="98"/>
        <v/>
      </c>
      <c r="AF108" s="75" t="str">
        <f t="shared" si="99"/>
        <v/>
      </c>
      <c r="AG108" s="4" t="str">
        <f t="shared" si="100"/>
        <v/>
      </c>
      <c r="AH108" s="4" t="str">
        <f t="shared" si="101"/>
        <v/>
      </c>
      <c r="AI108" s="4" t="str">
        <f t="shared" si="102"/>
        <v/>
      </c>
      <c r="AJ108" s="4" t="str">
        <f t="shared" si="103"/>
        <v/>
      </c>
      <c r="AK108" s="4" t="str">
        <f t="shared" si="104"/>
        <v/>
      </c>
      <c r="AL108" s="2" t="str">
        <f t="shared" si="105"/>
        <v/>
      </c>
      <c r="AM108" s="6" t="str">
        <f t="shared" si="106"/>
        <v/>
      </c>
      <c r="AN108" s="4" t="str">
        <f t="shared" si="107"/>
        <v/>
      </c>
      <c r="AO108" s="4" t="str">
        <f t="shared" si="108"/>
        <v/>
      </c>
      <c r="AP108" s="4" t="str">
        <f t="shared" si="109"/>
        <v/>
      </c>
      <c r="AQ108" s="4" t="str">
        <f t="shared" si="110"/>
        <v/>
      </c>
      <c r="AR108" s="4" t="str">
        <f t="shared" si="111"/>
        <v/>
      </c>
    </row>
    <row r="109" spans="3:44" s="1" customFormat="1" ht="14.25" x14ac:dyDescent="0.3">
      <c r="C109" s="20"/>
      <c r="E109" s="19"/>
      <c r="F109" s="2"/>
      <c r="G109" s="31"/>
      <c r="H109" s="50"/>
      <c r="I109" s="20"/>
      <c r="J109" s="54"/>
      <c r="K109" s="20"/>
      <c r="L109" s="54"/>
      <c r="O109" s="20"/>
      <c r="P109" s="31"/>
      <c r="R109" s="46"/>
      <c r="S109" s="54"/>
      <c r="T109" s="54"/>
      <c r="U109" s="54"/>
      <c r="V109" s="44"/>
      <c r="W109" s="27"/>
      <c r="Z109" s="27"/>
      <c r="AA109" s="8"/>
      <c r="AB109" s="81" t="str">
        <f t="shared" si="95"/>
        <v/>
      </c>
      <c r="AC109" s="6" t="str">
        <f t="shared" si="96"/>
        <v/>
      </c>
      <c r="AD109" s="1" t="str">
        <f t="shared" ca="1" si="97"/>
        <v/>
      </c>
      <c r="AE109" s="75" t="str">
        <f t="shared" si="98"/>
        <v/>
      </c>
      <c r="AF109" s="75" t="str">
        <f t="shared" si="99"/>
        <v/>
      </c>
      <c r="AG109" s="4" t="str">
        <f t="shared" si="100"/>
        <v/>
      </c>
      <c r="AH109" s="4" t="str">
        <f t="shared" si="101"/>
        <v/>
      </c>
      <c r="AI109" s="4" t="str">
        <f t="shared" si="102"/>
        <v/>
      </c>
      <c r="AJ109" s="4" t="str">
        <f t="shared" si="103"/>
        <v/>
      </c>
      <c r="AK109" s="4" t="str">
        <f t="shared" si="104"/>
        <v/>
      </c>
      <c r="AL109" s="2" t="str">
        <f t="shared" si="105"/>
        <v/>
      </c>
      <c r="AM109" s="6" t="str">
        <f t="shared" si="106"/>
        <v/>
      </c>
      <c r="AN109" s="4" t="str">
        <f t="shared" si="107"/>
        <v/>
      </c>
      <c r="AO109" s="4" t="str">
        <f t="shared" si="108"/>
        <v/>
      </c>
      <c r="AP109" s="4" t="str">
        <f t="shared" si="109"/>
        <v/>
      </c>
      <c r="AQ109" s="4" t="str">
        <f t="shared" si="110"/>
        <v/>
      </c>
      <c r="AR109" s="4" t="str">
        <f t="shared" si="111"/>
        <v/>
      </c>
    </row>
    <row r="110" spans="3:44" s="1" customFormat="1" ht="14.25" x14ac:dyDescent="0.3">
      <c r="C110" s="20"/>
      <c r="E110" s="19"/>
      <c r="F110" s="2"/>
      <c r="G110" s="20"/>
      <c r="H110" s="50"/>
      <c r="I110" s="20"/>
      <c r="J110" s="54"/>
      <c r="K110" s="20"/>
      <c r="L110" s="54"/>
      <c r="O110" s="20"/>
      <c r="P110" s="20"/>
      <c r="R110" s="46"/>
      <c r="S110" s="54"/>
      <c r="T110" s="54"/>
      <c r="U110" s="54"/>
      <c r="V110" s="44"/>
      <c r="W110" s="27"/>
      <c r="Z110" s="27"/>
      <c r="AA110" s="8"/>
      <c r="AB110" s="81" t="str">
        <f t="shared" si="95"/>
        <v/>
      </c>
      <c r="AC110" s="6" t="str">
        <f t="shared" si="96"/>
        <v/>
      </c>
      <c r="AD110" s="1" t="str">
        <f t="shared" ca="1" si="97"/>
        <v/>
      </c>
      <c r="AE110" s="75" t="str">
        <f t="shared" si="98"/>
        <v/>
      </c>
      <c r="AF110" s="75" t="str">
        <f t="shared" si="99"/>
        <v/>
      </c>
      <c r="AG110" s="4" t="str">
        <f t="shared" si="100"/>
        <v/>
      </c>
      <c r="AH110" s="4" t="str">
        <f t="shared" si="101"/>
        <v/>
      </c>
      <c r="AI110" s="4" t="str">
        <f t="shared" si="102"/>
        <v/>
      </c>
      <c r="AJ110" s="4" t="str">
        <f t="shared" si="103"/>
        <v/>
      </c>
      <c r="AK110" s="4" t="str">
        <f t="shared" si="104"/>
        <v/>
      </c>
      <c r="AL110" s="2" t="str">
        <f t="shared" si="105"/>
        <v/>
      </c>
      <c r="AM110" s="6" t="str">
        <f t="shared" si="106"/>
        <v/>
      </c>
      <c r="AN110" s="4" t="str">
        <f t="shared" si="107"/>
        <v/>
      </c>
      <c r="AO110" s="4" t="str">
        <f t="shared" si="108"/>
        <v/>
      </c>
      <c r="AP110" s="4" t="str">
        <f t="shared" si="109"/>
        <v/>
      </c>
      <c r="AQ110" s="4" t="str">
        <f t="shared" si="110"/>
        <v/>
      </c>
      <c r="AR110" s="4" t="str">
        <f t="shared" si="111"/>
        <v/>
      </c>
    </row>
    <row r="111" spans="3:44" s="1" customFormat="1" ht="14.25" x14ac:dyDescent="0.3">
      <c r="C111" s="20"/>
      <c r="E111" s="19"/>
      <c r="F111" s="2"/>
      <c r="G111" s="20"/>
      <c r="H111" s="50"/>
      <c r="I111" s="20"/>
      <c r="J111" s="54"/>
      <c r="K111" s="20"/>
      <c r="L111" s="54"/>
      <c r="O111" s="20"/>
      <c r="P111" s="20"/>
      <c r="R111" s="46"/>
      <c r="S111" s="54"/>
      <c r="T111" s="54"/>
      <c r="U111" s="54"/>
      <c r="V111" s="44"/>
      <c r="W111" s="27"/>
      <c r="Z111" s="27"/>
      <c r="AA111" s="8"/>
      <c r="AB111" s="81" t="str">
        <f t="shared" si="95"/>
        <v/>
      </c>
      <c r="AC111" s="6" t="str">
        <f t="shared" si="96"/>
        <v/>
      </c>
      <c r="AD111" s="1" t="str">
        <f t="shared" ca="1" si="97"/>
        <v/>
      </c>
      <c r="AE111" s="75" t="str">
        <f t="shared" si="98"/>
        <v/>
      </c>
      <c r="AF111" s="75" t="str">
        <f t="shared" si="99"/>
        <v/>
      </c>
      <c r="AG111" s="4" t="str">
        <f t="shared" si="100"/>
        <v/>
      </c>
      <c r="AH111" s="4" t="str">
        <f t="shared" si="101"/>
        <v/>
      </c>
      <c r="AI111" s="4" t="str">
        <f t="shared" si="102"/>
        <v/>
      </c>
      <c r="AJ111" s="4" t="str">
        <f t="shared" si="103"/>
        <v/>
      </c>
      <c r="AK111" s="4" t="str">
        <f t="shared" si="104"/>
        <v/>
      </c>
      <c r="AL111" s="2" t="str">
        <f t="shared" si="105"/>
        <v/>
      </c>
      <c r="AM111" s="6" t="str">
        <f t="shared" si="106"/>
        <v/>
      </c>
      <c r="AN111" s="4" t="str">
        <f t="shared" si="107"/>
        <v/>
      </c>
      <c r="AO111" s="4" t="str">
        <f t="shared" si="108"/>
        <v/>
      </c>
      <c r="AP111" s="4" t="str">
        <f t="shared" si="109"/>
        <v/>
      </c>
      <c r="AQ111" s="4" t="str">
        <f t="shared" si="110"/>
        <v/>
      </c>
      <c r="AR111" s="4" t="str">
        <f t="shared" si="111"/>
        <v/>
      </c>
    </row>
    <row r="112" spans="3:44" s="1" customFormat="1" ht="14.25" x14ac:dyDescent="0.3">
      <c r="C112" s="20"/>
      <c r="E112" s="19"/>
      <c r="F112" s="2"/>
      <c r="G112" s="21"/>
      <c r="H112" s="50"/>
      <c r="I112" s="20"/>
      <c r="J112" s="54"/>
      <c r="K112" s="20"/>
      <c r="L112" s="54"/>
      <c r="O112" s="20"/>
      <c r="P112" s="21"/>
      <c r="R112" s="46"/>
      <c r="S112" s="54"/>
      <c r="T112" s="54"/>
      <c r="U112" s="54"/>
      <c r="V112" s="44"/>
      <c r="W112" s="27"/>
      <c r="Z112" s="27"/>
      <c r="AA112" s="8"/>
      <c r="AB112" s="81" t="str">
        <f t="shared" si="95"/>
        <v/>
      </c>
      <c r="AC112" s="6" t="str">
        <f t="shared" si="96"/>
        <v/>
      </c>
      <c r="AD112" s="1" t="str">
        <f t="shared" ca="1" si="97"/>
        <v/>
      </c>
      <c r="AE112" s="75" t="str">
        <f t="shared" si="98"/>
        <v/>
      </c>
      <c r="AF112" s="75" t="str">
        <f t="shared" si="99"/>
        <v/>
      </c>
      <c r="AG112" s="4" t="str">
        <f t="shared" si="100"/>
        <v/>
      </c>
      <c r="AH112" s="4" t="str">
        <f t="shared" si="101"/>
        <v/>
      </c>
      <c r="AI112" s="4" t="str">
        <f t="shared" si="102"/>
        <v/>
      </c>
      <c r="AJ112" s="4" t="str">
        <f t="shared" si="103"/>
        <v/>
      </c>
      <c r="AK112" s="4" t="str">
        <f t="shared" si="104"/>
        <v/>
      </c>
      <c r="AL112" s="2" t="str">
        <f t="shared" si="105"/>
        <v/>
      </c>
      <c r="AM112" s="6" t="str">
        <f t="shared" si="106"/>
        <v/>
      </c>
      <c r="AN112" s="4" t="str">
        <f t="shared" si="107"/>
        <v/>
      </c>
      <c r="AO112" s="4" t="str">
        <f t="shared" si="108"/>
        <v/>
      </c>
      <c r="AP112" s="4" t="str">
        <f t="shared" si="109"/>
        <v/>
      </c>
      <c r="AQ112" s="4" t="str">
        <f t="shared" si="110"/>
        <v/>
      </c>
      <c r="AR112" s="4" t="str">
        <f t="shared" si="111"/>
        <v/>
      </c>
    </row>
    <row r="113" spans="3:44" s="1" customFormat="1" ht="14.25" x14ac:dyDescent="0.3">
      <c r="C113" s="20"/>
      <c r="E113" s="19"/>
      <c r="F113" s="2"/>
      <c r="G113" s="31"/>
      <c r="H113" s="50"/>
      <c r="I113" s="20"/>
      <c r="J113" s="54"/>
      <c r="K113" s="20"/>
      <c r="L113" s="54"/>
      <c r="O113" s="20"/>
      <c r="P113" s="31"/>
      <c r="R113" s="46"/>
      <c r="S113" s="54"/>
      <c r="T113" s="54"/>
      <c r="U113" s="54"/>
      <c r="V113" s="44"/>
      <c r="W113" s="27"/>
      <c r="Z113" s="27"/>
      <c r="AA113" s="8"/>
      <c r="AB113" s="81" t="str">
        <f t="shared" si="95"/>
        <v/>
      </c>
      <c r="AC113" s="6" t="str">
        <f t="shared" si="96"/>
        <v/>
      </c>
      <c r="AD113" s="1" t="str">
        <f t="shared" ca="1" si="97"/>
        <v/>
      </c>
      <c r="AE113" s="75" t="str">
        <f t="shared" si="98"/>
        <v/>
      </c>
      <c r="AF113" s="75" t="str">
        <f t="shared" si="99"/>
        <v/>
      </c>
      <c r="AG113" s="4" t="str">
        <f t="shared" si="100"/>
        <v/>
      </c>
      <c r="AH113" s="4" t="str">
        <f t="shared" si="101"/>
        <v/>
      </c>
      <c r="AI113" s="4" t="str">
        <f t="shared" si="102"/>
        <v/>
      </c>
      <c r="AJ113" s="4" t="str">
        <f t="shared" si="103"/>
        <v/>
      </c>
      <c r="AK113" s="4" t="str">
        <f t="shared" si="104"/>
        <v/>
      </c>
      <c r="AL113" s="2" t="str">
        <f t="shared" si="105"/>
        <v/>
      </c>
      <c r="AM113" s="6" t="str">
        <f t="shared" si="106"/>
        <v/>
      </c>
      <c r="AN113" s="4" t="str">
        <f t="shared" si="107"/>
        <v/>
      </c>
      <c r="AO113" s="4" t="str">
        <f t="shared" si="108"/>
        <v/>
      </c>
      <c r="AP113" s="4" t="str">
        <f t="shared" si="109"/>
        <v/>
      </c>
      <c r="AQ113" s="4" t="str">
        <f t="shared" si="110"/>
        <v/>
      </c>
      <c r="AR113" s="4" t="str">
        <f t="shared" si="111"/>
        <v/>
      </c>
    </row>
    <row r="114" spans="3:44" s="1" customFormat="1" ht="14.25" x14ac:dyDescent="0.3">
      <c r="C114" s="20"/>
      <c r="E114" s="19"/>
      <c r="F114" s="2"/>
      <c r="G114" s="31"/>
      <c r="H114" s="50"/>
      <c r="I114" s="20"/>
      <c r="J114" s="54"/>
      <c r="K114" s="20"/>
      <c r="L114" s="54"/>
      <c r="O114" s="20"/>
      <c r="P114" s="31"/>
      <c r="R114" s="46"/>
      <c r="S114" s="54"/>
      <c r="T114" s="54"/>
      <c r="U114" s="54"/>
      <c r="V114" s="44"/>
      <c r="W114" s="27"/>
      <c r="Z114" s="27"/>
      <c r="AA114" s="8"/>
      <c r="AB114" s="81" t="str">
        <f t="shared" si="95"/>
        <v/>
      </c>
      <c r="AC114" s="6" t="str">
        <f t="shared" si="96"/>
        <v/>
      </c>
      <c r="AD114" s="1" t="str">
        <f t="shared" ca="1" si="97"/>
        <v/>
      </c>
      <c r="AE114" s="75" t="str">
        <f t="shared" si="98"/>
        <v/>
      </c>
      <c r="AF114" s="75" t="str">
        <f t="shared" si="99"/>
        <v/>
      </c>
      <c r="AG114" s="4" t="str">
        <f t="shared" si="100"/>
        <v/>
      </c>
      <c r="AH114" s="4" t="str">
        <f t="shared" si="101"/>
        <v/>
      </c>
      <c r="AI114" s="4" t="str">
        <f t="shared" si="102"/>
        <v/>
      </c>
      <c r="AJ114" s="4" t="str">
        <f t="shared" si="103"/>
        <v/>
      </c>
      <c r="AK114" s="4" t="str">
        <f t="shared" si="104"/>
        <v/>
      </c>
      <c r="AL114" s="2" t="str">
        <f t="shared" si="105"/>
        <v/>
      </c>
      <c r="AM114" s="6" t="str">
        <f t="shared" si="106"/>
        <v/>
      </c>
      <c r="AN114" s="4" t="str">
        <f t="shared" si="107"/>
        <v/>
      </c>
      <c r="AO114" s="4" t="str">
        <f t="shared" si="108"/>
        <v/>
      </c>
      <c r="AP114" s="4" t="str">
        <f t="shared" si="109"/>
        <v/>
      </c>
      <c r="AQ114" s="4" t="str">
        <f t="shared" si="110"/>
        <v/>
      </c>
      <c r="AR114" s="4" t="str">
        <f t="shared" si="111"/>
        <v/>
      </c>
    </row>
    <row r="115" spans="3:44" s="1" customFormat="1" ht="14.25" x14ac:dyDescent="0.3">
      <c r="C115" s="20"/>
      <c r="E115" s="19"/>
      <c r="F115" s="2"/>
      <c r="G115" s="31"/>
      <c r="H115" s="50"/>
      <c r="I115" s="20"/>
      <c r="J115" s="54"/>
      <c r="K115" s="20"/>
      <c r="L115" s="54"/>
      <c r="O115" s="20"/>
      <c r="P115" s="31"/>
      <c r="R115" s="46"/>
      <c r="S115" s="54"/>
      <c r="T115" s="54"/>
      <c r="U115" s="54"/>
      <c r="V115" s="44"/>
      <c r="W115" s="27"/>
      <c r="Z115" s="27"/>
      <c r="AA115" s="8"/>
      <c r="AB115" s="81" t="str">
        <f t="shared" si="95"/>
        <v/>
      </c>
      <c r="AC115" s="6" t="str">
        <f t="shared" si="96"/>
        <v/>
      </c>
      <c r="AD115" s="1" t="str">
        <f t="shared" ca="1" si="97"/>
        <v/>
      </c>
      <c r="AE115" s="75" t="str">
        <f t="shared" si="98"/>
        <v/>
      </c>
      <c r="AF115" s="75" t="str">
        <f t="shared" si="99"/>
        <v/>
      </c>
      <c r="AG115" s="4" t="str">
        <f t="shared" si="100"/>
        <v/>
      </c>
      <c r="AH115" s="4" t="str">
        <f t="shared" si="101"/>
        <v/>
      </c>
      <c r="AI115" s="4" t="str">
        <f t="shared" si="102"/>
        <v/>
      </c>
      <c r="AJ115" s="4" t="str">
        <f t="shared" si="103"/>
        <v/>
      </c>
      <c r="AK115" s="4" t="str">
        <f t="shared" si="104"/>
        <v/>
      </c>
      <c r="AL115" s="2" t="str">
        <f t="shared" si="105"/>
        <v/>
      </c>
      <c r="AM115" s="6" t="str">
        <f t="shared" si="106"/>
        <v/>
      </c>
      <c r="AN115" s="4" t="str">
        <f t="shared" si="107"/>
        <v/>
      </c>
      <c r="AO115" s="4" t="str">
        <f t="shared" si="108"/>
        <v/>
      </c>
      <c r="AP115" s="4" t="str">
        <f t="shared" si="109"/>
        <v/>
      </c>
      <c r="AQ115" s="4" t="str">
        <f t="shared" si="110"/>
        <v/>
      </c>
      <c r="AR115" s="4" t="str">
        <f t="shared" si="111"/>
        <v/>
      </c>
    </row>
    <row r="116" spans="3:44" s="1" customFormat="1" ht="14.25" x14ac:dyDescent="0.3">
      <c r="C116" s="20"/>
      <c r="E116" s="19"/>
      <c r="F116" s="2"/>
      <c r="G116" s="31"/>
      <c r="H116" s="50"/>
      <c r="I116" s="20"/>
      <c r="J116" s="54"/>
      <c r="K116" s="20"/>
      <c r="L116" s="54"/>
      <c r="O116" s="20"/>
      <c r="P116" s="31"/>
      <c r="R116" s="46"/>
      <c r="S116" s="54"/>
      <c r="T116" s="54"/>
      <c r="U116" s="54"/>
      <c r="V116" s="44"/>
      <c r="W116" s="27"/>
      <c r="Z116" s="27"/>
      <c r="AA116" s="8"/>
      <c r="AB116" s="81" t="str">
        <f t="shared" si="95"/>
        <v/>
      </c>
      <c r="AC116" s="6" t="str">
        <f t="shared" si="96"/>
        <v/>
      </c>
      <c r="AD116" s="1" t="str">
        <f t="shared" ca="1" si="97"/>
        <v/>
      </c>
      <c r="AE116" s="75" t="str">
        <f t="shared" si="98"/>
        <v/>
      </c>
      <c r="AF116" s="75" t="str">
        <f t="shared" si="99"/>
        <v/>
      </c>
      <c r="AG116" s="4" t="str">
        <f t="shared" si="100"/>
        <v/>
      </c>
      <c r="AH116" s="4" t="str">
        <f t="shared" si="101"/>
        <v/>
      </c>
      <c r="AI116" s="4" t="str">
        <f t="shared" si="102"/>
        <v/>
      </c>
      <c r="AJ116" s="4" t="str">
        <f t="shared" si="103"/>
        <v/>
      </c>
      <c r="AK116" s="4" t="str">
        <f t="shared" si="104"/>
        <v/>
      </c>
      <c r="AL116" s="2" t="str">
        <f t="shared" si="105"/>
        <v/>
      </c>
      <c r="AM116" s="6" t="str">
        <f t="shared" si="106"/>
        <v/>
      </c>
      <c r="AN116" s="4" t="str">
        <f t="shared" si="107"/>
        <v/>
      </c>
      <c r="AO116" s="4" t="str">
        <f t="shared" si="108"/>
        <v/>
      </c>
      <c r="AP116" s="4" t="str">
        <f t="shared" si="109"/>
        <v/>
      </c>
      <c r="AQ116" s="4" t="str">
        <f t="shared" si="110"/>
        <v/>
      </c>
      <c r="AR116" s="4" t="str">
        <f t="shared" si="111"/>
        <v/>
      </c>
    </row>
    <row r="117" spans="3:44" s="1" customFormat="1" ht="14.25" x14ac:dyDescent="0.3">
      <c r="C117" s="20"/>
      <c r="E117" s="19"/>
      <c r="F117" s="2"/>
      <c r="G117" s="31"/>
      <c r="H117" s="50"/>
      <c r="I117" s="20"/>
      <c r="J117" s="54"/>
      <c r="K117" s="20"/>
      <c r="L117" s="54"/>
      <c r="O117" s="20"/>
      <c r="P117" s="31"/>
      <c r="R117" s="46"/>
      <c r="S117" s="54"/>
      <c r="T117" s="54"/>
      <c r="U117" s="54"/>
      <c r="V117" s="44"/>
      <c r="W117" s="27"/>
      <c r="Z117" s="27"/>
      <c r="AA117" s="8"/>
      <c r="AB117" s="81" t="str">
        <f t="shared" si="95"/>
        <v/>
      </c>
      <c r="AC117" s="6" t="str">
        <f t="shared" si="96"/>
        <v/>
      </c>
      <c r="AD117" s="1" t="str">
        <f t="shared" ca="1" si="97"/>
        <v/>
      </c>
      <c r="AE117" s="75" t="str">
        <f t="shared" si="98"/>
        <v/>
      </c>
      <c r="AF117" s="75" t="str">
        <f t="shared" si="99"/>
        <v/>
      </c>
      <c r="AG117" s="4" t="str">
        <f t="shared" si="100"/>
        <v/>
      </c>
      <c r="AH117" s="4" t="str">
        <f t="shared" si="101"/>
        <v/>
      </c>
      <c r="AI117" s="4" t="str">
        <f t="shared" si="102"/>
        <v/>
      </c>
      <c r="AJ117" s="4" t="str">
        <f t="shared" si="103"/>
        <v/>
      </c>
      <c r="AK117" s="4" t="str">
        <f t="shared" si="104"/>
        <v/>
      </c>
      <c r="AL117" s="2" t="str">
        <f t="shared" si="105"/>
        <v/>
      </c>
      <c r="AM117" s="6" t="str">
        <f t="shared" si="106"/>
        <v/>
      </c>
      <c r="AN117" s="4" t="str">
        <f t="shared" si="107"/>
        <v/>
      </c>
      <c r="AO117" s="4" t="str">
        <f t="shared" si="108"/>
        <v/>
      </c>
      <c r="AP117" s="4" t="str">
        <f t="shared" si="109"/>
        <v/>
      </c>
      <c r="AQ117" s="4" t="str">
        <f t="shared" si="110"/>
        <v/>
      </c>
      <c r="AR117" s="4" t="str">
        <f t="shared" si="111"/>
        <v/>
      </c>
    </row>
    <row r="118" spans="3:44" s="1" customFormat="1" ht="14.25" x14ac:dyDescent="0.3">
      <c r="C118" s="20"/>
      <c r="E118" s="19"/>
      <c r="F118" s="2"/>
      <c r="G118" s="31"/>
      <c r="H118" s="50"/>
      <c r="I118" s="20"/>
      <c r="J118" s="54"/>
      <c r="K118" s="20"/>
      <c r="L118" s="54"/>
      <c r="O118" s="20"/>
      <c r="P118" s="31"/>
      <c r="R118" s="46"/>
      <c r="S118" s="54"/>
      <c r="T118" s="54"/>
      <c r="U118" s="54"/>
      <c r="V118" s="44"/>
      <c r="W118" s="27"/>
      <c r="Z118" s="27"/>
      <c r="AA118" s="8"/>
      <c r="AB118" s="81" t="str">
        <f t="shared" ref="AB118:AB124" si="112">IF(X118="","",(AH118-AG118)/AG118)</f>
        <v/>
      </c>
      <c r="AC118" s="6" t="str">
        <f t="shared" ref="AC118:AC124" si="113">IF(X118="","",AH118-AG118)</f>
        <v/>
      </c>
      <c r="AD118" s="1" t="str">
        <f t="shared" ref="AD118:AD124" ca="1" si="114">IF(X118="","",IF(W118="","",IF(Z118="",TODAY()-W118,Z118-W118)))</f>
        <v/>
      </c>
      <c r="AE118" s="75" t="str">
        <f t="shared" ref="AE118:AE124" si="115">IF(X118="","",IF(AE117="",IF(AM118="","",AM118),IF(AM118="",AE117,AE117+AM118)))</f>
        <v/>
      </c>
      <c r="AF118" s="75" t="str">
        <f t="shared" ref="AF118:AF124" si="116">IF(X118="","",IF(AF117="",IF(AN118="","",AN118),IF(AN118="",AF117,AF117+AN118)))</f>
        <v/>
      </c>
      <c r="AG118" s="4" t="str">
        <f t="shared" ref="AG118:AG124" si="117">IF(X118="","",X118*Y118*100+AO118+AP118)</f>
        <v/>
      </c>
      <c r="AH118" s="4" t="str">
        <f t="shared" ref="AH118:AH124" si="118">IF(X118="","",IF(AA118="",C118*Y118*100-AO118-AQ118-AR118,AA118*Y118*100-AO118-AQ118-AR118))</f>
        <v/>
      </c>
      <c r="AI118" s="4" t="str">
        <f t="shared" ref="AI118:AI124" si="119">IF(X118="","",AI117+AC118)</f>
        <v/>
      </c>
      <c r="AJ118" s="4" t="str">
        <f t="shared" ref="AJ118:AJ124" si="120">IF(X118="","",AO118+AP118+AO118+AQ118+AR118)</f>
        <v/>
      </c>
      <c r="AK118" s="4" t="str">
        <f t="shared" ref="AK118:AK124" si="121">IF(X118="","",AK117+AJ118)</f>
        <v/>
      </c>
      <c r="AL118" s="2" t="str">
        <f t="shared" ref="AL118:AL124" si="122">IF(X118="","",0.18%)</f>
        <v/>
      </c>
      <c r="AM118" s="6" t="str">
        <f t="shared" ref="AM118:AM124" si="123">IF(X118="","",IF(Z118="",AC118,""))</f>
        <v/>
      </c>
      <c r="AN118" s="4" t="str">
        <f t="shared" ref="AN118:AN124" si="124">IF(X118="","",IF(Z118="",AH118,""))</f>
        <v/>
      </c>
      <c r="AO118" s="4" t="str">
        <f t="shared" ref="AO118:AO124" si="125">IF(X118="","",IF(LEFT(A118,2)="sh",IF(Y118*100/1000&lt;=1,1,Y118*100/1000),0))</f>
        <v/>
      </c>
      <c r="AP118" s="4" t="str">
        <f t="shared" ref="AP118:AP124" si="126">IF(X118="","",IF(X118*Y118*100*AL118&lt;=5,5,X118*Y118*100*AL118))</f>
        <v/>
      </c>
      <c r="AQ118" s="4" t="str">
        <f t="shared" ref="AQ118:AQ124" si="127">IF(X118="","",IF(AA118="",IF(C118*Y118*100*AL118&lt;=5,5,C118*Y118*100*AL118),IF(AA118*Y118*100*AL118&lt;=5,5,AA118*Y118*100*AL118)))</f>
        <v/>
      </c>
      <c r="AR118" s="4" t="str">
        <f t="shared" ref="AR118:AR124" si="128">IF(X118="","",IF(AA118="",C118*Y118*100*0.001,AA118*Y118*100*0.001))</f>
        <v/>
      </c>
    </row>
    <row r="119" spans="3:44" s="1" customFormat="1" ht="14.25" x14ac:dyDescent="0.3">
      <c r="C119" s="20"/>
      <c r="E119" s="19"/>
      <c r="F119" s="2"/>
      <c r="G119" s="31"/>
      <c r="H119" s="50"/>
      <c r="I119" s="20"/>
      <c r="J119" s="54"/>
      <c r="K119" s="20"/>
      <c r="L119" s="54"/>
      <c r="O119" s="20"/>
      <c r="P119" s="31"/>
      <c r="R119" s="46"/>
      <c r="S119" s="54"/>
      <c r="T119" s="54"/>
      <c r="U119" s="54"/>
      <c r="V119" s="44"/>
      <c r="W119" s="27"/>
      <c r="Z119" s="27"/>
      <c r="AA119" s="8"/>
      <c r="AB119" s="81" t="str">
        <f t="shared" si="112"/>
        <v/>
      </c>
      <c r="AC119" s="6" t="str">
        <f t="shared" si="113"/>
        <v/>
      </c>
      <c r="AD119" s="1" t="str">
        <f t="shared" ca="1" si="114"/>
        <v/>
      </c>
      <c r="AE119" s="75" t="str">
        <f t="shared" si="115"/>
        <v/>
      </c>
      <c r="AF119" s="75" t="str">
        <f t="shared" si="116"/>
        <v/>
      </c>
      <c r="AG119" s="4" t="str">
        <f t="shared" si="117"/>
        <v/>
      </c>
      <c r="AH119" s="4" t="str">
        <f t="shared" si="118"/>
        <v/>
      </c>
      <c r="AI119" s="4" t="str">
        <f t="shared" si="119"/>
        <v/>
      </c>
      <c r="AJ119" s="4" t="str">
        <f t="shared" si="120"/>
        <v/>
      </c>
      <c r="AK119" s="4" t="str">
        <f t="shared" si="121"/>
        <v/>
      </c>
      <c r="AL119" s="2" t="str">
        <f t="shared" si="122"/>
        <v/>
      </c>
      <c r="AM119" s="6" t="str">
        <f t="shared" si="123"/>
        <v/>
      </c>
      <c r="AN119" s="4" t="str">
        <f t="shared" si="124"/>
        <v/>
      </c>
      <c r="AO119" s="4" t="str">
        <f t="shared" si="125"/>
        <v/>
      </c>
      <c r="AP119" s="4" t="str">
        <f t="shared" si="126"/>
        <v/>
      </c>
      <c r="AQ119" s="4" t="str">
        <f t="shared" si="127"/>
        <v/>
      </c>
      <c r="AR119" s="4" t="str">
        <f t="shared" si="128"/>
        <v/>
      </c>
    </row>
    <row r="120" spans="3:44" s="1" customFormat="1" ht="14.25" x14ac:dyDescent="0.3">
      <c r="C120" s="20"/>
      <c r="E120" s="19"/>
      <c r="F120" s="2"/>
      <c r="G120" s="31"/>
      <c r="H120" s="50"/>
      <c r="I120" s="20"/>
      <c r="J120" s="54"/>
      <c r="K120" s="20"/>
      <c r="L120" s="54"/>
      <c r="O120" s="20"/>
      <c r="P120" s="31"/>
      <c r="R120" s="46"/>
      <c r="S120" s="54"/>
      <c r="T120" s="54"/>
      <c r="U120" s="54"/>
      <c r="V120" s="44"/>
      <c r="W120" s="27"/>
      <c r="Z120" s="27"/>
      <c r="AA120" s="8"/>
      <c r="AB120" s="81" t="str">
        <f t="shared" si="112"/>
        <v/>
      </c>
      <c r="AC120" s="6" t="str">
        <f t="shared" si="113"/>
        <v/>
      </c>
      <c r="AD120" s="1" t="str">
        <f t="shared" ca="1" si="114"/>
        <v/>
      </c>
      <c r="AE120" s="75" t="str">
        <f t="shared" si="115"/>
        <v/>
      </c>
      <c r="AF120" s="75" t="str">
        <f t="shared" si="116"/>
        <v/>
      </c>
      <c r="AG120" s="4" t="str">
        <f t="shared" si="117"/>
        <v/>
      </c>
      <c r="AH120" s="4" t="str">
        <f t="shared" si="118"/>
        <v/>
      </c>
      <c r="AI120" s="4" t="str">
        <f t="shared" si="119"/>
        <v/>
      </c>
      <c r="AJ120" s="4" t="str">
        <f t="shared" si="120"/>
        <v/>
      </c>
      <c r="AK120" s="4" t="str">
        <f t="shared" si="121"/>
        <v/>
      </c>
      <c r="AL120" s="2" t="str">
        <f t="shared" si="122"/>
        <v/>
      </c>
      <c r="AM120" s="6" t="str">
        <f t="shared" si="123"/>
        <v/>
      </c>
      <c r="AN120" s="4" t="str">
        <f t="shared" si="124"/>
        <v/>
      </c>
      <c r="AO120" s="4" t="str">
        <f t="shared" si="125"/>
        <v/>
      </c>
      <c r="AP120" s="4" t="str">
        <f t="shared" si="126"/>
        <v/>
      </c>
      <c r="AQ120" s="4" t="str">
        <f t="shared" si="127"/>
        <v/>
      </c>
      <c r="AR120" s="4" t="str">
        <f t="shared" si="128"/>
        <v/>
      </c>
    </row>
    <row r="121" spans="3:44" s="1" customFormat="1" ht="14.25" x14ac:dyDescent="0.3">
      <c r="C121" s="20"/>
      <c r="E121" s="19"/>
      <c r="F121" s="2"/>
      <c r="G121" s="21"/>
      <c r="H121" s="50"/>
      <c r="I121" s="20"/>
      <c r="J121" s="54"/>
      <c r="K121" s="20"/>
      <c r="L121" s="54"/>
      <c r="O121" s="20"/>
      <c r="P121" s="21"/>
      <c r="R121" s="46"/>
      <c r="S121" s="54"/>
      <c r="T121" s="54"/>
      <c r="U121" s="54"/>
      <c r="V121" s="44"/>
      <c r="W121" s="27"/>
      <c r="Z121" s="27"/>
      <c r="AA121" s="8"/>
      <c r="AB121" s="81" t="str">
        <f t="shared" si="112"/>
        <v/>
      </c>
      <c r="AC121" s="6" t="str">
        <f t="shared" si="113"/>
        <v/>
      </c>
      <c r="AD121" s="1" t="str">
        <f t="shared" ca="1" si="114"/>
        <v/>
      </c>
      <c r="AE121" s="75" t="str">
        <f t="shared" si="115"/>
        <v/>
      </c>
      <c r="AF121" s="75" t="str">
        <f t="shared" si="116"/>
        <v/>
      </c>
      <c r="AG121" s="4" t="str">
        <f t="shared" si="117"/>
        <v/>
      </c>
      <c r="AH121" s="4" t="str">
        <f t="shared" si="118"/>
        <v/>
      </c>
      <c r="AI121" s="4" t="str">
        <f t="shared" si="119"/>
        <v/>
      </c>
      <c r="AJ121" s="4" t="str">
        <f t="shared" si="120"/>
        <v/>
      </c>
      <c r="AK121" s="4" t="str">
        <f t="shared" si="121"/>
        <v/>
      </c>
      <c r="AL121" s="2" t="str">
        <f t="shared" si="122"/>
        <v/>
      </c>
      <c r="AM121" s="6" t="str">
        <f t="shared" si="123"/>
        <v/>
      </c>
      <c r="AN121" s="4" t="str">
        <f t="shared" si="124"/>
        <v/>
      </c>
      <c r="AO121" s="4" t="str">
        <f t="shared" si="125"/>
        <v/>
      </c>
      <c r="AP121" s="4" t="str">
        <f t="shared" si="126"/>
        <v/>
      </c>
      <c r="AQ121" s="4" t="str">
        <f t="shared" si="127"/>
        <v/>
      </c>
      <c r="AR121" s="4" t="str">
        <f t="shared" si="128"/>
        <v/>
      </c>
    </row>
    <row r="122" spans="3:44" s="1" customFormat="1" ht="14.25" x14ac:dyDescent="0.3">
      <c r="C122" s="20"/>
      <c r="E122" s="19"/>
      <c r="F122" s="2"/>
      <c r="G122" s="21"/>
      <c r="H122" s="50"/>
      <c r="I122" s="20"/>
      <c r="J122" s="54"/>
      <c r="K122" s="20"/>
      <c r="L122" s="54"/>
      <c r="O122" s="20"/>
      <c r="P122" s="21"/>
      <c r="R122" s="46"/>
      <c r="S122" s="54"/>
      <c r="T122" s="54"/>
      <c r="U122" s="54"/>
      <c r="V122" s="44"/>
      <c r="W122" s="27"/>
      <c r="Z122" s="27"/>
      <c r="AA122" s="8"/>
      <c r="AB122" s="81" t="str">
        <f t="shared" si="112"/>
        <v/>
      </c>
      <c r="AC122" s="6" t="str">
        <f t="shared" si="113"/>
        <v/>
      </c>
      <c r="AD122" s="1" t="str">
        <f t="shared" ca="1" si="114"/>
        <v/>
      </c>
      <c r="AE122" s="75" t="str">
        <f t="shared" si="115"/>
        <v/>
      </c>
      <c r="AF122" s="75" t="str">
        <f t="shared" si="116"/>
        <v/>
      </c>
      <c r="AG122" s="4" t="str">
        <f t="shared" si="117"/>
        <v/>
      </c>
      <c r="AH122" s="4" t="str">
        <f t="shared" si="118"/>
        <v/>
      </c>
      <c r="AI122" s="4" t="str">
        <f t="shared" si="119"/>
        <v/>
      </c>
      <c r="AJ122" s="4" t="str">
        <f t="shared" si="120"/>
        <v/>
      </c>
      <c r="AK122" s="4" t="str">
        <f t="shared" si="121"/>
        <v/>
      </c>
      <c r="AL122" s="2" t="str">
        <f t="shared" si="122"/>
        <v/>
      </c>
      <c r="AM122" s="6" t="str">
        <f t="shared" si="123"/>
        <v/>
      </c>
      <c r="AN122" s="4" t="str">
        <f t="shared" si="124"/>
        <v/>
      </c>
      <c r="AO122" s="4" t="str">
        <f t="shared" si="125"/>
        <v/>
      </c>
      <c r="AP122" s="4" t="str">
        <f t="shared" si="126"/>
        <v/>
      </c>
      <c r="AQ122" s="4" t="str">
        <f t="shared" si="127"/>
        <v/>
      </c>
      <c r="AR122" s="4" t="str">
        <f t="shared" si="128"/>
        <v/>
      </c>
    </row>
    <row r="123" spans="3:44" s="1" customFormat="1" ht="14.25" x14ac:dyDescent="0.3">
      <c r="C123" s="20"/>
      <c r="E123" s="23"/>
      <c r="F123" s="2"/>
      <c r="G123" s="31"/>
      <c r="H123" s="50"/>
      <c r="I123" s="20"/>
      <c r="J123" s="54"/>
      <c r="K123" s="20"/>
      <c r="L123" s="54"/>
      <c r="O123" s="31"/>
      <c r="P123" s="31"/>
      <c r="R123" s="46"/>
      <c r="S123" s="54"/>
      <c r="T123" s="54"/>
      <c r="U123" s="54"/>
      <c r="V123" s="44"/>
      <c r="W123" s="27"/>
      <c r="Z123" s="27"/>
      <c r="AA123" s="8"/>
      <c r="AB123" s="81" t="str">
        <f t="shared" si="112"/>
        <v/>
      </c>
      <c r="AC123" s="6" t="str">
        <f t="shared" si="113"/>
        <v/>
      </c>
      <c r="AD123" s="1" t="str">
        <f t="shared" ca="1" si="114"/>
        <v/>
      </c>
      <c r="AE123" s="75" t="str">
        <f t="shared" si="115"/>
        <v/>
      </c>
      <c r="AF123" s="75" t="str">
        <f t="shared" si="116"/>
        <v/>
      </c>
      <c r="AG123" s="4" t="str">
        <f t="shared" si="117"/>
        <v/>
      </c>
      <c r="AH123" s="4" t="str">
        <f t="shared" si="118"/>
        <v/>
      </c>
      <c r="AI123" s="4" t="str">
        <f t="shared" si="119"/>
        <v/>
      </c>
      <c r="AJ123" s="4" t="str">
        <f t="shared" si="120"/>
        <v/>
      </c>
      <c r="AK123" s="4" t="str">
        <f t="shared" si="121"/>
        <v/>
      </c>
      <c r="AL123" s="2" t="str">
        <f t="shared" si="122"/>
        <v/>
      </c>
      <c r="AM123" s="6" t="str">
        <f t="shared" si="123"/>
        <v/>
      </c>
      <c r="AN123" s="4" t="str">
        <f t="shared" si="124"/>
        <v/>
      </c>
      <c r="AO123" s="4" t="str">
        <f t="shared" si="125"/>
        <v/>
      </c>
      <c r="AP123" s="4" t="str">
        <f t="shared" si="126"/>
        <v/>
      </c>
      <c r="AQ123" s="4" t="str">
        <f t="shared" si="127"/>
        <v/>
      </c>
      <c r="AR123" s="4" t="str">
        <f t="shared" si="128"/>
        <v/>
      </c>
    </row>
    <row r="124" spans="3:44" s="1" customFormat="1" ht="14.25" x14ac:dyDescent="0.3">
      <c r="C124" s="21"/>
      <c r="E124" s="22"/>
      <c r="F124" s="2"/>
      <c r="G124" s="20"/>
      <c r="H124" s="50"/>
      <c r="I124" s="21"/>
      <c r="J124" s="54"/>
      <c r="K124" s="21"/>
      <c r="L124" s="54"/>
      <c r="O124" s="20"/>
      <c r="P124" s="21"/>
      <c r="R124" s="46"/>
      <c r="S124" s="54"/>
      <c r="T124" s="54"/>
      <c r="U124" s="54"/>
      <c r="V124" s="44"/>
      <c r="W124" s="27"/>
      <c r="Z124" s="27"/>
      <c r="AA124" s="8"/>
      <c r="AB124" s="81" t="str">
        <f t="shared" si="112"/>
        <v/>
      </c>
      <c r="AC124" s="6" t="str">
        <f t="shared" si="113"/>
        <v/>
      </c>
      <c r="AD124" s="1" t="str">
        <f t="shared" ca="1" si="114"/>
        <v/>
      </c>
      <c r="AE124" s="75" t="str">
        <f t="shared" si="115"/>
        <v/>
      </c>
      <c r="AF124" s="75" t="str">
        <f t="shared" si="116"/>
        <v/>
      </c>
      <c r="AG124" s="4" t="str">
        <f t="shared" si="117"/>
        <v/>
      </c>
      <c r="AH124" s="4" t="str">
        <f t="shared" si="118"/>
        <v/>
      </c>
      <c r="AI124" s="4" t="str">
        <f t="shared" si="119"/>
        <v/>
      </c>
      <c r="AJ124" s="4" t="str">
        <f t="shared" si="120"/>
        <v/>
      </c>
      <c r="AK124" s="4" t="str">
        <f t="shared" si="121"/>
        <v/>
      </c>
      <c r="AL124" s="2" t="str">
        <f t="shared" si="122"/>
        <v/>
      </c>
      <c r="AM124" s="6" t="str">
        <f t="shared" si="123"/>
        <v/>
      </c>
      <c r="AN124" s="4" t="str">
        <f t="shared" si="124"/>
        <v/>
      </c>
      <c r="AO124" s="4" t="str">
        <f t="shared" si="125"/>
        <v/>
      </c>
      <c r="AP124" s="4" t="str">
        <f t="shared" si="126"/>
        <v/>
      </c>
      <c r="AQ124" s="4" t="str">
        <f t="shared" si="127"/>
        <v/>
      </c>
      <c r="AR124" s="4" t="str">
        <f t="shared" si="128"/>
        <v/>
      </c>
    </row>
    <row r="125" spans="3:44" s="1" customFormat="1" ht="14.25" x14ac:dyDescent="0.3">
      <c r="C125" s="21"/>
      <c r="E125" s="22"/>
      <c r="F125" s="2"/>
      <c r="G125" s="20"/>
      <c r="H125" s="50"/>
      <c r="I125" s="21"/>
      <c r="J125" s="54"/>
      <c r="K125" s="21"/>
      <c r="L125" s="54"/>
      <c r="O125" s="20"/>
      <c r="P125" s="21"/>
      <c r="R125" s="46"/>
      <c r="S125" s="54"/>
      <c r="T125" s="54"/>
      <c r="U125" s="54"/>
      <c r="V125" s="44"/>
      <c r="W125" s="27"/>
      <c r="Z125" s="27"/>
      <c r="AA125" s="8"/>
      <c r="AB125" s="81" t="str">
        <f t="shared" ref="AB125:AB188" si="129">IF(X125="","",(AH125-AG125)/AG125)</f>
        <v/>
      </c>
      <c r="AC125" s="6" t="str">
        <f t="shared" ref="AC125:AC188" si="130">IF(X125="","",AH125-AG125)</f>
        <v/>
      </c>
      <c r="AD125" s="1" t="str">
        <f t="shared" ref="AD125:AD188" ca="1" si="131">IF(X125="","",IF(W125="","",IF(Z125="",TODAY()-W125,Z125-W125)))</f>
        <v/>
      </c>
      <c r="AE125" s="75" t="str">
        <f t="shared" ref="AE125:AE188" si="132">IF(X125="","",IF(AE124="",IF(AM125="","",AM125),IF(AM125="",AE124,AE124+AM125)))</f>
        <v/>
      </c>
      <c r="AF125" s="75" t="str">
        <f t="shared" ref="AF125:AF188" si="133">IF(X125="","",IF(AF124="",IF(AN125="","",AN125),IF(AN125="",AF124,AF124+AN125)))</f>
        <v/>
      </c>
      <c r="AG125" s="4" t="str">
        <f t="shared" ref="AG125:AG188" si="134">IF(X125="","",X125*Y125*100+AO125+AP125)</f>
        <v/>
      </c>
      <c r="AH125" s="4" t="str">
        <f t="shared" ref="AH125:AH188" si="135">IF(X125="","",IF(AA125="",C125*Y125*100-AO125-AQ125-AR125,AA125*Y125*100-AO125-AQ125-AR125))</f>
        <v/>
      </c>
      <c r="AI125" s="4" t="str">
        <f t="shared" ref="AI125:AI188" si="136">IF(X125="","",AI124+AC125)</f>
        <v/>
      </c>
      <c r="AJ125" s="4" t="str">
        <f t="shared" ref="AJ125:AJ188" si="137">IF(X125="","",AO125+AP125+AO125+AQ125+AR125)</f>
        <v/>
      </c>
      <c r="AK125" s="4" t="str">
        <f t="shared" ref="AK125:AK188" si="138">IF(X125="","",AK124+AJ125)</f>
        <v/>
      </c>
      <c r="AL125" s="2" t="str">
        <f t="shared" ref="AL125:AL188" si="139">IF(X125="","",0.18%)</f>
        <v/>
      </c>
      <c r="AM125" s="6" t="str">
        <f t="shared" ref="AM125:AM188" si="140">IF(X125="","",IF(Z125="",AC125,""))</f>
        <v/>
      </c>
      <c r="AN125" s="4" t="str">
        <f t="shared" ref="AN125:AN188" si="141">IF(X125="","",IF(Z125="",AH125,""))</f>
        <v/>
      </c>
      <c r="AO125" s="4" t="str">
        <f t="shared" ref="AO125:AO188" si="142">IF(X125="","",IF(LEFT(A125,2)="sh",IF(Y125*100/1000&lt;=1,1,Y125*100/1000),0))</f>
        <v/>
      </c>
      <c r="AP125" s="4" t="str">
        <f t="shared" ref="AP125:AP188" si="143">IF(X125="","",IF(X125*Y125*100*AL125&lt;=5,5,X125*Y125*100*AL125))</f>
        <v/>
      </c>
      <c r="AQ125" s="4" t="str">
        <f t="shared" ref="AQ125:AQ188" si="144">IF(X125="","",IF(AA125="",IF(C125*Y125*100*AL125&lt;=5,5,C125*Y125*100*AL125),IF(AA125*Y125*100*AL125&lt;=5,5,AA125*Y125*100*AL125)))</f>
        <v/>
      </c>
      <c r="AR125" s="4" t="str">
        <f t="shared" ref="AR125:AR188" si="145">IF(X125="","",IF(AA125="",C125*Y125*100*0.001,AA125*Y125*100*0.001))</f>
        <v/>
      </c>
    </row>
    <row r="126" spans="3:44" s="1" customFormat="1" ht="14.25" x14ac:dyDescent="0.3">
      <c r="C126" s="21"/>
      <c r="E126" s="22"/>
      <c r="F126" s="2"/>
      <c r="G126" s="20"/>
      <c r="H126" s="50"/>
      <c r="I126" s="21"/>
      <c r="J126" s="54"/>
      <c r="K126" s="21"/>
      <c r="L126" s="54"/>
      <c r="O126" s="20"/>
      <c r="P126" s="21"/>
      <c r="R126" s="46"/>
      <c r="S126" s="54"/>
      <c r="T126" s="54"/>
      <c r="U126" s="54"/>
      <c r="V126" s="44"/>
      <c r="W126" s="27"/>
      <c r="Z126" s="27"/>
      <c r="AA126" s="8"/>
      <c r="AB126" s="81" t="str">
        <f t="shared" si="129"/>
        <v/>
      </c>
      <c r="AC126" s="6" t="str">
        <f t="shared" si="130"/>
        <v/>
      </c>
      <c r="AD126" s="1" t="str">
        <f t="shared" ca="1" si="131"/>
        <v/>
      </c>
      <c r="AE126" s="75" t="str">
        <f t="shared" si="132"/>
        <v/>
      </c>
      <c r="AF126" s="75" t="str">
        <f t="shared" si="133"/>
        <v/>
      </c>
      <c r="AG126" s="4" t="str">
        <f t="shared" si="134"/>
        <v/>
      </c>
      <c r="AH126" s="4" t="str">
        <f t="shared" si="135"/>
        <v/>
      </c>
      <c r="AI126" s="4" t="str">
        <f t="shared" si="136"/>
        <v/>
      </c>
      <c r="AJ126" s="4" t="str">
        <f t="shared" si="137"/>
        <v/>
      </c>
      <c r="AK126" s="4" t="str">
        <f t="shared" si="138"/>
        <v/>
      </c>
      <c r="AL126" s="2" t="str">
        <f t="shared" si="139"/>
        <v/>
      </c>
      <c r="AM126" s="6" t="str">
        <f t="shared" si="140"/>
        <v/>
      </c>
      <c r="AN126" s="4" t="str">
        <f t="shared" si="141"/>
        <v/>
      </c>
      <c r="AO126" s="4" t="str">
        <f t="shared" si="142"/>
        <v/>
      </c>
      <c r="AP126" s="4" t="str">
        <f t="shared" si="143"/>
        <v/>
      </c>
      <c r="AQ126" s="4" t="str">
        <f t="shared" si="144"/>
        <v/>
      </c>
      <c r="AR126" s="4" t="str">
        <f t="shared" si="145"/>
        <v/>
      </c>
    </row>
    <row r="127" spans="3:44" s="1" customFormat="1" ht="14.25" x14ac:dyDescent="0.3">
      <c r="C127" s="21"/>
      <c r="E127" s="22"/>
      <c r="F127" s="2"/>
      <c r="G127" s="20"/>
      <c r="H127" s="50"/>
      <c r="I127" s="21"/>
      <c r="J127" s="54"/>
      <c r="K127" s="21"/>
      <c r="L127" s="54"/>
      <c r="O127" s="20"/>
      <c r="P127" s="21"/>
      <c r="R127" s="46"/>
      <c r="S127" s="54"/>
      <c r="T127" s="54"/>
      <c r="U127" s="54"/>
      <c r="V127" s="44"/>
      <c r="W127" s="27"/>
      <c r="Z127" s="27"/>
      <c r="AA127" s="8"/>
      <c r="AB127" s="81" t="str">
        <f t="shared" si="129"/>
        <v/>
      </c>
      <c r="AC127" s="6" t="str">
        <f t="shared" si="130"/>
        <v/>
      </c>
      <c r="AD127" s="1" t="str">
        <f t="shared" ca="1" si="131"/>
        <v/>
      </c>
      <c r="AE127" s="75" t="str">
        <f t="shared" si="132"/>
        <v/>
      </c>
      <c r="AF127" s="75" t="str">
        <f t="shared" si="133"/>
        <v/>
      </c>
      <c r="AG127" s="4" t="str">
        <f t="shared" si="134"/>
        <v/>
      </c>
      <c r="AH127" s="4" t="str">
        <f t="shared" si="135"/>
        <v/>
      </c>
      <c r="AI127" s="4" t="str">
        <f t="shared" si="136"/>
        <v/>
      </c>
      <c r="AJ127" s="4" t="str">
        <f t="shared" si="137"/>
        <v/>
      </c>
      <c r="AK127" s="4" t="str">
        <f t="shared" si="138"/>
        <v/>
      </c>
      <c r="AL127" s="2" t="str">
        <f t="shared" si="139"/>
        <v/>
      </c>
      <c r="AM127" s="6" t="str">
        <f t="shared" si="140"/>
        <v/>
      </c>
      <c r="AN127" s="4" t="str">
        <f t="shared" si="141"/>
        <v/>
      </c>
      <c r="AO127" s="4" t="str">
        <f t="shared" si="142"/>
        <v/>
      </c>
      <c r="AP127" s="4" t="str">
        <f t="shared" si="143"/>
        <v/>
      </c>
      <c r="AQ127" s="4" t="str">
        <f t="shared" si="144"/>
        <v/>
      </c>
      <c r="AR127" s="4" t="str">
        <f t="shared" si="145"/>
        <v/>
      </c>
    </row>
    <row r="128" spans="3:44" s="1" customFormat="1" ht="14.25" x14ac:dyDescent="0.3">
      <c r="C128" s="21"/>
      <c r="E128" s="22"/>
      <c r="F128" s="2"/>
      <c r="G128" s="20"/>
      <c r="H128" s="50"/>
      <c r="I128" s="21"/>
      <c r="J128" s="54"/>
      <c r="K128" s="21"/>
      <c r="L128" s="54"/>
      <c r="O128" s="20"/>
      <c r="P128" s="21"/>
      <c r="R128" s="46"/>
      <c r="S128" s="54"/>
      <c r="T128" s="54"/>
      <c r="U128" s="54"/>
      <c r="V128" s="44"/>
      <c r="W128" s="27"/>
      <c r="Z128" s="27"/>
      <c r="AA128" s="8"/>
      <c r="AB128" s="81" t="str">
        <f t="shared" si="129"/>
        <v/>
      </c>
      <c r="AC128" s="6" t="str">
        <f t="shared" si="130"/>
        <v/>
      </c>
      <c r="AD128" s="1" t="str">
        <f t="shared" ca="1" si="131"/>
        <v/>
      </c>
      <c r="AE128" s="75" t="str">
        <f t="shared" si="132"/>
        <v/>
      </c>
      <c r="AF128" s="75" t="str">
        <f t="shared" si="133"/>
        <v/>
      </c>
      <c r="AG128" s="4" t="str">
        <f t="shared" si="134"/>
        <v/>
      </c>
      <c r="AH128" s="4" t="str">
        <f t="shared" si="135"/>
        <v/>
      </c>
      <c r="AI128" s="4" t="str">
        <f t="shared" si="136"/>
        <v/>
      </c>
      <c r="AJ128" s="4" t="str">
        <f t="shared" si="137"/>
        <v/>
      </c>
      <c r="AK128" s="4" t="str">
        <f t="shared" si="138"/>
        <v/>
      </c>
      <c r="AL128" s="2" t="str">
        <f t="shared" si="139"/>
        <v/>
      </c>
      <c r="AM128" s="6" t="str">
        <f t="shared" si="140"/>
        <v/>
      </c>
      <c r="AN128" s="4" t="str">
        <f t="shared" si="141"/>
        <v/>
      </c>
      <c r="AO128" s="4" t="str">
        <f t="shared" si="142"/>
        <v/>
      </c>
      <c r="AP128" s="4" t="str">
        <f t="shared" si="143"/>
        <v/>
      </c>
      <c r="AQ128" s="4" t="str">
        <f t="shared" si="144"/>
        <v/>
      </c>
      <c r="AR128" s="4" t="str">
        <f t="shared" si="145"/>
        <v/>
      </c>
    </row>
    <row r="129" spans="3:44" s="1" customFormat="1" ht="14.25" x14ac:dyDescent="0.3">
      <c r="C129" s="21"/>
      <c r="E129" s="22"/>
      <c r="F129" s="2"/>
      <c r="G129" s="20"/>
      <c r="H129" s="50"/>
      <c r="I129" s="21"/>
      <c r="J129" s="54"/>
      <c r="K129" s="21"/>
      <c r="L129" s="54"/>
      <c r="O129" s="20"/>
      <c r="P129" s="21"/>
      <c r="R129" s="46"/>
      <c r="S129" s="54"/>
      <c r="T129" s="54"/>
      <c r="U129" s="54"/>
      <c r="V129" s="44"/>
      <c r="W129" s="27"/>
      <c r="Z129" s="27"/>
      <c r="AA129" s="8"/>
      <c r="AB129" s="81" t="str">
        <f t="shared" si="129"/>
        <v/>
      </c>
      <c r="AC129" s="6" t="str">
        <f t="shared" si="130"/>
        <v/>
      </c>
      <c r="AD129" s="1" t="str">
        <f t="shared" ca="1" si="131"/>
        <v/>
      </c>
      <c r="AE129" s="75" t="str">
        <f t="shared" si="132"/>
        <v/>
      </c>
      <c r="AF129" s="75" t="str">
        <f t="shared" si="133"/>
        <v/>
      </c>
      <c r="AG129" s="4" t="str">
        <f t="shared" si="134"/>
        <v/>
      </c>
      <c r="AH129" s="4" t="str">
        <f t="shared" si="135"/>
        <v/>
      </c>
      <c r="AI129" s="4" t="str">
        <f t="shared" si="136"/>
        <v/>
      </c>
      <c r="AJ129" s="4" t="str">
        <f t="shared" si="137"/>
        <v/>
      </c>
      <c r="AK129" s="4" t="str">
        <f t="shared" si="138"/>
        <v/>
      </c>
      <c r="AL129" s="2" t="str">
        <f t="shared" si="139"/>
        <v/>
      </c>
      <c r="AM129" s="6" t="str">
        <f t="shared" si="140"/>
        <v/>
      </c>
      <c r="AN129" s="4" t="str">
        <f t="shared" si="141"/>
        <v/>
      </c>
      <c r="AO129" s="4" t="str">
        <f t="shared" si="142"/>
        <v/>
      </c>
      <c r="AP129" s="4" t="str">
        <f t="shared" si="143"/>
        <v/>
      </c>
      <c r="AQ129" s="4" t="str">
        <f t="shared" si="144"/>
        <v/>
      </c>
      <c r="AR129" s="4" t="str">
        <f t="shared" si="145"/>
        <v/>
      </c>
    </row>
    <row r="130" spans="3:44" s="1" customFormat="1" ht="14.25" x14ac:dyDescent="0.3">
      <c r="C130" s="21"/>
      <c r="E130" s="22"/>
      <c r="F130" s="2"/>
      <c r="G130" s="20"/>
      <c r="H130" s="50"/>
      <c r="I130" s="21"/>
      <c r="J130" s="54"/>
      <c r="K130" s="21"/>
      <c r="L130" s="54"/>
      <c r="O130" s="20"/>
      <c r="P130" s="21"/>
      <c r="R130" s="46"/>
      <c r="S130" s="54"/>
      <c r="T130" s="54"/>
      <c r="U130" s="54"/>
      <c r="V130" s="44"/>
      <c r="W130" s="27"/>
      <c r="Z130" s="27"/>
      <c r="AA130" s="8"/>
      <c r="AB130" s="81" t="str">
        <f t="shared" si="129"/>
        <v/>
      </c>
      <c r="AC130" s="6" t="str">
        <f t="shared" si="130"/>
        <v/>
      </c>
      <c r="AD130" s="1" t="str">
        <f t="shared" ca="1" si="131"/>
        <v/>
      </c>
      <c r="AE130" s="75" t="str">
        <f t="shared" si="132"/>
        <v/>
      </c>
      <c r="AF130" s="75" t="str">
        <f t="shared" si="133"/>
        <v/>
      </c>
      <c r="AG130" s="4" t="str">
        <f t="shared" si="134"/>
        <v/>
      </c>
      <c r="AH130" s="4" t="str">
        <f t="shared" si="135"/>
        <v/>
      </c>
      <c r="AI130" s="4" t="str">
        <f t="shared" si="136"/>
        <v/>
      </c>
      <c r="AJ130" s="4" t="str">
        <f t="shared" si="137"/>
        <v/>
      </c>
      <c r="AK130" s="4" t="str">
        <f t="shared" si="138"/>
        <v/>
      </c>
      <c r="AL130" s="2" t="str">
        <f t="shared" si="139"/>
        <v/>
      </c>
      <c r="AM130" s="6" t="str">
        <f t="shared" si="140"/>
        <v/>
      </c>
      <c r="AN130" s="4" t="str">
        <f t="shared" si="141"/>
        <v/>
      </c>
      <c r="AO130" s="4" t="str">
        <f t="shared" si="142"/>
        <v/>
      </c>
      <c r="AP130" s="4" t="str">
        <f t="shared" si="143"/>
        <v/>
      </c>
      <c r="AQ130" s="4" t="str">
        <f t="shared" si="144"/>
        <v/>
      </c>
      <c r="AR130" s="4" t="str">
        <f t="shared" si="145"/>
        <v/>
      </c>
    </row>
    <row r="131" spans="3:44" s="1" customFormat="1" ht="14.25" x14ac:dyDescent="0.3">
      <c r="C131" s="21"/>
      <c r="E131" s="22"/>
      <c r="F131" s="2"/>
      <c r="G131" s="20"/>
      <c r="H131" s="50"/>
      <c r="I131" s="21"/>
      <c r="J131" s="54"/>
      <c r="K131" s="21"/>
      <c r="L131" s="54"/>
      <c r="O131" s="20"/>
      <c r="P131" s="21"/>
      <c r="R131" s="46"/>
      <c r="S131" s="54"/>
      <c r="T131" s="54"/>
      <c r="U131" s="54"/>
      <c r="V131" s="44"/>
      <c r="W131" s="27"/>
      <c r="Z131" s="27"/>
      <c r="AA131" s="8"/>
      <c r="AB131" s="81" t="str">
        <f t="shared" si="129"/>
        <v/>
      </c>
      <c r="AC131" s="6" t="str">
        <f t="shared" si="130"/>
        <v/>
      </c>
      <c r="AD131" s="1" t="str">
        <f t="shared" ca="1" si="131"/>
        <v/>
      </c>
      <c r="AE131" s="75" t="str">
        <f t="shared" si="132"/>
        <v/>
      </c>
      <c r="AF131" s="75" t="str">
        <f t="shared" si="133"/>
        <v/>
      </c>
      <c r="AG131" s="4" t="str">
        <f t="shared" si="134"/>
        <v/>
      </c>
      <c r="AH131" s="4" t="str">
        <f t="shared" si="135"/>
        <v/>
      </c>
      <c r="AI131" s="4" t="str">
        <f t="shared" si="136"/>
        <v/>
      </c>
      <c r="AJ131" s="4" t="str">
        <f t="shared" si="137"/>
        <v/>
      </c>
      <c r="AK131" s="4" t="str">
        <f t="shared" si="138"/>
        <v/>
      </c>
      <c r="AL131" s="2" t="str">
        <f t="shared" si="139"/>
        <v/>
      </c>
      <c r="AM131" s="6" t="str">
        <f t="shared" si="140"/>
        <v/>
      </c>
      <c r="AN131" s="4" t="str">
        <f t="shared" si="141"/>
        <v/>
      </c>
      <c r="AO131" s="4" t="str">
        <f t="shared" si="142"/>
        <v/>
      </c>
      <c r="AP131" s="4" t="str">
        <f t="shared" si="143"/>
        <v/>
      </c>
      <c r="AQ131" s="4" t="str">
        <f t="shared" si="144"/>
        <v/>
      </c>
      <c r="AR131" s="4" t="str">
        <f t="shared" si="145"/>
        <v/>
      </c>
    </row>
    <row r="132" spans="3:44" s="1" customFormat="1" ht="14.25" x14ac:dyDescent="0.3">
      <c r="C132" s="21"/>
      <c r="E132" s="22"/>
      <c r="F132" s="2"/>
      <c r="G132" s="20"/>
      <c r="H132" s="50"/>
      <c r="I132" s="21"/>
      <c r="J132" s="54"/>
      <c r="K132" s="21"/>
      <c r="L132" s="54"/>
      <c r="O132" s="20"/>
      <c r="P132" s="21"/>
      <c r="R132" s="46"/>
      <c r="S132" s="54"/>
      <c r="T132" s="54"/>
      <c r="U132" s="54"/>
      <c r="V132" s="44"/>
      <c r="W132" s="27"/>
      <c r="Z132" s="27"/>
      <c r="AA132" s="8"/>
      <c r="AB132" s="81" t="str">
        <f t="shared" si="129"/>
        <v/>
      </c>
      <c r="AC132" s="6" t="str">
        <f t="shared" si="130"/>
        <v/>
      </c>
      <c r="AD132" s="1" t="str">
        <f t="shared" ca="1" si="131"/>
        <v/>
      </c>
      <c r="AE132" s="75" t="str">
        <f t="shared" si="132"/>
        <v/>
      </c>
      <c r="AF132" s="75" t="str">
        <f t="shared" si="133"/>
        <v/>
      </c>
      <c r="AG132" s="4" t="str">
        <f t="shared" si="134"/>
        <v/>
      </c>
      <c r="AH132" s="4" t="str">
        <f t="shared" si="135"/>
        <v/>
      </c>
      <c r="AI132" s="4" t="str">
        <f t="shared" si="136"/>
        <v/>
      </c>
      <c r="AJ132" s="4" t="str">
        <f t="shared" si="137"/>
        <v/>
      </c>
      <c r="AK132" s="4" t="str">
        <f t="shared" si="138"/>
        <v/>
      </c>
      <c r="AL132" s="2" t="str">
        <f t="shared" si="139"/>
        <v/>
      </c>
      <c r="AM132" s="6" t="str">
        <f t="shared" si="140"/>
        <v/>
      </c>
      <c r="AN132" s="4" t="str">
        <f t="shared" si="141"/>
        <v/>
      </c>
      <c r="AO132" s="4" t="str">
        <f t="shared" si="142"/>
        <v/>
      </c>
      <c r="AP132" s="4" t="str">
        <f t="shared" si="143"/>
        <v/>
      </c>
      <c r="AQ132" s="4" t="str">
        <f t="shared" si="144"/>
        <v/>
      </c>
      <c r="AR132" s="4" t="str">
        <f t="shared" si="145"/>
        <v/>
      </c>
    </row>
    <row r="133" spans="3:44" s="1" customFormat="1" ht="14.25" x14ac:dyDescent="0.3">
      <c r="C133" s="21"/>
      <c r="E133" s="22"/>
      <c r="F133" s="2"/>
      <c r="G133" s="20"/>
      <c r="H133" s="50"/>
      <c r="I133" s="21"/>
      <c r="J133" s="54"/>
      <c r="K133" s="21"/>
      <c r="L133" s="54"/>
      <c r="O133" s="20"/>
      <c r="P133" s="21"/>
      <c r="R133" s="46"/>
      <c r="S133" s="54"/>
      <c r="T133" s="54"/>
      <c r="U133" s="54"/>
      <c r="V133" s="44"/>
      <c r="W133" s="27"/>
      <c r="Z133" s="27"/>
      <c r="AA133" s="8"/>
      <c r="AB133" s="81" t="str">
        <f t="shared" si="129"/>
        <v/>
      </c>
      <c r="AC133" s="6" t="str">
        <f t="shared" si="130"/>
        <v/>
      </c>
      <c r="AD133" s="1" t="str">
        <f t="shared" ca="1" si="131"/>
        <v/>
      </c>
      <c r="AE133" s="75" t="str">
        <f t="shared" si="132"/>
        <v/>
      </c>
      <c r="AF133" s="75" t="str">
        <f t="shared" si="133"/>
        <v/>
      </c>
      <c r="AG133" s="4" t="str">
        <f t="shared" si="134"/>
        <v/>
      </c>
      <c r="AH133" s="4" t="str">
        <f t="shared" si="135"/>
        <v/>
      </c>
      <c r="AI133" s="4" t="str">
        <f t="shared" si="136"/>
        <v/>
      </c>
      <c r="AJ133" s="4" t="str">
        <f t="shared" si="137"/>
        <v/>
      </c>
      <c r="AK133" s="4" t="str">
        <f t="shared" si="138"/>
        <v/>
      </c>
      <c r="AL133" s="2" t="str">
        <f t="shared" si="139"/>
        <v/>
      </c>
      <c r="AM133" s="6" t="str">
        <f t="shared" si="140"/>
        <v/>
      </c>
      <c r="AN133" s="4" t="str">
        <f t="shared" si="141"/>
        <v/>
      </c>
      <c r="AO133" s="4" t="str">
        <f t="shared" si="142"/>
        <v/>
      </c>
      <c r="AP133" s="4" t="str">
        <f t="shared" si="143"/>
        <v/>
      </c>
      <c r="AQ133" s="4" t="str">
        <f t="shared" si="144"/>
        <v/>
      </c>
      <c r="AR133" s="4" t="str">
        <f t="shared" si="145"/>
        <v/>
      </c>
    </row>
    <row r="134" spans="3:44" s="1" customFormat="1" ht="14.25" x14ac:dyDescent="0.3">
      <c r="C134" s="21"/>
      <c r="E134" s="22"/>
      <c r="F134" s="2"/>
      <c r="G134" s="20"/>
      <c r="H134" s="50"/>
      <c r="I134" s="21"/>
      <c r="J134" s="54"/>
      <c r="K134" s="21"/>
      <c r="L134" s="54"/>
      <c r="O134" s="20"/>
      <c r="P134" s="21"/>
      <c r="R134" s="46"/>
      <c r="S134" s="54"/>
      <c r="T134" s="54"/>
      <c r="U134" s="54"/>
      <c r="V134" s="44"/>
      <c r="W134" s="27"/>
      <c r="Z134" s="27"/>
      <c r="AA134" s="8"/>
      <c r="AB134" s="81" t="str">
        <f t="shared" si="129"/>
        <v/>
      </c>
      <c r="AC134" s="6" t="str">
        <f t="shared" si="130"/>
        <v/>
      </c>
      <c r="AD134" s="1" t="str">
        <f t="shared" ca="1" si="131"/>
        <v/>
      </c>
      <c r="AE134" s="75" t="str">
        <f t="shared" si="132"/>
        <v/>
      </c>
      <c r="AF134" s="75" t="str">
        <f t="shared" si="133"/>
        <v/>
      </c>
      <c r="AG134" s="4" t="str">
        <f t="shared" si="134"/>
        <v/>
      </c>
      <c r="AH134" s="4" t="str">
        <f t="shared" si="135"/>
        <v/>
      </c>
      <c r="AI134" s="4" t="str">
        <f t="shared" si="136"/>
        <v/>
      </c>
      <c r="AJ134" s="4" t="str">
        <f t="shared" si="137"/>
        <v/>
      </c>
      <c r="AK134" s="4" t="str">
        <f t="shared" si="138"/>
        <v/>
      </c>
      <c r="AL134" s="2" t="str">
        <f t="shared" si="139"/>
        <v/>
      </c>
      <c r="AM134" s="6" t="str">
        <f t="shared" si="140"/>
        <v/>
      </c>
      <c r="AN134" s="4" t="str">
        <f t="shared" si="141"/>
        <v/>
      </c>
      <c r="AO134" s="4" t="str">
        <f t="shared" si="142"/>
        <v/>
      </c>
      <c r="AP134" s="4" t="str">
        <f t="shared" si="143"/>
        <v/>
      </c>
      <c r="AQ134" s="4" t="str">
        <f t="shared" si="144"/>
        <v/>
      </c>
      <c r="AR134" s="4" t="str">
        <f t="shared" si="145"/>
        <v/>
      </c>
    </row>
    <row r="135" spans="3:44" s="1" customFormat="1" ht="14.25" x14ac:dyDescent="0.3">
      <c r="C135" s="21"/>
      <c r="E135" s="22"/>
      <c r="F135" s="2"/>
      <c r="G135" s="20"/>
      <c r="H135" s="50"/>
      <c r="I135" s="21"/>
      <c r="J135" s="54"/>
      <c r="K135" s="21"/>
      <c r="L135" s="54"/>
      <c r="O135" s="20"/>
      <c r="P135" s="21"/>
      <c r="R135" s="46"/>
      <c r="S135" s="54"/>
      <c r="T135" s="54"/>
      <c r="U135" s="54"/>
      <c r="V135" s="44"/>
      <c r="W135" s="27"/>
      <c r="Z135" s="27"/>
      <c r="AA135" s="8"/>
      <c r="AB135" s="81" t="str">
        <f t="shared" si="129"/>
        <v/>
      </c>
      <c r="AC135" s="6" t="str">
        <f t="shared" si="130"/>
        <v/>
      </c>
      <c r="AD135" s="1" t="str">
        <f t="shared" ca="1" si="131"/>
        <v/>
      </c>
      <c r="AE135" s="75" t="str">
        <f t="shared" si="132"/>
        <v/>
      </c>
      <c r="AF135" s="75" t="str">
        <f t="shared" si="133"/>
        <v/>
      </c>
      <c r="AG135" s="4" t="str">
        <f t="shared" si="134"/>
        <v/>
      </c>
      <c r="AH135" s="4" t="str">
        <f t="shared" si="135"/>
        <v/>
      </c>
      <c r="AI135" s="4" t="str">
        <f t="shared" si="136"/>
        <v/>
      </c>
      <c r="AJ135" s="4" t="str">
        <f t="shared" si="137"/>
        <v/>
      </c>
      <c r="AK135" s="4" t="str">
        <f t="shared" si="138"/>
        <v/>
      </c>
      <c r="AL135" s="2" t="str">
        <f t="shared" si="139"/>
        <v/>
      </c>
      <c r="AM135" s="6" t="str">
        <f t="shared" si="140"/>
        <v/>
      </c>
      <c r="AN135" s="4" t="str">
        <f t="shared" si="141"/>
        <v/>
      </c>
      <c r="AO135" s="4" t="str">
        <f t="shared" si="142"/>
        <v/>
      </c>
      <c r="AP135" s="4" t="str">
        <f t="shared" si="143"/>
        <v/>
      </c>
      <c r="AQ135" s="4" t="str">
        <f t="shared" si="144"/>
        <v/>
      </c>
      <c r="AR135" s="4" t="str">
        <f t="shared" si="145"/>
        <v/>
      </c>
    </row>
    <row r="136" spans="3:44" s="1" customFormat="1" ht="14.25" x14ac:dyDescent="0.3">
      <c r="C136" s="21"/>
      <c r="E136" s="22"/>
      <c r="F136" s="2"/>
      <c r="G136" s="20"/>
      <c r="H136" s="50"/>
      <c r="I136" s="21"/>
      <c r="J136" s="54"/>
      <c r="K136" s="21"/>
      <c r="L136" s="54"/>
      <c r="O136" s="20"/>
      <c r="P136" s="21"/>
      <c r="R136" s="46"/>
      <c r="S136" s="54"/>
      <c r="T136" s="54"/>
      <c r="U136" s="54"/>
      <c r="V136" s="44"/>
      <c r="W136" s="27"/>
      <c r="Z136" s="27"/>
      <c r="AA136" s="8"/>
      <c r="AB136" s="81" t="str">
        <f t="shared" si="129"/>
        <v/>
      </c>
      <c r="AC136" s="6" t="str">
        <f t="shared" si="130"/>
        <v/>
      </c>
      <c r="AD136" s="1" t="str">
        <f t="shared" ca="1" si="131"/>
        <v/>
      </c>
      <c r="AE136" s="75" t="str">
        <f t="shared" si="132"/>
        <v/>
      </c>
      <c r="AF136" s="75" t="str">
        <f t="shared" si="133"/>
        <v/>
      </c>
      <c r="AG136" s="4" t="str">
        <f t="shared" si="134"/>
        <v/>
      </c>
      <c r="AH136" s="4" t="str">
        <f t="shared" si="135"/>
        <v/>
      </c>
      <c r="AI136" s="4" t="str">
        <f t="shared" si="136"/>
        <v/>
      </c>
      <c r="AJ136" s="4" t="str">
        <f t="shared" si="137"/>
        <v/>
      </c>
      <c r="AK136" s="4" t="str">
        <f t="shared" si="138"/>
        <v/>
      </c>
      <c r="AL136" s="2" t="str">
        <f t="shared" si="139"/>
        <v/>
      </c>
      <c r="AM136" s="6" t="str">
        <f t="shared" si="140"/>
        <v/>
      </c>
      <c r="AN136" s="4" t="str">
        <f t="shared" si="141"/>
        <v/>
      </c>
      <c r="AO136" s="4" t="str">
        <f t="shared" si="142"/>
        <v/>
      </c>
      <c r="AP136" s="4" t="str">
        <f t="shared" si="143"/>
        <v/>
      </c>
      <c r="AQ136" s="4" t="str">
        <f t="shared" si="144"/>
        <v/>
      </c>
      <c r="AR136" s="4" t="str">
        <f t="shared" si="145"/>
        <v/>
      </c>
    </row>
    <row r="137" spans="3:44" s="1" customFormat="1" ht="14.25" x14ac:dyDescent="0.3">
      <c r="C137" s="21"/>
      <c r="E137" s="22"/>
      <c r="F137" s="2"/>
      <c r="G137" s="20"/>
      <c r="H137" s="50"/>
      <c r="I137" s="21"/>
      <c r="J137" s="54"/>
      <c r="K137" s="21"/>
      <c r="L137" s="54"/>
      <c r="O137" s="20"/>
      <c r="P137" s="21"/>
      <c r="R137" s="46"/>
      <c r="S137" s="54"/>
      <c r="T137" s="54"/>
      <c r="U137" s="54"/>
      <c r="V137" s="44"/>
      <c r="W137" s="27"/>
      <c r="Z137" s="27"/>
      <c r="AA137" s="8"/>
      <c r="AB137" s="81" t="str">
        <f t="shared" si="129"/>
        <v/>
      </c>
      <c r="AC137" s="6" t="str">
        <f t="shared" si="130"/>
        <v/>
      </c>
      <c r="AD137" s="1" t="str">
        <f t="shared" ca="1" si="131"/>
        <v/>
      </c>
      <c r="AE137" s="75" t="str">
        <f t="shared" si="132"/>
        <v/>
      </c>
      <c r="AF137" s="75" t="str">
        <f t="shared" si="133"/>
        <v/>
      </c>
      <c r="AG137" s="4" t="str">
        <f t="shared" si="134"/>
        <v/>
      </c>
      <c r="AH137" s="4" t="str">
        <f t="shared" si="135"/>
        <v/>
      </c>
      <c r="AI137" s="4" t="str">
        <f t="shared" si="136"/>
        <v/>
      </c>
      <c r="AJ137" s="4" t="str">
        <f t="shared" si="137"/>
        <v/>
      </c>
      <c r="AK137" s="4" t="str">
        <f t="shared" si="138"/>
        <v/>
      </c>
      <c r="AL137" s="2" t="str">
        <f t="shared" si="139"/>
        <v/>
      </c>
      <c r="AM137" s="6" t="str">
        <f t="shared" si="140"/>
        <v/>
      </c>
      <c r="AN137" s="4" t="str">
        <f t="shared" si="141"/>
        <v/>
      </c>
      <c r="AO137" s="4" t="str">
        <f t="shared" si="142"/>
        <v/>
      </c>
      <c r="AP137" s="4" t="str">
        <f t="shared" si="143"/>
        <v/>
      </c>
      <c r="AQ137" s="4" t="str">
        <f t="shared" si="144"/>
        <v/>
      </c>
      <c r="AR137" s="4" t="str">
        <f t="shared" si="145"/>
        <v/>
      </c>
    </row>
    <row r="138" spans="3:44" s="1" customFormat="1" ht="14.25" x14ac:dyDescent="0.3">
      <c r="C138" s="21"/>
      <c r="E138" s="22"/>
      <c r="F138" s="2"/>
      <c r="G138" s="20"/>
      <c r="H138" s="50"/>
      <c r="I138" s="21"/>
      <c r="J138" s="54"/>
      <c r="K138" s="21"/>
      <c r="L138" s="54"/>
      <c r="O138" s="20"/>
      <c r="P138" s="21"/>
      <c r="R138" s="46"/>
      <c r="S138" s="54"/>
      <c r="T138" s="54"/>
      <c r="U138" s="54"/>
      <c r="V138" s="44"/>
      <c r="W138" s="27"/>
      <c r="Z138" s="27"/>
      <c r="AA138" s="8"/>
      <c r="AB138" s="81" t="str">
        <f t="shared" si="129"/>
        <v/>
      </c>
      <c r="AC138" s="6" t="str">
        <f t="shared" si="130"/>
        <v/>
      </c>
      <c r="AD138" s="1" t="str">
        <f t="shared" ca="1" si="131"/>
        <v/>
      </c>
      <c r="AE138" s="75" t="str">
        <f t="shared" si="132"/>
        <v/>
      </c>
      <c r="AF138" s="75" t="str">
        <f t="shared" si="133"/>
        <v/>
      </c>
      <c r="AG138" s="4" t="str">
        <f t="shared" si="134"/>
        <v/>
      </c>
      <c r="AH138" s="4" t="str">
        <f t="shared" si="135"/>
        <v/>
      </c>
      <c r="AI138" s="4" t="str">
        <f t="shared" si="136"/>
        <v/>
      </c>
      <c r="AJ138" s="4" t="str">
        <f t="shared" si="137"/>
        <v/>
      </c>
      <c r="AK138" s="4" t="str">
        <f t="shared" si="138"/>
        <v/>
      </c>
      <c r="AL138" s="2" t="str">
        <f t="shared" si="139"/>
        <v/>
      </c>
      <c r="AM138" s="6" t="str">
        <f t="shared" si="140"/>
        <v/>
      </c>
      <c r="AN138" s="4" t="str">
        <f t="shared" si="141"/>
        <v/>
      </c>
      <c r="AO138" s="4" t="str">
        <f t="shared" si="142"/>
        <v/>
      </c>
      <c r="AP138" s="4" t="str">
        <f t="shared" si="143"/>
        <v/>
      </c>
      <c r="AQ138" s="4" t="str">
        <f t="shared" si="144"/>
        <v/>
      </c>
      <c r="AR138" s="4" t="str">
        <f t="shared" si="145"/>
        <v/>
      </c>
    </row>
    <row r="139" spans="3:44" s="1" customFormat="1" ht="14.25" x14ac:dyDescent="0.3">
      <c r="C139" s="21"/>
      <c r="E139" s="22"/>
      <c r="F139" s="2"/>
      <c r="G139" s="20"/>
      <c r="H139" s="50"/>
      <c r="I139" s="21"/>
      <c r="J139" s="54"/>
      <c r="K139" s="21"/>
      <c r="L139" s="54"/>
      <c r="O139" s="20"/>
      <c r="P139" s="21"/>
      <c r="R139" s="46"/>
      <c r="S139" s="54"/>
      <c r="T139" s="54"/>
      <c r="U139" s="54"/>
      <c r="V139" s="44"/>
      <c r="W139" s="27"/>
      <c r="Z139" s="27"/>
      <c r="AA139" s="8"/>
      <c r="AB139" s="81" t="str">
        <f t="shared" si="129"/>
        <v/>
      </c>
      <c r="AC139" s="6" t="str">
        <f t="shared" si="130"/>
        <v/>
      </c>
      <c r="AD139" s="1" t="str">
        <f t="shared" ca="1" si="131"/>
        <v/>
      </c>
      <c r="AE139" s="75" t="str">
        <f t="shared" si="132"/>
        <v/>
      </c>
      <c r="AF139" s="75" t="str">
        <f t="shared" si="133"/>
        <v/>
      </c>
      <c r="AG139" s="4" t="str">
        <f t="shared" si="134"/>
        <v/>
      </c>
      <c r="AH139" s="4" t="str">
        <f t="shared" si="135"/>
        <v/>
      </c>
      <c r="AI139" s="4" t="str">
        <f t="shared" si="136"/>
        <v/>
      </c>
      <c r="AJ139" s="4" t="str">
        <f t="shared" si="137"/>
        <v/>
      </c>
      <c r="AK139" s="4" t="str">
        <f t="shared" si="138"/>
        <v/>
      </c>
      <c r="AL139" s="2" t="str">
        <f t="shared" si="139"/>
        <v/>
      </c>
      <c r="AM139" s="6" t="str">
        <f t="shared" si="140"/>
        <v/>
      </c>
      <c r="AN139" s="4" t="str">
        <f t="shared" si="141"/>
        <v/>
      </c>
      <c r="AO139" s="4" t="str">
        <f t="shared" si="142"/>
        <v/>
      </c>
      <c r="AP139" s="4" t="str">
        <f t="shared" si="143"/>
        <v/>
      </c>
      <c r="AQ139" s="4" t="str">
        <f t="shared" si="144"/>
        <v/>
      </c>
      <c r="AR139" s="4" t="str">
        <f t="shared" si="145"/>
        <v/>
      </c>
    </row>
    <row r="140" spans="3:44" s="1" customFormat="1" ht="14.25" x14ac:dyDescent="0.3">
      <c r="C140" s="21"/>
      <c r="E140" s="22"/>
      <c r="F140" s="2"/>
      <c r="G140" s="20"/>
      <c r="H140" s="50"/>
      <c r="I140" s="21"/>
      <c r="J140" s="54"/>
      <c r="K140" s="21"/>
      <c r="L140" s="54"/>
      <c r="O140" s="20"/>
      <c r="P140" s="21"/>
      <c r="R140" s="46"/>
      <c r="S140" s="54"/>
      <c r="T140" s="54"/>
      <c r="U140" s="54"/>
      <c r="V140" s="44"/>
      <c r="W140" s="27"/>
      <c r="Z140" s="27"/>
      <c r="AA140" s="8"/>
      <c r="AB140" s="81" t="str">
        <f t="shared" si="129"/>
        <v/>
      </c>
      <c r="AC140" s="6" t="str">
        <f t="shared" si="130"/>
        <v/>
      </c>
      <c r="AD140" s="1" t="str">
        <f t="shared" ca="1" si="131"/>
        <v/>
      </c>
      <c r="AE140" s="75" t="str">
        <f t="shared" si="132"/>
        <v/>
      </c>
      <c r="AF140" s="75" t="str">
        <f t="shared" si="133"/>
        <v/>
      </c>
      <c r="AG140" s="4" t="str">
        <f t="shared" si="134"/>
        <v/>
      </c>
      <c r="AH140" s="4" t="str">
        <f t="shared" si="135"/>
        <v/>
      </c>
      <c r="AI140" s="4" t="str">
        <f t="shared" si="136"/>
        <v/>
      </c>
      <c r="AJ140" s="4" t="str">
        <f t="shared" si="137"/>
        <v/>
      </c>
      <c r="AK140" s="4" t="str">
        <f t="shared" si="138"/>
        <v/>
      </c>
      <c r="AL140" s="2" t="str">
        <f t="shared" si="139"/>
        <v/>
      </c>
      <c r="AM140" s="6" t="str">
        <f t="shared" si="140"/>
        <v/>
      </c>
      <c r="AN140" s="4" t="str">
        <f t="shared" si="141"/>
        <v/>
      </c>
      <c r="AO140" s="4" t="str">
        <f t="shared" si="142"/>
        <v/>
      </c>
      <c r="AP140" s="4" t="str">
        <f t="shared" si="143"/>
        <v/>
      </c>
      <c r="AQ140" s="4" t="str">
        <f t="shared" si="144"/>
        <v/>
      </c>
      <c r="AR140" s="4" t="str">
        <f t="shared" si="145"/>
        <v/>
      </c>
    </row>
    <row r="141" spans="3:44" s="1" customFormat="1" ht="14.25" x14ac:dyDescent="0.3">
      <c r="C141" s="21"/>
      <c r="E141" s="22"/>
      <c r="F141" s="2"/>
      <c r="G141" s="20"/>
      <c r="H141" s="50"/>
      <c r="I141" s="21"/>
      <c r="J141" s="54"/>
      <c r="K141" s="21"/>
      <c r="L141" s="54"/>
      <c r="O141" s="20"/>
      <c r="P141" s="21"/>
      <c r="R141" s="46"/>
      <c r="S141" s="54"/>
      <c r="T141" s="54"/>
      <c r="U141" s="54"/>
      <c r="V141" s="44"/>
      <c r="W141" s="27"/>
      <c r="Z141" s="27"/>
      <c r="AA141" s="8"/>
      <c r="AB141" s="81" t="str">
        <f t="shared" si="129"/>
        <v/>
      </c>
      <c r="AC141" s="6" t="str">
        <f t="shared" si="130"/>
        <v/>
      </c>
      <c r="AD141" s="1" t="str">
        <f t="shared" ca="1" si="131"/>
        <v/>
      </c>
      <c r="AE141" s="75" t="str">
        <f t="shared" si="132"/>
        <v/>
      </c>
      <c r="AF141" s="75" t="str">
        <f t="shared" si="133"/>
        <v/>
      </c>
      <c r="AG141" s="4" t="str">
        <f t="shared" si="134"/>
        <v/>
      </c>
      <c r="AH141" s="4" t="str">
        <f t="shared" si="135"/>
        <v/>
      </c>
      <c r="AI141" s="4" t="str">
        <f t="shared" si="136"/>
        <v/>
      </c>
      <c r="AJ141" s="4" t="str">
        <f t="shared" si="137"/>
        <v/>
      </c>
      <c r="AK141" s="4" t="str">
        <f t="shared" si="138"/>
        <v/>
      </c>
      <c r="AL141" s="2" t="str">
        <f t="shared" si="139"/>
        <v/>
      </c>
      <c r="AM141" s="6" t="str">
        <f t="shared" si="140"/>
        <v/>
      </c>
      <c r="AN141" s="4" t="str">
        <f t="shared" si="141"/>
        <v/>
      </c>
      <c r="AO141" s="4" t="str">
        <f t="shared" si="142"/>
        <v/>
      </c>
      <c r="AP141" s="4" t="str">
        <f t="shared" si="143"/>
        <v/>
      </c>
      <c r="AQ141" s="4" t="str">
        <f t="shared" si="144"/>
        <v/>
      </c>
      <c r="AR141" s="4" t="str">
        <f t="shared" si="145"/>
        <v/>
      </c>
    </row>
    <row r="142" spans="3:44" s="1" customFormat="1" ht="14.25" x14ac:dyDescent="0.3">
      <c r="C142" s="21"/>
      <c r="E142" s="22"/>
      <c r="F142" s="2"/>
      <c r="G142" s="20"/>
      <c r="H142" s="50"/>
      <c r="I142" s="21"/>
      <c r="J142" s="54"/>
      <c r="K142" s="21"/>
      <c r="L142" s="54"/>
      <c r="O142" s="20"/>
      <c r="P142" s="21"/>
      <c r="R142" s="46"/>
      <c r="S142" s="54"/>
      <c r="T142" s="54"/>
      <c r="U142" s="54"/>
      <c r="V142" s="44"/>
      <c r="W142" s="27"/>
      <c r="Z142" s="27"/>
      <c r="AA142" s="8"/>
      <c r="AB142" s="81" t="str">
        <f t="shared" si="129"/>
        <v/>
      </c>
      <c r="AC142" s="6" t="str">
        <f t="shared" si="130"/>
        <v/>
      </c>
      <c r="AD142" s="1" t="str">
        <f t="shared" ca="1" si="131"/>
        <v/>
      </c>
      <c r="AE142" s="75" t="str">
        <f t="shared" si="132"/>
        <v/>
      </c>
      <c r="AF142" s="75" t="str">
        <f t="shared" si="133"/>
        <v/>
      </c>
      <c r="AG142" s="4" t="str">
        <f t="shared" si="134"/>
        <v/>
      </c>
      <c r="AH142" s="4" t="str">
        <f t="shared" si="135"/>
        <v/>
      </c>
      <c r="AI142" s="4" t="str">
        <f t="shared" si="136"/>
        <v/>
      </c>
      <c r="AJ142" s="4" t="str">
        <f t="shared" si="137"/>
        <v/>
      </c>
      <c r="AK142" s="4" t="str">
        <f t="shared" si="138"/>
        <v/>
      </c>
      <c r="AL142" s="2" t="str">
        <f t="shared" si="139"/>
        <v/>
      </c>
      <c r="AM142" s="6" t="str">
        <f t="shared" si="140"/>
        <v/>
      </c>
      <c r="AN142" s="4" t="str">
        <f t="shared" si="141"/>
        <v/>
      </c>
      <c r="AO142" s="4" t="str">
        <f t="shared" si="142"/>
        <v/>
      </c>
      <c r="AP142" s="4" t="str">
        <f t="shared" si="143"/>
        <v/>
      </c>
      <c r="AQ142" s="4" t="str">
        <f t="shared" si="144"/>
        <v/>
      </c>
      <c r="AR142" s="4" t="str">
        <f t="shared" si="145"/>
        <v/>
      </c>
    </row>
    <row r="143" spans="3:44" s="1" customFormat="1" ht="14.25" x14ac:dyDescent="0.3">
      <c r="C143" s="21"/>
      <c r="E143" s="22"/>
      <c r="F143" s="2"/>
      <c r="G143" s="20"/>
      <c r="H143" s="50"/>
      <c r="I143" s="21"/>
      <c r="J143" s="54"/>
      <c r="K143" s="21"/>
      <c r="L143" s="54"/>
      <c r="O143" s="20"/>
      <c r="P143" s="21"/>
      <c r="R143" s="46"/>
      <c r="S143" s="54"/>
      <c r="T143" s="54"/>
      <c r="U143" s="54"/>
      <c r="V143" s="44"/>
      <c r="W143" s="27"/>
      <c r="Z143" s="27"/>
      <c r="AA143" s="8"/>
      <c r="AB143" s="81" t="str">
        <f t="shared" si="129"/>
        <v/>
      </c>
      <c r="AC143" s="6" t="str">
        <f t="shared" si="130"/>
        <v/>
      </c>
      <c r="AD143" s="1" t="str">
        <f t="shared" ca="1" si="131"/>
        <v/>
      </c>
      <c r="AE143" s="75" t="str">
        <f t="shared" si="132"/>
        <v/>
      </c>
      <c r="AF143" s="75" t="str">
        <f t="shared" si="133"/>
        <v/>
      </c>
      <c r="AG143" s="4" t="str">
        <f t="shared" si="134"/>
        <v/>
      </c>
      <c r="AH143" s="4" t="str">
        <f t="shared" si="135"/>
        <v/>
      </c>
      <c r="AI143" s="4" t="str">
        <f t="shared" si="136"/>
        <v/>
      </c>
      <c r="AJ143" s="4" t="str">
        <f t="shared" si="137"/>
        <v/>
      </c>
      <c r="AK143" s="4" t="str">
        <f t="shared" si="138"/>
        <v/>
      </c>
      <c r="AL143" s="2" t="str">
        <f t="shared" si="139"/>
        <v/>
      </c>
      <c r="AM143" s="6" t="str">
        <f t="shared" si="140"/>
        <v/>
      </c>
      <c r="AN143" s="4" t="str">
        <f t="shared" si="141"/>
        <v/>
      </c>
      <c r="AO143" s="4" t="str">
        <f t="shared" si="142"/>
        <v/>
      </c>
      <c r="AP143" s="4" t="str">
        <f t="shared" si="143"/>
        <v/>
      </c>
      <c r="AQ143" s="4" t="str">
        <f t="shared" si="144"/>
        <v/>
      </c>
      <c r="AR143" s="4" t="str">
        <f t="shared" si="145"/>
        <v/>
      </c>
    </row>
    <row r="144" spans="3:44" s="1" customFormat="1" ht="14.25" x14ac:dyDescent="0.3">
      <c r="C144" s="21"/>
      <c r="E144" s="22"/>
      <c r="F144" s="2"/>
      <c r="G144" s="20"/>
      <c r="H144" s="50"/>
      <c r="I144" s="21"/>
      <c r="J144" s="54"/>
      <c r="K144" s="21"/>
      <c r="L144" s="54"/>
      <c r="O144" s="20"/>
      <c r="P144" s="21"/>
      <c r="R144" s="46"/>
      <c r="S144" s="54"/>
      <c r="T144" s="54"/>
      <c r="U144" s="54"/>
      <c r="V144" s="44"/>
      <c r="W144" s="27"/>
      <c r="Z144" s="27"/>
      <c r="AA144" s="8"/>
      <c r="AB144" s="81" t="str">
        <f t="shared" si="129"/>
        <v/>
      </c>
      <c r="AC144" s="6" t="str">
        <f t="shared" si="130"/>
        <v/>
      </c>
      <c r="AD144" s="1" t="str">
        <f t="shared" ca="1" si="131"/>
        <v/>
      </c>
      <c r="AE144" s="75" t="str">
        <f t="shared" si="132"/>
        <v/>
      </c>
      <c r="AF144" s="75" t="str">
        <f t="shared" si="133"/>
        <v/>
      </c>
      <c r="AG144" s="4" t="str">
        <f t="shared" si="134"/>
        <v/>
      </c>
      <c r="AH144" s="4" t="str">
        <f t="shared" si="135"/>
        <v/>
      </c>
      <c r="AI144" s="4" t="str">
        <f t="shared" si="136"/>
        <v/>
      </c>
      <c r="AJ144" s="4" t="str">
        <f t="shared" si="137"/>
        <v/>
      </c>
      <c r="AK144" s="4" t="str">
        <f t="shared" si="138"/>
        <v/>
      </c>
      <c r="AL144" s="2" t="str">
        <f t="shared" si="139"/>
        <v/>
      </c>
      <c r="AM144" s="6" t="str">
        <f t="shared" si="140"/>
        <v/>
      </c>
      <c r="AN144" s="4" t="str">
        <f t="shared" si="141"/>
        <v/>
      </c>
      <c r="AO144" s="4" t="str">
        <f t="shared" si="142"/>
        <v/>
      </c>
      <c r="AP144" s="4" t="str">
        <f t="shared" si="143"/>
        <v/>
      </c>
      <c r="AQ144" s="4" t="str">
        <f t="shared" si="144"/>
        <v/>
      </c>
      <c r="AR144" s="4" t="str">
        <f t="shared" si="145"/>
        <v/>
      </c>
    </row>
    <row r="145" spans="3:44" s="1" customFormat="1" ht="14.25" x14ac:dyDescent="0.3">
      <c r="C145" s="21"/>
      <c r="E145" s="22"/>
      <c r="F145" s="2"/>
      <c r="G145" s="20"/>
      <c r="H145" s="50"/>
      <c r="I145" s="21"/>
      <c r="J145" s="54"/>
      <c r="K145" s="21"/>
      <c r="L145" s="54"/>
      <c r="O145" s="20"/>
      <c r="P145" s="21"/>
      <c r="R145" s="46"/>
      <c r="S145" s="54"/>
      <c r="T145" s="54"/>
      <c r="U145" s="54"/>
      <c r="V145" s="44"/>
      <c r="W145" s="27"/>
      <c r="Z145" s="27"/>
      <c r="AA145" s="8"/>
      <c r="AB145" s="81" t="str">
        <f t="shared" si="129"/>
        <v/>
      </c>
      <c r="AC145" s="6" t="str">
        <f t="shared" si="130"/>
        <v/>
      </c>
      <c r="AD145" s="1" t="str">
        <f t="shared" ca="1" si="131"/>
        <v/>
      </c>
      <c r="AE145" s="75" t="str">
        <f t="shared" si="132"/>
        <v/>
      </c>
      <c r="AF145" s="75" t="str">
        <f t="shared" si="133"/>
        <v/>
      </c>
      <c r="AG145" s="4" t="str">
        <f t="shared" si="134"/>
        <v/>
      </c>
      <c r="AH145" s="4" t="str">
        <f t="shared" si="135"/>
        <v/>
      </c>
      <c r="AI145" s="4" t="str">
        <f t="shared" si="136"/>
        <v/>
      </c>
      <c r="AJ145" s="4" t="str">
        <f t="shared" si="137"/>
        <v/>
      </c>
      <c r="AK145" s="4" t="str">
        <f t="shared" si="138"/>
        <v/>
      </c>
      <c r="AL145" s="2" t="str">
        <f t="shared" si="139"/>
        <v/>
      </c>
      <c r="AM145" s="6" t="str">
        <f t="shared" si="140"/>
        <v/>
      </c>
      <c r="AN145" s="4" t="str">
        <f t="shared" si="141"/>
        <v/>
      </c>
      <c r="AO145" s="4" t="str">
        <f t="shared" si="142"/>
        <v/>
      </c>
      <c r="AP145" s="4" t="str">
        <f t="shared" si="143"/>
        <v/>
      </c>
      <c r="AQ145" s="4" t="str">
        <f t="shared" si="144"/>
        <v/>
      </c>
      <c r="AR145" s="4" t="str">
        <f t="shared" si="145"/>
        <v/>
      </c>
    </row>
    <row r="146" spans="3:44" s="1" customFormat="1" ht="14.25" x14ac:dyDescent="0.3">
      <c r="C146" s="21"/>
      <c r="E146" s="22"/>
      <c r="F146" s="2"/>
      <c r="G146" s="20"/>
      <c r="H146" s="50"/>
      <c r="I146" s="21"/>
      <c r="J146" s="54"/>
      <c r="K146" s="21"/>
      <c r="L146" s="54"/>
      <c r="O146" s="20"/>
      <c r="P146" s="21"/>
      <c r="R146" s="46"/>
      <c r="S146" s="54"/>
      <c r="T146" s="54"/>
      <c r="U146" s="54"/>
      <c r="V146" s="44"/>
      <c r="W146" s="27"/>
      <c r="Z146" s="27"/>
      <c r="AA146" s="8"/>
      <c r="AB146" s="81" t="str">
        <f t="shared" si="129"/>
        <v/>
      </c>
      <c r="AC146" s="6" t="str">
        <f t="shared" si="130"/>
        <v/>
      </c>
      <c r="AD146" s="1" t="str">
        <f t="shared" ca="1" si="131"/>
        <v/>
      </c>
      <c r="AE146" s="75" t="str">
        <f t="shared" si="132"/>
        <v/>
      </c>
      <c r="AF146" s="75" t="str">
        <f t="shared" si="133"/>
        <v/>
      </c>
      <c r="AG146" s="4" t="str">
        <f t="shared" si="134"/>
        <v/>
      </c>
      <c r="AH146" s="4" t="str">
        <f t="shared" si="135"/>
        <v/>
      </c>
      <c r="AI146" s="4" t="str">
        <f t="shared" si="136"/>
        <v/>
      </c>
      <c r="AJ146" s="4" t="str">
        <f t="shared" si="137"/>
        <v/>
      </c>
      <c r="AK146" s="4" t="str">
        <f t="shared" si="138"/>
        <v/>
      </c>
      <c r="AL146" s="2" t="str">
        <f t="shared" si="139"/>
        <v/>
      </c>
      <c r="AM146" s="6" t="str">
        <f t="shared" si="140"/>
        <v/>
      </c>
      <c r="AN146" s="4" t="str">
        <f t="shared" si="141"/>
        <v/>
      </c>
      <c r="AO146" s="4" t="str">
        <f t="shared" si="142"/>
        <v/>
      </c>
      <c r="AP146" s="4" t="str">
        <f t="shared" si="143"/>
        <v/>
      </c>
      <c r="AQ146" s="4" t="str">
        <f t="shared" si="144"/>
        <v/>
      </c>
      <c r="AR146" s="4" t="str">
        <f t="shared" si="145"/>
        <v/>
      </c>
    </row>
    <row r="147" spans="3:44" s="1" customFormat="1" ht="14.25" x14ac:dyDescent="0.3">
      <c r="C147" s="21"/>
      <c r="E147" s="22"/>
      <c r="F147" s="2"/>
      <c r="G147" s="20"/>
      <c r="H147" s="50"/>
      <c r="I147" s="21"/>
      <c r="J147" s="54"/>
      <c r="K147" s="21"/>
      <c r="L147" s="54"/>
      <c r="O147" s="20"/>
      <c r="P147" s="21"/>
      <c r="R147" s="46"/>
      <c r="S147" s="54"/>
      <c r="T147" s="54"/>
      <c r="U147" s="54"/>
      <c r="V147" s="44"/>
      <c r="W147" s="27"/>
      <c r="Z147" s="27"/>
      <c r="AA147" s="8"/>
      <c r="AB147" s="81" t="str">
        <f t="shared" si="129"/>
        <v/>
      </c>
      <c r="AC147" s="6" t="str">
        <f t="shared" si="130"/>
        <v/>
      </c>
      <c r="AD147" s="1" t="str">
        <f t="shared" ca="1" si="131"/>
        <v/>
      </c>
      <c r="AE147" s="75" t="str">
        <f t="shared" si="132"/>
        <v/>
      </c>
      <c r="AF147" s="75" t="str">
        <f t="shared" si="133"/>
        <v/>
      </c>
      <c r="AG147" s="4" t="str">
        <f t="shared" si="134"/>
        <v/>
      </c>
      <c r="AH147" s="4" t="str">
        <f t="shared" si="135"/>
        <v/>
      </c>
      <c r="AI147" s="4" t="str">
        <f t="shared" si="136"/>
        <v/>
      </c>
      <c r="AJ147" s="4" t="str">
        <f t="shared" si="137"/>
        <v/>
      </c>
      <c r="AK147" s="4" t="str">
        <f t="shared" si="138"/>
        <v/>
      </c>
      <c r="AL147" s="2" t="str">
        <f t="shared" si="139"/>
        <v/>
      </c>
      <c r="AM147" s="6" t="str">
        <f t="shared" si="140"/>
        <v/>
      </c>
      <c r="AN147" s="4" t="str">
        <f t="shared" si="141"/>
        <v/>
      </c>
      <c r="AO147" s="4" t="str">
        <f t="shared" si="142"/>
        <v/>
      </c>
      <c r="AP147" s="4" t="str">
        <f t="shared" si="143"/>
        <v/>
      </c>
      <c r="AQ147" s="4" t="str">
        <f t="shared" si="144"/>
        <v/>
      </c>
      <c r="AR147" s="4" t="str">
        <f t="shared" si="145"/>
        <v/>
      </c>
    </row>
    <row r="148" spans="3:44" s="1" customFormat="1" ht="14.25" x14ac:dyDescent="0.3">
      <c r="H148" s="50"/>
      <c r="J148" s="54"/>
      <c r="L148" s="54"/>
      <c r="R148" s="45"/>
      <c r="S148" s="54"/>
      <c r="T148" s="54"/>
      <c r="U148" s="54"/>
      <c r="V148" s="44"/>
      <c r="W148" s="27"/>
      <c r="Z148" s="27"/>
      <c r="AA148" s="8"/>
      <c r="AB148" s="81" t="str">
        <f t="shared" si="129"/>
        <v/>
      </c>
      <c r="AC148" s="6" t="str">
        <f t="shared" si="130"/>
        <v/>
      </c>
      <c r="AD148" s="1" t="str">
        <f t="shared" ca="1" si="131"/>
        <v/>
      </c>
      <c r="AE148" s="75" t="str">
        <f t="shared" si="132"/>
        <v/>
      </c>
      <c r="AF148" s="75" t="str">
        <f t="shared" si="133"/>
        <v/>
      </c>
      <c r="AG148" s="4" t="str">
        <f t="shared" si="134"/>
        <v/>
      </c>
      <c r="AH148" s="4" t="str">
        <f t="shared" si="135"/>
        <v/>
      </c>
      <c r="AI148" s="4" t="str">
        <f t="shared" si="136"/>
        <v/>
      </c>
      <c r="AJ148" s="4" t="str">
        <f t="shared" si="137"/>
        <v/>
      </c>
      <c r="AK148" s="4" t="str">
        <f t="shared" si="138"/>
        <v/>
      </c>
      <c r="AL148" s="2" t="str">
        <f t="shared" si="139"/>
        <v/>
      </c>
      <c r="AM148" s="6" t="str">
        <f t="shared" si="140"/>
        <v/>
      </c>
      <c r="AN148" s="4" t="str">
        <f t="shared" si="141"/>
        <v/>
      </c>
      <c r="AO148" s="4" t="str">
        <f t="shared" si="142"/>
        <v/>
      </c>
      <c r="AP148" s="4" t="str">
        <f t="shared" si="143"/>
        <v/>
      </c>
      <c r="AQ148" s="4" t="str">
        <f t="shared" si="144"/>
        <v/>
      </c>
      <c r="AR148" s="4" t="str">
        <f t="shared" si="145"/>
        <v/>
      </c>
    </row>
    <row r="149" spans="3:44" s="1" customFormat="1" ht="14.25" x14ac:dyDescent="0.3">
      <c r="H149" s="50"/>
      <c r="J149" s="54"/>
      <c r="L149" s="54"/>
      <c r="R149" s="45"/>
      <c r="S149" s="54"/>
      <c r="T149" s="54"/>
      <c r="U149" s="54"/>
      <c r="V149" s="44"/>
      <c r="W149" s="27"/>
      <c r="Z149" s="27"/>
      <c r="AA149" s="8"/>
      <c r="AB149" s="81" t="str">
        <f t="shared" si="129"/>
        <v/>
      </c>
      <c r="AC149" s="6" t="str">
        <f t="shared" si="130"/>
        <v/>
      </c>
      <c r="AD149" s="1" t="str">
        <f t="shared" ca="1" si="131"/>
        <v/>
      </c>
      <c r="AE149" s="75" t="str">
        <f t="shared" si="132"/>
        <v/>
      </c>
      <c r="AF149" s="75" t="str">
        <f t="shared" si="133"/>
        <v/>
      </c>
      <c r="AG149" s="4" t="str">
        <f t="shared" si="134"/>
        <v/>
      </c>
      <c r="AH149" s="4" t="str">
        <f t="shared" si="135"/>
        <v/>
      </c>
      <c r="AI149" s="4" t="str">
        <f t="shared" si="136"/>
        <v/>
      </c>
      <c r="AJ149" s="4" t="str">
        <f t="shared" si="137"/>
        <v/>
      </c>
      <c r="AK149" s="4" t="str">
        <f t="shared" si="138"/>
        <v/>
      </c>
      <c r="AL149" s="2" t="str">
        <f t="shared" si="139"/>
        <v/>
      </c>
      <c r="AM149" s="6" t="str">
        <f t="shared" si="140"/>
        <v/>
      </c>
      <c r="AN149" s="4" t="str">
        <f t="shared" si="141"/>
        <v/>
      </c>
      <c r="AO149" s="4" t="str">
        <f t="shared" si="142"/>
        <v/>
      </c>
      <c r="AP149" s="4" t="str">
        <f t="shared" si="143"/>
        <v/>
      </c>
      <c r="AQ149" s="4" t="str">
        <f t="shared" si="144"/>
        <v/>
      </c>
      <c r="AR149" s="4" t="str">
        <f t="shared" si="145"/>
        <v/>
      </c>
    </row>
    <row r="150" spans="3:44" s="1" customFormat="1" ht="14.25" x14ac:dyDescent="0.3">
      <c r="H150" s="50"/>
      <c r="J150" s="54"/>
      <c r="L150" s="54"/>
      <c r="R150" s="45"/>
      <c r="S150" s="54"/>
      <c r="T150" s="54"/>
      <c r="U150" s="54"/>
      <c r="V150" s="44"/>
      <c r="W150" s="27"/>
      <c r="Z150" s="27"/>
      <c r="AA150" s="8"/>
      <c r="AB150" s="81" t="str">
        <f t="shared" si="129"/>
        <v/>
      </c>
      <c r="AC150" s="6" t="str">
        <f t="shared" si="130"/>
        <v/>
      </c>
      <c r="AD150" s="1" t="str">
        <f t="shared" ca="1" si="131"/>
        <v/>
      </c>
      <c r="AE150" s="75" t="str">
        <f t="shared" si="132"/>
        <v/>
      </c>
      <c r="AF150" s="75" t="str">
        <f t="shared" si="133"/>
        <v/>
      </c>
      <c r="AG150" s="4" t="str">
        <f t="shared" si="134"/>
        <v/>
      </c>
      <c r="AH150" s="4" t="str">
        <f t="shared" si="135"/>
        <v/>
      </c>
      <c r="AI150" s="4" t="str">
        <f t="shared" si="136"/>
        <v/>
      </c>
      <c r="AJ150" s="4" t="str">
        <f t="shared" si="137"/>
        <v/>
      </c>
      <c r="AK150" s="4" t="str">
        <f t="shared" si="138"/>
        <v/>
      </c>
      <c r="AL150" s="2" t="str">
        <f t="shared" si="139"/>
        <v/>
      </c>
      <c r="AM150" s="6" t="str">
        <f t="shared" si="140"/>
        <v/>
      </c>
      <c r="AN150" s="4" t="str">
        <f t="shared" si="141"/>
        <v/>
      </c>
      <c r="AO150" s="4" t="str">
        <f t="shared" si="142"/>
        <v/>
      </c>
      <c r="AP150" s="4" t="str">
        <f t="shared" si="143"/>
        <v/>
      </c>
      <c r="AQ150" s="4" t="str">
        <f t="shared" si="144"/>
        <v/>
      </c>
      <c r="AR150" s="4" t="str">
        <f t="shared" si="145"/>
        <v/>
      </c>
    </row>
    <row r="151" spans="3:44" s="1" customFormat="1" ht="14.25" x14ac:dyDescent="0.3">
      <c r="H151" s="50"/>
      <c r="J151" s="54"/>
      <c r="L151" s="54"/>
      <c r="R151" s="45"/>
      <c r="S151" s="54"/>
      <c r="T151" s="54"/>
      <c r="U151" s="54"/>
      <c r="V151" s="44"/>
      <c r="W151" s="27"/>
      <c r="Z151" s="27"/>
      <c r="AA151" s="8"/>
      <c r="AB151" s="81" t="str">
        <f t="shared" si="129"/>
        <v/>
      </c>
      <c r="AC151" s="6" t="str">
        <f t="shared" si="130"/>
        <v/>
      </c>
      <c r="AD151" s="1" t="str">
        <f t="shared" ca="1" si="131"/>
        <v/>
      </c>
      <c r="AE151" s="75" t="str">
        <f t="shared" si="132"/>
        <v/>
      </c>
      <c r="AF151" s="75" t="str">
        <f t="shared" si="133"/>
        <v/>
      </c>
      <c r="AG151" s="4" t="str">
        <f t="shared" si="134"/>
        <v/>
      </c>
      <c r="AH151" s="4" t="str">
        <f t="shared" si="135"/>
        <v/>
      </c>
      <c r="AI151" s="4" t="str">
        <f t="shared" si="136"/>
        <v/>
      </c>
      <c r="AJ151" s="4" t="str">
        <f t="shared" si="137"/>
        <v/>
      </c>
      <c r="AK151" s="4" t="str">
        <f t="shared" si="138"/>
        <v/>
      </c>
      <c r="AL151" s="2" t="str">
        <f t="shared" si="139"/>
        <v/>
      </c>
      <c r="AM151" s="6" t="str">
        <f t="shared" si="140"/>
        <v/>
      </c>
      <c r="AN151" s="4" t="str">
        <f t="shared" si="141"/>
        <v/>
      </c>
      <c r="AO151" s="4" t="str">
        <f t="shared" si="142"/>
        <v/>
      </c>
      <c r="AP151" s="4" t="str">
        <f t="shared" si="143"/>
        <v/>
      </c>
      <c r="AQ151" s="4" t="str">
        <f t="shared" si="144"/>
        <v/>
      </c>
      <c r="AR151" s="4" t="str">
        <f t="shared" si="145"/>
        <v/>
      </c>
    </row>
    <row r="152" spans="3:44" s="1" customFormat="1" ht="14.25" x14ac:dyDescent="0.3">
      <c r="H152" s="50"/>
      <c r="J152" s="54"/>
      <c r="L152" s="54"/>
      <c r="R152" s="45"/>
      <c r="S152" s="54"/>
      <c r="T152" s="54"/>
      <c r="U152" s="54"/>
      <c r="V152" s="44"/>
      <c r="W152" s="27"/>
      <c r="Z152" s="27"/>
      <c r="AA152" s="8"/>
      <c r="AB152" s="81" t="str">
        <f t="shared" si="129"/>
        <v/>
      </c>
      <c r="AC152" s="6" t="str">
        <f t="shared" si="130"/>
        <v/>
      </c>
      <c r="AD152" s="1" t="str">
        <f t="shared" ca="1" si="131"/>
        <v/>
      </c>
      <c r="AE152" s="75" t="str">
        <f t="shared" si="132"/>
        <v/>
      </c>
      <c r="AF152" s="75" t="str">
        <f t="shared" si="133"/>
        <v/>
      </c>
      <c r="AG152" s="4" t="str">
        <f t="shared" si="134"/>
        <v/>
      </c>
      <c r="AH152" s="4" t="str">
        <f t="shared" si="135"/>
        <v/>
      </c>
      <c r="AI152" s="4" t="str">
        <f t="shared" si="136"/>
        <v/>
      </c>
      <c r="AJ152" s="4" t="str">
        <f t="shared" si="137"/>
        <v/>
      </c>
      <c r="AK152" s="4" t="str">
        <f t="shared" si="138"/>
        <v/>
      </c>
      <c r="AL152" s="2" t="str">
        <f t="shared" si="139"/>
        <v/>
      </c>
      <c r="AM152" s="6" t="str">
        <f t="shared" si="140"/>
        <v/>
      </c>
      <c r="AN152" s="4" t="str">
        <f t="shared" si="141"/>
        <v/>
      </c>
      <c r="AO152" s="4" t="str">
        <f t="shared" si="142"/>
        <v/>
      </c>
      <c r="AP152" s="4" t="str">
        <f t="shared" si="143"/>
        <v/>
      </c>
      <c r="AQ152" s="4" t="str">
        <f t="shared" si="144"/>
        <v/>
      </c>
      <c r="AR152" s="4" t="str">
        <f t="shared" si="145"/>
        <v/>
      </c>
    </row>
    <row r="153" spans="3:44" s="1" customFormat="1" ht="14.25" x14ac:dyDescent="0.3">
      <c r="H153" s="50"/>
      <c r="J153" s="54"/>
      <c r="L153" s="54"/>
      <c r="R153" s="45"/>
      <c r="S153" s="54"/>
      <c r="T153" s="54"/>
      <c r="U153" s="54"/>
      <c r="V153" s="44"/>
      <c r="W153" s="27"/>
      <c r="Z153" s="27"/>
      <c r="AA153" s="8"/>
      <c r="AB153" s="81" t="str">
        <f t="shared" si="129"/>
        <v/>
      </c>
      <c r="AC153" s="6" t="str">
        <f t="shared" si="130"/>
        <v/>
      </c>
      <c r="AD153" s="1" t="str">
        <f t="shared" ca="1" si="131"/>
        <v/>
      </c>
      <c r="AE153" s="75" t="str">
        <f t="shared" si="132"/>
        <v/>
      </c>
      <c r="AF153" s="75" t="str">
        <f t="shared" si="133"/>
        <v/>
      </c>
      <c r="AG153" s="4" t="str">
        <f t="shared" si="134"/>
        <v/>
      </c>
      <c r="AH153" s="4" t="str">
        <f t="shared" si="135"/>
        <v/>
      </c>
      <c r="AI153" s="4" t="str">
        <f t="shared" si="136"/>
        <v/>
      </c>
      <c r="AJ153" s="4" t="str">
        <f t="shared" si="137"/>
        <v/>
      </c>
      <c r="AK153" s="4" t="str">
        <f t="shared" si="138"/>
        <v/>
      </c>
      <c r="AL153" s="2" t="str">
        <f t="shared" si="139"/>
        <v/>
      </c>
      <c r="AM153" s="6" t="str">
        <f t="shared" si="140"/>
        <v/>
      </c>
      <c r="AN153" s="4" t="str">
        <f t="shared" si="141"/>
        <v/>
      </c>
      <c r="AO153" s="4" t="str">
        <f t="shared" si="142"/>
        <v/>
      </c>
      <c r="AP153" s="4" t="str">
        <f t="shared" si="143"/>
        <v/>
      </c>
      <c r="AQ153" s="4" t="str">
        <f t="shared" si="144"/>
        <v/>
      </c>
      <c r="AR153" s="4" t="str">
        <f t="shared" si="145"/>
        <v/>
      </c>
    </row>
    <row r="154" spans="3:44" s="1" customFormat="1" ht="14.25" x14ac:dyDescent="0.3">
      <c r="H154" s="50"/>
      <c r="J154" s="54"/>
      <c r="L154" s="54"/>
      <c r="R154" s="45"/>
      <c r="S154" s="54"/>
      <c r="T154" s="54"/>
      <c r="U154" s="54"/>
      <c r="V154" s="44"/>
      <c r="W154" s="27"/>
      <c r="Z154" s="27"/>
      <c r="AA154" s="8"/>
      <c r="AB154" s="81" t="str">
        <f t="shared" si="129"/>
        <v/>
      </c>
      <c r="AC154" s="6" t="str">
        <f t="shared" si="130"/>
        <v/>
      </c>
      <c r="AD154" s="1" t="str">
        <f t="shared" ca="1" si="131"/>
        <v/>
      </c>
      <c r="AE154" s="75" t="str">
        <f t="shared" si="132"/>
        <v/>
      </c>
      <c r="AF154" s="75" t="str">
        <f t="shared" si="133"/>
        <v/>
      </c>
      <c r="AG154" s="4" t="str">
        <f t="shared" si="134"/>
        <v/>
      </c>
      <c r="AH154" s="4" t="str">
        <f t="shared" si="135"/>
        <v/>
      </c>
      <c r="AI154" s="4" t="str">
        <f t="shared" si="136"/>
        <v/>
      </c>
      <c r="AJ154" s="4" t="str">
        <f t="shared" si="137"/>
        <v/>
      </c>
      <c r="AK154" s="4" t="str">
        <f t="shared" si="138"/>
        <v/>
      </c>
      <c r="AL154" s="2" t="str">
        <f t="shared" si="139"/>
        <v/>
      </c>
      <c r="AM154" s="6" t="str">
        <f t="shared" si="140"/>
        <v/>
      </c>
      <c r="AN154" s="4" t="str">
        <f t="shared" si="141"/>
        <v/>
      </c>
      <c r="AO154" s="4" t="str">
        <f t="shared" si="142"/>
        <v/>
      </c>
      <c r="AP154" s="4" t="str">
        <f t="shared" si="143"/>
        <v/>
      </c>
      <c r="AQ154" s="4" t="str">
        <f t="shared" si="144"/>
        <v/>
      </c>
      <c r="AR154" s="4" t="str">
        <f t="shared" si="145"/>
        <v/>
      </c>
    </row>
    <row r="155" spans="3:44" s="1" customFormat="1" ht="14.25" x14ac:dyDescent="0.3">
      <c r="H155" s="50"/>
      <c r="J155" s="54"/>
      <c r="L155" s="54"/>
      <c r="R155" s="45"/>
      <c r="S155" s="54"/>
      <c r="T155" s="54"/>
      <c r="U155" s="54"/>
      <c r="V155" s="44"/>
      <c r="W155" s="27"/>
      <c r="Z155" s="27"/>
      <c r="AA155" s="8"/>
      <c r="AB155" s="81" t="str">
        <f t="shared" si="129"/>
        <v/>
      </c>
      <c r="AC155" s="6" t="str">
        <f t="shared" si="130"/>
        <v/>
      </c>
      <c r="AD155" s="1" t="str">
        <f t="shared" ca="1" si="131"/>
        <v/>
      </c>
      <c r="AE155" s="75" t="str">
        <f t="shared" si="132"/>
        <v/>
      </c>
      <c r="AF155" s="75" t="str">
        <f t="shared" si="133"/>
        <v/>
      </c>
      <c r="AG155" s="4" t="str">
        <f t="shared" si="134"/>
        <v/>
      </c>
      <c r="AH155" s="4" t="str">
        <f t="shared" si="135"/>
        <v/>
      </c>
      <c r="AI155" s="4" t="str">
        <f t="shared" si="136"/>
        <v/>
      </c>
      <c r="AJ155" s="4" t="str">
        <f t="shared" si="137"/>
        <v/>
      </c>
      <c r="AK155" s="4" t="str">
        <f t="shared" si="138"/>
        <v/>
      </c>
      <c r="AL155" s="2" t="str">
        <f t="shared" si="139"/>
        <v/>
      </c>
      <c r="AM155" s="6" t="str">
        <f t="shared" si="140"/>
        <v/>
      </c>
      <c r="AN155" s="4" t="str">
        <f t="shared" si="141"/>
        <v/>
      </c>
      <c r="AO155" s="4" t="str">
        <f t="shared" si="142"/>
        <v/>
      </c>
      <c r="AP155" s="4" t="str">
        <f t="shared" si="143"/>
        <v/>
      </c>
      <c r="AQ155" s="4" t="str">
        <f t="shared" si="144"/>
        <v/>
      </c>
      <c r="AR155" s="4" t="str">
        <f t="shared" si="145"/>
        <v/>
      </c>
    </row>
    <row r="156" spans="3:44" s="1" customFormat="1" ht="14.25" x14ac:dyDescent="0.3">
      <c r="H156" s="50"/>
      <c r="J156" s="54"/>
      <c r="L156" s="54"/>
      <c r="R156" s="45"/>
      <c r="S156" s="54"/>
      <c r="T156" s="54"/>
      <c r="U156" s="54"/>
      <c r="V156" s="44"/>
      <c r="W156" s="27"/>
      <c r="Z156" s="27"/>
      <c r="AA156" s="8"/>
      <c r="AB156" s="81" t="str">
        <f t="shared" si="129"/>
        <v/>
      </c>
      <c r="AC156" s="6" t="str">
        <f t="shared" si="130"/>
        <v/>
      </c>
      <c r="AD156" s="1" t="str">
        <f t="shared" ca="1" si="131"/>
        <v/>
      </c>
      <c r="AE156" s="75" t="str">
        <f t="shared" si="132"/>
        <v/>
      </c>
      <c r="AF156" s="75" t="str">
        <f t="shared" si="133"/>
        <v/>
      </c>
      <c r="AG156" s="4" t="str">
        <f t="shared" si="134"/>
        <v/>
      </c>
      <c r="AH156" s="4" t="str">
        <f t="shared" si="135"/>
        <v/>
      </c>
      <c r="AI156" s="4" t="str">
        <f t="shared" si="136"/>
        <v/>
      </c>
      <c r="AJ156" s="4" t="str">
        <f t="shared" si="137"/>
        <v/>
      </c>
      <c r="AK156" s="4" t="str">
        <f t="shared" si="138"/>
        <v/>
      </c>
      <c r="AL156" s="2" t="str">
        <f t="shared" si="139"/>
        <v/>
      </c>
      <c r="AM156" s="6" t="str">
        <f t="shared" si="140"/>
        <v/>
      </c>
      <c r="AN156" s="4" t="str">
        <f t="shared" si="141"/>
        <v/>
      </c>
      <c r="AO156" s="4" t="str">
        <f t="shared" si="142"/>
        <v/>
      </c>
      <c r="AP156" s="4" t="str">
        <f t="shared" si="143"/>
        <v/>
      </c>
      <c r="AQ156" s="4" t="str">
        <f t="shared" si="144"/>
        <v/>
      </c>
      <c r="AR156" s="4" t="str">
        <f t="shared" si="145"/>
        <v/>
      </c>
    </row>
    <row r="157" spans="3:44" s="1" customFormat="1" ht="14.25" x14ac:dyDescent="0.3">
      <c r="H157" s="50"/>
      <c r="J157" s="54"/>
      <c r="L157" s="54"/>
      <c r="R157" s="45"/>
      <c r="S157" s="54"/>
      <c r="T157" s="54"/>
      <c r="U157" s="54"/>
      <c r="V157" s="44"/>
      <c r="W157" s="27"/>
      <c r="Z157" s="27"/>
      <c r="AA157" s="8"/>
      <c r="AB157" s="81" t="str">
        <f t="shared" si="129"/>
        <v/>
      </c>
      <c r="AC157" s="6" t="str">
        <f t="shared" si="130"/>
        <v/>
      </c>
      <c r="AD157" s="1" t="str">
        <f t="shared" ca="1" si="131"/>
        <v/>
      </c>
      <c r="AE157" s="75" t="str">
        <f t="shared" si="132"/>
        <v/>
      </c>
      <c r="AF157" s="75" t="str">
        <f t="shared" si="133"/>
        <v/>
      </c>
      <c r="AG157" s="4" t="str">
        <f t="shared" si="134"/>
        <v/>
      </c>
      <c r="AH157" s="4" t="str">
        <f t="shared" si="135"/>
        <v/>
      </c>
      <c r="AI157" s="4" t="str">
        <f t="shared" si="136"/>
        <v/>
      </c>
      <c r="AJ157" s="4" t="str">
        <f t="shared" si="137"/>
        <v/>
      </c>
      <c r="AK157" s="4" t="str">
        <f t="shared" si="138"/>
        <v/>
      </c>
      <c r="AL157" s="2" t="str">
        <f t="shared" si="139"/>
        <v/>
      </c>
      <c r="AM157" s="6" t="str">
        <f t="shared" si="140"/>
        <v/>
      </c>
      <c r="AN157" s="4" t="str">
        <f t="shared" si="141"/>
        <v/>
      </c>
      <c r="AO157" s="4" t="str">
        <f t="shared" si="142"/>
        <v/>
      </c>
      <c r="AP157" s="4" t="str">
        <f t="shared" si="143"/>
        <v/>
      </c>
      <c r="AQ157" s="4" t="str">
        <f t="shared" si="144"/>
        <v/>
      </c>
      <c r="AR157" s="4" t="str">
        <f t="shared" si="145"/>
        <v/>
      </c>
    </row>
    <row r="158" spans="3:44" s="1" customFormat="1" ht="14.25" x14ac:dyDescent="0.3">
      <c r="H158" s="50"/>
      <c r="J158" s="54"/>
      <c r="L158" s="54"/>
      <c r="R158" s="45"/>
      <c r="S158" s="54"/>
      <c r="T158" s="54"/>
      <c r="U158" s="54"/>
      <c r="V158" s="44"/>
      <c r="W158" s="27"/>
      <c r="Z158" s="27"/>
      <c r="AA158" s="8"/>
      <c r="AB158" s="81" t="str">
        <f t="shared" si="129"/>
        <v/>
      </c>
      <c r="AC158" s="6" t="str">
        <f t="shared" si="130"/>
        <v/>
      </c>
      <c r="AD158" s="1" t="str">
        <f t="shared" ca="1" si="131"/>
        <v/>
      </c>
      <c r="AE158" s="75" t="str">
        <f t="shared" si="132"/>
        <v/>
      </c>
      <c r="AF158" s="75" t="str">
        <f t="shared" si="133"/>
        <v/>
      </c>
      <c r="AG158" s="4" t="str">
        <f t="shared" si="134"/>
        <v/>
      </c>
      <c r="AH158" s="4" t="str">
        <f t="shared" si="135"/>
        <v/>
      </c>
      <c r="AI158" s="4" t="str">
        <f t="shared" si="136"/>
        <v/>
      </c>
      <c r="AJ158" s="4" t="str">
        <f t="shared" si="137"/>
        <v/>
      </c>
      <c r="AK158" s="4" t="str">
        <f t="shared" si="138"/>
        <v/>
      </c>
      <c r="AL158" s="2" t="str">
        <f t="shared" si="139"/>
        <v/>
      </c>
      <c r="AM158" s="6" t="str">
        <f t="shared" si="140"/>
        <v/>
      </c>
      <c r="AN158" s="4" t="str">
        <f t="shared" si="141"/>
        <v/>
      </c>
      <c r="AO158" s="4" t="str">
        <f t="shared" si="142"/>
        <v/>
      </c>
      <c r="AP158" s="4" t="str">
        <f t="shared" si="143"/>
        <v/>
      </c>
      <c r="AQ158" s="4" t="str">
        <f t="shared" si="144"/>
        <v/>
      </c>
      <c r="AR158" s="4" t="str">
        <f t="shared" si="145"/>
        <v/>
      </c>
    </row>
    <row r="159" spans="3:44" s="1" customFormat="1" ht="14.25" x14ac:dyDescent="0.3">
      <c r="H159" s="50"/>
      <c r="J159" s="54"/>
      <c r="L159" s="54"/>
      <c r="R159" s="45"/>
      <c r="S159" s="54"/>
      <c r="T159" s="54"/>
      <c r="U159" s="54"/>
      <c r="V159" s="44"/>
      <c r="W159" s="27"/>
      <c r="Z159" s="27"/>
      <c r="AA159" s="8"/>
      <c r="AB159" s="81" t="str">
        <f t="shared" si="129"/>
        <v/>
      </c>
      <c r="AC159" s="6" t="str">
        <f t="shared" si="130"/>
        <v/>
      </c>
      <c r="AD159" s="1" t="str">
        <f t="shared" ca="1" si="131"/>
        <v/>
      </c>
      <c r="AE159" s="75" t="str">
        <f t="shared" si="132"/>
        <v/>
      </c>
      <c r="AF159" s="75" t="str">
        <f t="shared" si="133"/>
        <v/>
      </c>
      <c r="AG159" s="4" t="str">
        <f t="shared" si="134"/>
        <v/>
      </c>
      <c r="AH159" s="4" t="str">
        <f t="shared" si="135"/>
        <v/>
      </c>
      <c r="AI159" s="4" t="str">
        <f t="shared" si="136"/>
        <v/>
      </c>
      <c r="AJ159" s="4" t="str">
        <f t="shared" si="137"/>
        <v/>
      </c>
      <c r="AK159" s="4" t="str">
        <f t="shared" si="138"/>
        <v/>
      </c>
      <c r="AL159" s="2" t="str">
        <f t="shared" si="139"/>
        <v/>
      </c>
      <c r="AM159" s="6" t="str">
        <f t="shared" si="140"/>
        <v/>
      </c>
      <c r="AN159" s="4" t="str">
        <f t="shared" si="141"/>
        <v/>
      </c>
      <c r="AO159" s="4" t="str">
        <f t="shared" si="142"/>
        <v/>
      </c>
      <c r="AP159" s="4" t="str">
        <f t="shared" si="143"/>
        <v/>
      </c>
      <c r="AQ159" s="4" t="str">
        <f t="shared" si="144"/>
        <v/>
      </c>
      <c r="AR159" s="4" t="str">
        <f t="shared" si="145"/>
        <v/>
      </c>
    </row>
    <row r="160" spans="3:44" s="1" customFormat="1" ht="14.25" x14ac:dyDescent="0.3">
      <c r="H160" s="50"/>
      <c r="J160" s="54"/>
      <c r="L160" s="54"/>
      <c r="R160" s="45"/>
      <c r="S160" s="54"/>
      <c r="T160" s="54"/>
      <c r="U160" s="54"/>
      <c r="V160" s="44"/>
      <c r="W160" s="27"/>
      <c r="Z160" s="27"/>
      <c r="AA160" s="8"/>
      <c r="AB160" s="81" t="str">
        <f t="shared" si="129"/>
        <v/>
      </c>
      <c r="AC160" s="6" t="str">
        <f t="shared" si="130"/>
        <v/>
      </c>
      <c r="AD160" s="1" t="str">
        <f t="shared" ca="1" si="131"/>
        <v/>
      </c>
      <c r="AE160" s="75" t="str">
        <f t="shared" si="132"/>
        <v/>
      </c>
      <c r="AF160" s="75" t="str">
        <f t="shared" si="133"/>
        <v/>
      </c>
      <c r="AG160" s="4" t="str">
        <f t="shared" si="134"/>
        <v/>
      </c>
      <c r="AH160" s="4" t="str">
        <f t="shared" si="135"/>
        <v/>
      </c>
      <c r="AI160" s="4" t="str">
        <f t="shared" si="136"/>
        <v/>
      </c>
      <c r="AJ160" s="4" t="str">
        <f t="shared" si="137"/>
        <v/>
      </c>
      <c r="AK160" s="4" t="str">
        <f t="shared" si="138"/>
        <v/>
      </c>
      <c r="AL160" s="2" t="str">
        <f t="shared" si="139"/>
        <v/>
      </c>
      <c r="AM160" s="6" t="str">
        <f t="shared" si="140"/>
        <v/>
      </c>
      <c r="AN160" s="4" t="str">
        <f t="shared" si="141"/>
        <v/>
      </c>
      <c r="AO160" s="4" t="str">
        <f t="shared" si="142"/>
        <v/>
      </c>
      <c r="AP160" s="4" t="str">
        <f t="shared" si="143"/>
        <v/>
      </c>
      <c r="AQ160" s="4" t="str">
        <f t="shared" si="144"/>
        <v/>
      </c>
      <c r="AR160" s="4" t="str">
        <f t="shared" si="145"/>
        <v/>
      </c>
    </row>
    <row r="161" spans="8:44" s="1" customFormat="1" ht="14.25" x14ac:dyDescent="0.3">
      <c r="H161" s="50"/>
      <c r="J161" s="54"/>
      <c r="L161" s="54"/>
      <c r="R161" s="45"/>
      <c r="S161" s="54"/>
      <c r="T161" s="54"/>
      <c r="U161" s="54"/>
      <c r="V161" s="44"/>
      <c r="W161" s="27"/>
      <c r="Z161" s="27"/>
      <c r="AA161" s="8"/>
      <c r="AB161" s="81" t="str">
        <f t="shared" si="129"/>
        <v/>
      </c>
      <c r="AC161" s="6" t="str">
        <f t="shared" si="130"/>
        <v/>
      </c>
      <c r="AD161" s="1" t="str">
        <f t="shared" ca="1" si="131"/>
        <v/>
      </c>
      <c r="AE161" s="75" t="str">
        <f t="shared" si="132"/>
        <v/>
      </c>
      <c r="AF161" s="75" t="str">
        <f t="shared" si="133"/>
        <v/>
      </c>
      <c r="AG161" s="4" t="str">
        <f t="shared" si="134"/>
        <v/>
      </c>
      <c r="AH161" s="4" t="str">
        <f t="shared" si="135"/>
        <v/>
      </c>
      <c r="AI161" s="4" t="str">
        <f t="shared" si="136"/>
        <v/>
      </c>
      <c r="AJ161" s="4" t="str">
        <f t="shared" si="137"/>
        <v/>
      </c>
      <c r="AK161" s="4" t="str">
        <f t="shared" si="138"/>
        <v/>
      </c>
      <c r="AL161" s="2" t="str">
        <f t="shared" si="139"/>
        <v/>
      </c>
      <c r="AM161" s="6" t="str">
        <f t="shared" si="140"/>
        <v/>
      </c>
      <c r="AN161" s="4" t="str">
        <f t="shared" si="141"/>
        <v/>
      </c>
      <c r="AO161" s="4" t="str">
        <f t="shared" si="142"/>
        <v/>
      </c>
      <c r="AP161" s="4" t="str">
        <f t="shared" si="143"/>
        <v/>
      </c>
      <c r="AQ161" s="4" t="str">
        <f t="shared" si="144"/>
        <v/>
      </c>
      <c r="AR161" s="4" t="str">
        <f t="shared" si="145"/>
        <v/>
      </c>
    </row>
    <row r="162" spans="8:44" s="1" customFormat="1" ht="14.25" x14ac:dyDescent="0.3">
      <c r="H162" s="50"/>
      <c r="J162" s="54"/>
      <c r="L162" s="54"/>
      <c r="R162" s="45"/>
      <c r="S162" s="54"/>
      <c r="T162" s="54"/>
      <c r="U162" s="54"/>
      <c r="V162" s="44"/>
      <c r="W162" s="27"/>
      <c r="Z162" s="27"/>
      <c r="AA162" s="8"/>
      <c r="AB162" s="81" t="str">
        <f t="shared" si="129"/>
        <v/>
      </c>
      <c r="AC162" s="6" t="str">
        <f t="shared" si="130"/>
        <v/>
      </c>
      <c r="AD162" s="1" t="str">
        <f t="shared" ca="1" si="131"/>
        <v/>
      </c>
      <c r="AE162" s="75" t="str">
        <f t="shared" si="132"/>
        <v/>
      </c>
      <c r="AF162" s="75" t="str">
        <f t="shared" si="133"/>
        <v/>
      </c>
      <c r="AG162" s="4" t="str">
        <f t="shared" si="134"/>
        <v/>
      </c>
      <c r="AH162" s="4" t="str">
        <f t="shared" si="135"/>
        <v/>
      </c>
      <c r="AI162" s="4" t="str">
        <f t="shared" si="136"/>
        <v/>
      </c>
      <c r="AJ162" s="4" t="str">
        <f t="shared" si="137"/>
        <v/>
      </c>
      <c r="AK162" s="4" t="str">
        <f t="shared" si="138"/>
        <v/>
      </c>
      <c r="AL162" s="2" t="str">
        <f t="shared" si="139"/>
        <v/>
      </c>
      <c r="AM162" s="6" t="str">
        <f t="shared" si="140"/>
        <v/>
      </c>
      <c r="AN162" s="4" t="str">
        <f t="shared" si="141"/>
        <v/>
      </c>
      <c r="AO162" s="4" t="str">
        <f t="shared" si="142"/>
        <v/>
      </c>
      <c r="AP162" s="4" t="str">
        <f t="shared" si="143"/>
        <v/>
      </c>
      <c r="AQ162" s="4" t="str">
        <f t="shared" si="144"/>
        <v/>
      </c>
      <c r="AR162" s="4" t="str">
        <f t="shared" si="145"/>
        <v/>
      </c>
    </row>
    <row r="163" spans="8:44" s="1" customFormat="1" ht="14.25" x14ac:dyDescent="0.3">
      <c r="H163" s="50"/>
      <c r="J163" s="54"/>
      <c r="L163" s="54"/>
      <c r="R163" s="45"/>
      <c r="S163" s="54"/>
      <c r="T163" s="54"/>
      <c r="U163" s="54"/>
      <c r="V163" s="44"/>
      <c r="W163" s="27"/>
      <c r="Z163" s="27"/>
      <c r="AA163" s="8"/>
      <c r="AB163" s="81" t="str">
        <f t="shared" si="129"/>
        <v/>
      </c>
      <c r="AC163" s="6" t="str">
        <f t="shared" si="130"/>
        <v/>
      </c>
      <c r="AD163" s="1" t="str">
        <f t="shared" ca="1" si="131"/>
        <v/>
      </c>
      <c r="AE163" s="75" t="str">
        <f t="shared" si="132"/>
        <v/>
      </c>
      <c r="AF163" s="75" t="str">
        <f t="shared" si="133"/>
        <v/>
      </c>
      <c r="AG163" s="4" t="str">
        <f t="shared" si="134"/>
        <v/>
      </c>
      <c r="AH163" s="4" t="str">
        <f t="shared" si="135"/>
        <v/>
      </c>
      <c r="AI163" s="4" t="str">
        <f t="shared" si="136"/>
        <v/>
      </c>
      <c r="AJ163" s="4" t="str">
        <f t="shared" si="137"/>
        <v/>
      </c>
      <c r="AK163" s="4" t="str">
        <f t="shared" si="138"/>
        <v/>
      </c>
      <c r="AL163" s="2" t="str">
        <f t="shared" si="139"/>
        <v/>
      </c>
      <c r="AM163" s="6" t="str">
        <f t="shared" si="140"/>
        <v/>
      </c>
      <c r="AN163" s="4" t="str">
        <f t="shared" si="141"/>
        <v/>
      </c>
      <c r="AO163" s="4" t="str">
        <f t="shared" si="142"/>
        <v/>
      </c>
      <c r="AP163" s="4" t="str">
        <f t="shared" si="143"/>
        <v/>
      </c>
      <c r="AQ163" s="4" t="str">
        <f t="shared" si="144"/>
        <v/>
      </c>
      <c r="AR163" s="4" t="str">
        <f t="shared" si="145"/>
        <v/>
      </c>
    </row>
    <row r="164" spans="8:44" s="1" customFormat="1" ht="14.25" x14ac:dyDescent="0.3">
      <c r="H164" s="50"/>
      <c r="J164" s="54"/>
      <c r="L164" s="54"/>
      <c r="R164" s="45"/>
      <c r="S164" s="54"/>
      <c r="T164" s="54"/>
      <c r="U164" s="54"/>
      <c r="V164" s="44"/>
      <c r="W164" s="27"/>
      <c r="Z164" s="27"/>
      <c r="AA164" s="8"/>
      <c r="AB164" s="81" t="str">
        <f t="shared" si="129"/>
        <v/>
      </c>
      <c r="AC164" s="6" t="str">
        <f t="shared" si="130"/>
        <v/>
      </c>
      <c r="AD164" s="1" t="str">
        <f t="shared" ca="1" si="131"/>
        <v/>
      </c>
      <c r="AE164" s="75" t="str">
        <f t="shared" si="132"/>
        <v/>
      </c>
      <c r="AF164" s="75" t="str">
        <f t="shared" si="133"/>
        <v/>
      </c>
      <c r="AG164" s="4" t="str">
        <f t="shared" si="134"/>
        <v/>
      </c>
      <c r="AH164" s="4" t="str">
        <f t="shared" si="135"/>
        <v/>
      </c>
      <c r="AI164" s="4" t="str">
        <f t="shared" si="136"/>
        <v/>
      </c>
      <c r="AJ164" s="4" t="str">
        <f t="shared" si="137"/>
        <v/>
      </c>
      <c r="AK164" s="4" t="str">
        <f t="shared" si="138"/>
        <v/>
      </c>
      <c r="AL164" s="2" t="str">
        <f t="shared" si="139"/>
        <v/>
      </c>
      <c r="AM164" s="6" t="str">
        <f t="shared" si="140"/>
        <v/>
      </c>
      <c r="AN164" s="4" t="str">
        <f t="shared" si="141"/>
        <v/>
      </c>
      <c r="AO164" s="4" t="str">
        <f t="shared" si="142"/>
        <v/>
      </c>
      <c r="AP164" s="4" t="str">
        <f t="shared" si="143"/>
        <v/>
      </c>
      <c r="AQ164" s="4" t="str">
        <f t="shared" si="144"/>
        <v/>
      </c>
      <c r="AR164" s="4" t="str">
        <f t="shared" si="145"/>
        <v/>
      </c>
    </row>
    <row r="165" spans="8:44" s="1" customFormat="1" ht="14.25" x14ac:dyDescent="0.3">
      <c r="H165" s="50"/>
      <c r="J165" s="54"/>
      <c r="L165" s="54"/>
      <c r="R165" s="45"/>
      <c r="S165" s="54"/>
      <c r="T165" s="54"/>
      <c r="U165" s="54"/>
      <c r="V165" s="44"/>
      <c r="W165" s="27"/>
      <c r="Z165" s="27"/>
      <c r="AA165" s="8"/>
      <c r="AB165" s="81" t="str">
        <f t="shared" si="129"/>
        <v/>
      </c>
      <c r="AC165" s="6" t="str">
        <f t="shared" si="130"/>
        <v/>
      </c>
      <c r="AD165" s="1" t="str">
        <f t="shared" ca="1" si="131"/>
        <v/>
      </c>
      <c r="AE165" s="75" t="str">
        <f t="shared" si="132"/>
        <v/>
      </c>
      <c r="AF165" s="75" t="str">
        <f t="shared" si="133"/>
        <v/>
      </c>
      <c r="AG165" s="4" t="str">
        <f t="shared" si="134"/>
        <v/>
      </c>
      <c r="AH165" s="4" t="str">
        <f t="shared" si="135"/>
        <v/>
      </c>
      <c r="AI165" s="4" t="str">
        <f t="shared" si="136"/>
        <v/>
      </c>
      <c r="AJ165" s="4" t="str">
        <f t="shared" si="137"/>
        <v/>
      </c>
      <c r="AK165" s="4" t="str">
        <f t="shared" si="138"/>
        <v/>
      </c>
      <c r="AL165" s="2" t="str">
        <f t="shared" si="139"/>
        <v/>
      </c>
      <c r="AM165" s="6" t="str">
        <f t="shared" si="140"/>
        <v/>
      </c>
      <c r="AN165" s="4" t="str">
        <f t="shared" si="141"/>
        <v/>
      </c>
      <c r="AO165" s="4" t="str">
        <f t="shared" si="142"/>
        <v/>
      </c>
      <c r="AP165" s="4" t="str">
        <f t="shared" si="143"/>
        <v/>
      </c>
      <c r="AQ165" s="4" t="str">
        <f t="shared" si="144"/>
        <v/>
      </c>
      <c r="AR165" s="4" t="str">
        <f t="shared" si="145"/>
        <v/>
      </c>
    </row>
    <row r="166" spans="8:44" s="1" customFormat="1" ht="14.25" x14ac:dyDescent="0.3">
      <c r="H166" s="50"/>
      <c r="J166" s="54"/>
      <c r="L166" s="54"/>
      <c r="R166" s="45"/>
      <c r="S166" s="54"/>
      <c r="T166" s="54"/>
      <c r="U166" s="54"/>
      <c r="V166" s="44"/>
      <c r="W166" s="27"/>
      <c r="Z166" s="27"/>
      <c r="AA166" s="8"/>
      <c r="AB166" s="81" t="str">
        <f t="shared" si="129"/>
        <v/>
      </c>
      <c r="AC166" s="6" t="str">
        <f t="shared" si="130"/>
        <v/>
      </c>
      <c r="AD166" s="1" t="str">
        <f t="shared" ca="1" si="131"/>
        <v/>
      </c>
      <c r="AE166" s="75" t="str">
        <f t="shared" si="132"/>
        <v/>
      </c>
      <c r="AF166" s="75" t="str">
        <f t="shared" si="133"/>
        <v/>
      </c>
      <c r="AG166" s="4" t="str">
        <f t="shared" si="134"/>
        <v/>
      </c>
      <c r="AH166" s="4" t="str">
        <f t="shared" si="135"/>
        <v/>
      </c>
      <c r="AI166" s="4" t="str">
        <f t="shared" si="136"/>
        <v/>
      </c>
      <c r="AJ166" s="4" t="str">
        <f t="shared" si="137"/>
        <v/>
      </c>
      <c r="AK166" s="4" t="str">
        <f t="shared" si="138"/>
        <v/>
      </c>
      <c r="AL166" s="2" t="str">
        <f t="shared" si="139"/>
        <v/>
      </c>
      <c r="AM166" s="6" t="str">
        <f t="shared" si="140"/>
        <v/>
      </c>
      <c r="AN166" s="4" t="str">
        <f t="shared" si="141"/>
        <v/>
      </c>
      <c r="AO166" s="4" t="str">
        <f t="shared" si="142"/>
        <v/>
      </c>
      <c r="AP166" s="4" t="str">
        <f t="shared" si="143"/>
        <v/>
      </c>
      <c r="AQ166" s="4" t="str">
        <f t="shared" si="144"/>
        <v/>
      </c>
      <c r="AR166" s="4" t="str">
        <f t="shared" si="145"/>
        <v/>
      </c>
    </row>
    <row r="167" spans="8:44" s="1" customFormat="1" ht="14.25" x14ac:dyDescent="0.3">
      <c r="H167" s="50"/>
      <c r="J167" s="54"/>
      <c r="L167" s="54"/>
      <c r="R167" s="45"/>
      <c r="S167" s="54"/>
      <c r="T167" s="54"/>
      <c r="U167" s="54"/>
      <c r="V167" s="44"/>
      <c r="W167" s="27"/>
      <c r="Z167" s="27"/>
      <c r="AA167" s="8"/>
      <c r="AB167" s="81" t="str">
        <f t="shared" si="129"/>
        <v/>
      </c>
      <c r="AC167" s="6" t="str">
        <f t="shared" si="130"/>
        <v/>
      </c>
      <c r="AD167" s="1" t="str">
        <f t="shared" ca="1" si="131"/>
        <v/>
      </c>
      <c r="AE167" s="75" t="str">
        <f t="shared" si="132"/>
        <v/>
      </c>
      <c r="AF167" s="75" t="str">
        <f t="shared" si="133"/>
        <v/>
      </c>
      <c r="AG167" s="4" t="str">
        <f t="shared" si="134"/>
        <v/>
      </c>
      <c r="AH167" s="4" t="str">
        <f t="shared" si="135"/>
        <v/>
      </c>
      <c r="AI167" s="4" t="str">
        <f t="shared" si="136"/>
        <v/>
      </c>
      <c r="AJ167" s="4" t="str">
        <f t="shared" si="137"/>
        <v/>
      </c>
      <c r="AK167" s="4" t="str">
        <f t="shared" si="138"/>
        <v/>
      </c>
      <c r="AL167" s="2" t="str">
        <f t="shared" si="139"/>
        <v/>
      </c>
      <c r="AM167" s="6" t="str">
        <f t="shared" si="140"/>
        <v/>
      </c>
      <c r="AN167" s="4" t="str">
        <f t="shared" si="141"/>
        <v/>
      </c>
      <c r="AO167" s="4" t="str">
        <f t="shared" si="142"/>
        <v/>
      </c>
      <c r="AP167" s="4" t="str">
        <f t="shared" si="143"/>
        <v/>
      </c>
      <c r="AQ167" s="4" t="str">
        <f t="shared" si="144"/>
        <v/>
      </c>
      <c r="AR167" s="4" t="str">
        <f t="shared" si="145"/>
        <v/>
      </c>
    </row>
    <row r="168" spans="8:44" s="1" customFormat="1" ht="14.25" x14ac:dyDescent="0.3">
      <c r="H168" s="50"/>
      <c r="J168" s="54"/>
      <c r="L168" s="54"/>
      <c r="R168" s="45"/>
      <c r="S168" s="54"/>
      <c r="T168" s="54"/>
      <c r="U168" s="54"/>
      <c r="V168" s="44"/>
      <c r="W168" s="27"/>
      <c r="Z168" s="27"/>
      <c r="AA168" s="8"/>
      <c r="AB168" s="81" t="str">
        <f t="shared" si="129"/>
        <v/>
      </c>
      <c r="AC168" s="6" t="str">
        <f t="shared" si="130"/>
        <v/>
      </c>
      <c r="AD168" s="1" t="str">
        <f t="shared" ca="1" si="131"/>
        <v/>
      </c>
      <c r="AE168" s="75" t="str">
        <f t="shared" si="132"/>
        <v/>
      </c>
      <c r="AF168" s="75" t="str">
        <f t="shared" si="133"/>
        <v/>
      </c>
      <c r="AG168" s="4" t="str">
        <f t="shared" si="134"/>
        <v/>
      </c>
      <c r="AH168" s="4" t="str">
        <f t="shared" si="135"/>
        <v/>
      </c>
      <c r="AI168" s="4" t="str">
        <f t="shared" si="136"/>
        <v/>
      </c>
      <c r="AJ168" s="4" t="str">
        <f t="shared" si="137"/>
        <v/>
      </c>
      <c r="AK168" s="4" t="str">
        <f t="shared" si="138"/>
        <v/>
      </c>
      <c r="AL168" s="2" t="str">
        <f t="shared" si="139"/>
        <v/>
      </c>
      <c r="AM168" s="6" t="str">
        <f t="shared" si="140"/>
        <v/>
      </c>
      <c r="AN168" s="4" t="str">
        <f t="shared" si="141"/>
        <v/>
      </c>
      <c r="AO168" s="4" t="str">
        <f t="shared" si="142"/>
        <v/>
      </c>
      <c r="AP168" s="4" t="str">
        <f t="shared" si="143"/>
        <v/>
      </c>
      <c r="AQ168" s="4" t="str">
        <f t="shared" si="144"/>
        <v/>
      </c>
      <c r="AR168" s="4" t="str">
        <f t="shared" si="145"/>
        <v/>
      </c>
    </row>
    <row r="169" spans="8:44" s="1" customFormat="1" ht="14.25" x14ac:dyDescent="0.3">
      <c r="H169" s="50"/>
      <c r="J169" s="54"/>
      <c r="L169" s="54"/>
      <c r="R169" s="45"/>
      <c r="S169" s="54"/>
      <c r="T169" s="54"/>
      <c r="U169" s="54"/>
      <c r="V169" s="44"/>
      <c r="W169" s="27"/>
      <c r="Z169" s="27"/>
      <c r="AA169" s="8"/>
      <c r="AB169" s="81" t="str">
        <f t="shared" si="129"/>
        <v/>
      </c>
      <c r="AC169" s="6" t="str">
        <f t="shared" si="130"/>
        <v/>
      </c>
      <c r="AD169" s="1" t="str">
        <f t="shared" ca="1" si="131"/>
        <v/>
      </c>
      <c r="AE169" s="75" t="str">
        <f t="shared" si="132"/>
        <v/>
      </c>
      <c r="AF169" s="75" t="str">
        <f t="shared" si="133"/>
        <v/>
      </c>
      <c r="AG169" s="4" t="str">
        <f t="shared" si="134"/>
        <v/>
      </c>
      <c r="AH169" s="4" t="str">
        <f t="shared" si="135"/>
        <v/>
      </c>
      <c r="AI169" s="4" t="str">
        <f t="shared" si="136"/>
        <v/>
      </c>
      <c r="AJ169" s="4" t="str">
        <f t="shared" si="137"/>
        <v/>
      </c>
      <c r="AK169" s="4" t="str">
        <f t="shared" si="138"/>
        <v/>
      </c>
      <c r="AL169" s="2" t="str">
        <f t="shared" si="139"/>
        <v/>
      </c>
      <c r="AM169" s="6" t="str">
        <f t="shared" si="140"/>
        <v/>
      </c>
      <c r="AN169" s="4" t="str">
        <f t="shared" si="141"/>
        <v/>
      </c>
      <c r="AO169" s="4" t="str">
        <f t="shared" si="142"/>
        <v/>
      </c>
      <c r="AP169" s="4" t="str">
        <f t="shared" si="143"/>
        <v/>
      </c>
      <c r="AQ169" s="4" t="str">
        <f t="shared" si="144"/>
        <v/>
      </c>
      <c r="AR169" s="4" t="str">
        <f t="shared" si="145"/>
        <v/>
      </c>
    </row>
    <row r="170" spans="8:44" s="1" customFormat="1" ht="14.25" x14ac:dyDescent="0.3">
      <c r="H170" s="50"/>
      <c r="J170" s="54"/>
      <c r="L170" s="54"/>
      <c r="R170" s="45"/>
      <c r="S170" s="54"/>
      <c r="T170" s="54"/>
      <c r="U170" s="54"/>
      <c r="V170" s="44"/>
      <c r="W170" s="27"/>
      <c r="Z170" s="27"/>
      <c r="AA170" s="8"/>
      <c r="AB170" s="81" t="str">
        <f t="shared" si="129"/>
        <v/>
      </c>
      <c r="AC170" s="6" t="str">
        <f t="shared" si="130"/>
        <v/>
      </c>
      <c r="AD170" s="1" t="str">
        <f t="shared" ca="1" si="131"/>
        <v/>
      </c>
      <c r="AE170" s="75" t="str">
        <f t="shared" si="132"/>
        <v/>
      </c>
      <c r="AF170" s="75" t="str">
        <f t="shared" si="133"/>
        <v/>
      </c>
      <c r="AG170" s="4" t="str">
        <f t="shared" si="134"/>
        <v/>
      </c>
      <c r="AH170" s="4" t="str">
        <f t="shared" si="135"/>
        <v/>
      </c>
      <c r="AI170" s="4" t="str">
        <f t="shared" si="136"/>
        <v/>
      </c>
      <c r="AJ170" s="4" t="str">
        <f t="shared" si="137"/>
        <v/>
      </c>
      <c r="AK170" s="4" t="str">
        <f t="shared" si="138"/>
        <v/>
      </c>
      <c r="AL170" s="2" t="str">
        <f t="shared" si="139"/>
        <v/>
      </c>
      <c r="AM170" s="6" t="str">
        <f t="shared" si="140"/>
        <v/>
      </c>
      <c r="AN170" s="4" t="str">
        <f t="shared" si="141"/>
        <v/>
      </c>
      <c r="AO170" s="4" t="str">
        <f t="shared" si="142"/>
        <v/>
      </c>
      <c r="AP170" s="4" t="str">
        <f t="shared" si="143"/>
        <v/>
      </c>
      <c r="AQ170" s="4" t="str">
        <f t="shared" si="144"/>
        <v/>
      </c>
      <c r="AR170" s="4" t="str">
        <f t="shared" si="145"/>
        <v/>
      </c>
    </row>
    <row r="171" spans="8:44" s="1" customFormat="1" ht="14.25" x14ac:dyDescent="0.3">
      <c r="H171" s="50"/>
      <c r="J171" s="54"/>
      <c r="L171" s="54"/>
      <c r="R171" s="45"/>
      <c r="S171" s="54"/>
      <c r="T171" s="54"/>
      <c r="U171" s="54"/>
      <c r="V171" s="44"/>
      <c r="W171" s="27"/>
      <c r="Z171" s="27"/>
      <c r="AA171" s="8"/>
      <c r="AB171" s="81" t="str">
        <f t="shared" si="129"/>
        <v/>
      </c>
      <c r="AC171" s="6" t="str">
        <f t="shared" si="130"/>
        <v/>
      </c>
      <c r="AD171" s="1" t="str">
        <f t="shared" ca="1" si="131"/>
        <v/>
      </c>
      <c r="AE171" s="75" t="str">
        <f t="shared" si="132"/>
        <v/>
      </c>
      <c r="AF171" s="75" t="str">
        <f t="shared" si="133"/>
        <v/>
      </c>
      <c r="AG171" s="4" t="str">
        <f t="shared" si="134"/>
        <v/>
      </c>
      <c r="AH171" s="4" t="str">
        <f t="shared" si="135"/>
        <v/>
      </c>
      <c r="AI171" s="4" t="str">
        <f t="shared" si="136"/>
        <v/>
      </c>
      <c r="AJ171" s="4" t="str">
        <f t="shared" si="137"/>
        <v/>
      </c>
      <c r="AK171" s="4" t="str">
        <f t="shared" si="138"/>
        <v/>
      </c>
      <c r="AL171" s="2" t="str">
        <f t="shared" si="139"/>
        <v/>
      </c>
      <c r="AM171" s="6" t="str">
        <f t="shared" si="140"/>
        <v/>
      </c>
      <c r="AN171" s="4" t="str">
        <f t="shared" si="141"/>
        <v/>
      </c>
      <c r="AO171" s="4" t="str">
        <f t="shared" si="142"/>
        <v/>
      </c>
      <c r="AP171" s="4" t="str">
        <f t="shared" si="143"/>
        <v/>
      </c>
      <c r="AQ171" s="4" t="str">
        <f t="shared" si="144"/>
        <v/>
      </c>
      <c r="AR171" s="4" t="str">
        <f t="shared" si="145"/>
        <v/>
      </c>
    </row>
    <row r="172" spans="8:44" s="1" customFormat="1" ht="14.25" x14ac:dyDescent="0.3">
      <c r="H172" s="50"/>
      <c r="J172" s="54"/>
      <c r="L172" s="54"/>
      <c r="R172" s="45"/>
      <c r="S172" s="54"/>
      <c r="T172" s="54"/>
      <c r="U172" s="54"/>
      <c r="V172" s="44"/>
      <c r="W172" s="27"/>
      <c r="Z172" s="27"/>
      <c r="AA172" s="8"/>
      <c r="AB172" s="81" t="str">
        <f t="shared" si="129"/>
        <v/>
      </c>
      <c r="AC172" s="6" t="str">
        <f t="shared" si="130"/>
        <v/>
      </c>
      <c r="AD172" s="1" t="str">
        <f t="shared" ca="1" si="131"/>
        <v/>
      </c>
      <c r="AE172" s="75" t="str">
        <f t="shared" si="132"/>
        <v/>
      </c>
      <c r="AF172" s="75" t="str">
        <f t="shared" si="133"/>
        <v/>
      </c>
      <c r="AG172" s="4" t="str">
        <f t="shared" si="134"/>
        <v/>
      </c>
      <c r="AH172" s="4" t="str">
        <f t="shared" si="135"/>
        <v/>
      </c>
      <c r="AI172" s="4" t="str">
        <f t="shared" si="136"/>
        <v/>
      </c>
      <c r="AJ172" s="4" t="str">
        <f t="shared" si="137"/>
        <v/>
      </c>
      <c r="AK172" s="4" t="str">
        <f t="shared" si="138"/>
        <v/>
      </c>
      <c r="AL172" s="2" t="str">
        <f t="shared" si="139"/>
        <v/>
      </c>
      <c r="AM172" s="6" t="str">
        <f t="shared" si="140"/>
        <v/>
      </c>
      <c r="AN172" s="4" t="str">
        <f t="shared" si="141"/>
        <v/>
      </c>
      <c r="AO172" s="4" t="str">
        <f t="shared" si="142"/>
        <v/>
      </c>
      <c r="AP172" s="4" t="str">
        <f t="shared" si="143"/>
        <v/>
      </c>
      <c r="AQ172" s="4" t="str">
        <f t="shared" si="144"/>
        <v/>
      </c>
      <c r="AR172" s="4" t="str">
        <f t="shared" si="145"/>
        <v/>
      </c>
    </row>
    <row r="173" spans="8:44" s="1" customFormat="1" ht="14.25" x14ac:dyDescent="0.3">
      <c r="H173" s="50"/>
      <c r="J173" s="54"/>
      <c r="L173" s="54"/>
      <c r="R173" s="45"/>
      <c r="S173" s="54"/>
      <c r="T173" s="54"/>
      <c r="U173" s="54"/>
      <c r="V173" s="44"/>
      <c r="W173" s="27"/>
      <c r="Z173" s="27"/>
      <c r="AA173" s="8"/>
      <c r="AB173" s="81" t="str">
        <f t="shared" si="129"/>
        <v/>
      </c>
      <c r="AC173" s="6" t="str">
        <f t="shared" si="130"/>
        <v/>
      </c>
      <c r="AD173" s="1" t="str">
        <f t="shared" ca="1" si="131"/>
        <v/>
      </c>
      <c r="AE173" s="75" t="str">
        <f t="shared" si="132"/>
        <v/>
      </c>
      <c r="AF173" s="75" t="str">
        <f t="shared" si="133"/>
        <v/>
      </c>
      <c r="AG173" s="4" t="str">
        <f t="shared" si="134"/>
        <v/>
      </c>
      <c r="AH173" s="4" t="str">
        <f t="shared" si="135"/>
        <v/>
      </c>
      <c r="AI173" s="4" t="str">
        <f t="shared" si="136"/>
        <v/>
      </c>
      <c r="AJ173" s="4" t="str">
        <f t="shared" si="137"/>
        <v/>
      </c>
      <c r="AK173" s="4" t="str">
        <f t="shared" si="138"/>
        <v/>
      </c>
      <c r="AL173" s="2" t="str">
        <f t="shared" si="139"/>
        <v/>
      </c>
      <c r="AM173" s="6" t="str">
        <f t="shared" si="140"/>
        <v/>
      </c>
      <c r="AN173" s="4" t="str">
        <f t="shared" si="141"/>
        <v/>
      </c>
      <c r="AO173" s="4" t="str">
        <f t="shared" si="142"/>
        <v/>
      </c>
      <c r="AP173" s="4" t="str">
        <f t="shared" si="143"/>
        <v/>
      </c>
      <c r="AQ173" s="4" t="str">
        <f t="shared" si="144"/>
        <v/>
      </c>
      <c r="AR173" s="4" t="str">
        <f t="shared" si="145"/>
        <v/>
      </c>
    </row>
    <row r="174" spans="8:44" s="1" customFormat="1" ht="14.25" x14ac:dyDescent="0.3">
      <c r="H174" s="50"/>
      <c r="J174" s="54"/>
      <c r="L174" s="54"/>
      <c r="R174" s="45"/>
      <c r="S174" s="54"/>
      <c r="T174" s="54"/>
      <c r="U174" s="54"/>
      <c r="V174" s="44"/>
      <c r="W174" s="27"/>
      <c r="Z174" s="27"/>
      <c r="AA174" s="8"/>
      <c r="AB174" s="81" t="str">
        <f t="shared" si="129"/>
        <v/>
      </c>
      <c r="AC174" s="6" t="str">
        <f t="shared" si="130"/>
        <v/>
      </c>
      <c r="AD174" s="1" t="str">
        <f t="shared" ca="1" si="131"/>
        <v/>
      </c>
      <c r="AE174" s="75" t="str">
        <f t="shared" si="132"/>
        <v/>
      </c>
      <c r="AF174" s="75" t="str">
        <f t="shared" si="133"/>
        <v/>
      </c>
      <c r="AG174" s="4" t="str">
        <f t="shared" si="134"/>
        <v/>
      </c>
      <c r="AH174" s="4" t="str">
        <f t="shared" si="135"/>
        <v/>
      </c>
      <c r="AI174" s="4" t="str">
        <f t="shared" si="136"/>
        <v/>
      </c>
      <c r="AJ174" s="4" t="str">
        <f t="shared" si="137"/>
        <v/>
      </c>
      <c r="AK174" s="4" t="str">
        <f t="shared" si="138"/>
        <v/>
      </c>
      <c r="AL174" s="2" t="str">
        <f t="shared" si="139"/>
        <v/>
      </c>
      <c r="AM174" s="6" t="str">
        <f t="shared" si="140"/>
        <v/>
      </c>
      <c r="AN174" s="4" t="str">
        <f t="shared" si="141"/>
        <v/>
      </c>
      <c r="AO174" s="4" t="str">
        <f t="shared" si="142"/>
        <v/>
      </c>
      <c r="AP174" s="4" t="str">
        <f t="shared" si="143"/>
        <v/>
      </c>
      <c r="AQ174" s="4" t="str">
        <f t="shared" si="144"/>
        <v/>
      </c>
      <c r="AR174" s="4" t="str">
        <f t="shared" si="145"/>
        <v/>
      </c>
    </row>
    <row r="175" spans="8:44" s="1" customFormat="1" ht="14.25" x14ac:dyDescent="0.3">
      <c r="H175" s="50"/>
      <c r="J175" s="54"/>
      <c r="L175" s="54"/>
      <c r="R175" s="45"/>
      <c r="S175" s="54"/>
      <c r="T175" s="54"/>
      <c r="U175" s="54"/>
      <c r="V175" s="44"/>
      <c r="W175" s="27"/>
      <c r="Z175" s="27"/>
      <c r="AA175" s="8"/>
      <c r="AB175" s="81" t="str">
        <f t="shared" si="129"/>
        <v/>
      </c>
      <c r="AC175" s="6" t="str">
        <f t="shared" si="130"/>
        <v/>
      </c>
      <c r="AD175" s="1" t="str">
        <f t="shared" ca="1" si="131"/>
        <v/>
      </c>
      <c r="AE175" s="75" t="str">
        <f t="shared" si="132"/>
        <v/>
      </c>
      <c r="AF175" s="75" t="str">
        <f t="shared" si="133"/>
        <v/>
      </c>
      <c r="AG175" s="4" t="str">
        <f t="shared" si="134"/>
        <v/>
      </c>
      <c r="AH175" s="4" t="str">
        <f t="shared" si="135"/>
        <v/>
      </c>
      <c r="AI175" s="4" t="str">
        <f t="shared" si="136"/>
        <v/>
      </c>
      <c r="AJ175" s="4" t="str">
        <f t="shared" si="137"/>
        <v/>
      </c>
      <c r="AK175" s="4" t="str">
        <f t="shared" si="138"/>
        <v/>
      </c>
      <c r="AL175" s="2" t="str">
        <f t="shared" si="139"/>
        <v/>
      </c>
      <c r="AM175" s="6" t="str">
        <f t="shared" si="140"/>
        <v/>
      </c>
      <c r="AN175" s="4" t="str">
        <f t="shared" si="141"/>
        <v/>
      </c>
      <c r="AO175" s="4" t="str">
        <f t="shared" si="142"/>
        <v/>
      </c>
      <c r="AP175" s="4" t="str">
        <f t="shared" si="143"/>
        <v/>
      </c>
      <c r="AQ175" s="4" t="str">
        <f t="shared" si="144"/>
        <v/>
      </c>
      <c r="AR175" s="4" t="str">
        <f t="shared" si="145"/>
        <v/>
      </c>
    </row>
    <row r="176" spans="8:44" s="1" customFormat="1" ht="14.25" x14ac:dyDescent="0.3">
      <c r="H176" s="50"/>
      <c r="J176" s="54"/>
      <c r="L176" s="54"/>
      <c r="R176" s="45"/>
      <c r="S176" s="54"/>
      <c r="T176" s="54"/>
      <c r="U176" s="54"/>
      <c r="V176" s="44"/>
      <c r="W176" s="27"/>
      <c r="Z176" s="27"/>
      <c r="AA176" s="8"/>
      <c r="AB176" s="81" t="str">
        <f t="shared" si="129"/>
        <v/>
      </c>
      <c r="AC176" s="6" t="str">
        <f t="shared" si="130"/>
        <v/>
      </c>
      <c r="AD176" s="1" t="str">
        <f t="shared" ca="1" si="131"/>
        <v/>
      </c>
      <c r="AE176" s="75" t="str">
        <f t="shared" si="132"/>
        <v/>
      </c>
      <c r="AF176" s="75" t="str">
        <f t="shared" si="133"/>
        <v/>
      </c>
      <c r="AG176" s="4" t="str">
        <f t="shared" si="134"/>
        <v/>
      </c>
      <c r="AH176" s="4" t="str">
        <f t="shared" si="135"/>
        <v/>
      </c>
      <c r="AI176" s="4" t="str">
        <f t="shared" si="136"/>
        <v/>
      </c>
      <c r="AJ176" s="4" t="str">
        <f t="shared" si="137"/>
        <v/>
      </c>
      <c r="AK176" s="4" t="str">
        <f t="shared" si="138"/>
        <v/>
      </c>
      <c r="AL176" s="2" t="str">
        <f t="shared" si="139"/>
        <v/>
      </c>
      <c r="AM176" s="6" t="str">
        <f t="shared" si="140"/>
        <v/>
      </c>
      <c r="AN176" s="4" t="str">
        <f t="shared" si="141"/>
        <v/>
      </c>
      <c r="AO176" s="4" t="str">
        <f t="shared" si="142"/>
        <v/>
      </c>
      <c r="AP176" s="4" t="str">
        <f t="shared" si="143"/>
        <v/>
      </c>
      <c r="AQ176" s="4" t="str">
        <f t="shared" si="144"/>
        <v/>
      </c>
      <c r="AR176" s="4" t="str">
        <f t="shared" si="145"/>
        <v/>
      </c>
    </row>
    <row r="177" spans="8:44" s="1" customFormat="1" ht="14.25" x14ac:dyDescent="0.3">
      <c r="H177" s="50"/>
      <c r="J177" s="54"/>
      <c r="L177" s="54"/>
      <c r="R177" s="45"/>
      <c r="S177" s="54"/>
      <c r="T177" s="54"/>
      <c r="U177" s="54"/>
      <c r="V177" s="44"/>
      <c r="W177" s="27"/>
      <c r="Z177" s="27"/>
      <c r="AA177" s="8"/>
      <c r="AB177" s="81" t="str">
        <f t="shared" si="129"/>
        <v/>
      </c>
      <c r="AC177" s="6" t="str">
        <f t="shared" si="130"/>
        <v/>
      </c>
      <c r="AD177" s="1" t="str">
        <f t="shared" ca="1" si="131"/>
        <v/>
      </c>
      <c r="AE177" s="75" t="str">
        <f t="shared" si="132"/>
        <v/>
      </c>
      <c r="AF177" s="75" t="str">
        <f t="shared" si="133"/>
        <v/>
      </c>
      <c r="AG177" s="4" t="str">
        <f t="shared" si="134"/>
        <v/>
      </c>
      <c r="AH177" s="4" t="str">
        <f t="shared" si="135"/>
        <v/>
      </c>
      <c r="AI177" s="4" t="str">
        <f t="shared" si="136"/>
        <v/>
      </c>
      <c r="AJ177" s="4" t="str">
        <f t="shared" si="137"/>
        <v/>
      </c>
      <c r="AK177" s="4" t="str">
        <f t="shared" si="138"/>
        <v/>
      </c>
      <c r="AL177" s="2" t="str">
        <f t="shared" si="139"/>
        <v/>
      </c>
      <c r="AM177" s="6" t="str">
        <f t="shared" si="140"/>
        <v/>
      </c>
      <c r="AN177" s="4" t="str">
        <f t="shared" si="141"/>
        <v/>
      </c>
      <c r="AO177" s="4" t="str">
        <f t="shared" si="142"/>
        <v/>
      </c>
      <c r="AP177" s="4" t="str">
        <f t="shared" si="143"/>
        <v/>
      </c>
      <c r="AQ177" s="4" t="str">
        <f t="shared" si="144"/>
        <v/>
      </c>
      <c r="AR177" s="4" t="str">
        <f t="shared" si="145"/>
        <v/>
      </c>
    </row>
    <row r="178" spans="8:44" s="1" customFormat="1" ht="14.25" x14ac:dyDescent="0.3">
      <c r="H178" s="50"/>
      <c r="J178" s="54"/>
      <c r="L178" s="54"/>
      <c r="R178" s="45"/>
      <c r="S178" s="54"/>
      <c r="T178" s="54"/>
      <c r="U178" s="54"/>
      <c r="V178" s="44"/>
      <c r="W178" s="27"/>
      <c r="Z178" s="27"/>
      <c r="AA178" s="8"/>
      <c r="AB178" s="81" t="str">
        <f t="shared" si="129"/>
        <v/>
      </c>
      <c r="AC178" s="6" t="str">
        <f t="shared" si="130"/>
        <v/>
      </c>
      <c r="AD178" s="1" t="str">
        <f t="shared" ca="1" si="131"/>
        <v/>
      </c>
      <c r="AE178" s="75" t="str">
        <f t="shared" si="132"/>
        <v/>
      </c>
      <c r="AF178" s="75" t="str">
        <f t="shared" si="133"/>
        <v/>
      </c>
      <c r="AG178" s="4" t="str">
        <f t="shared" si="134"/>
        <v/>
      </c>
      <c r="AH178" s="4" t="str">
        <f t="shared" si="135"/>
        <v/>
      </c>
      <c r="AI178" s="4" t="str">
        <f t="shared" si="136"/>
        <v/>
      </c>
      <c r="AJ178" s="4" t="str">
        <f t="shared" si="137"/>
        <v/>
      </c>
      <c r="AK178" s="4" t="str">
        <f t="shared" si="138"/>
        <v/>
      </c>
      <c r="AL178" s="2" t="str">
        <f t="shared" si="139"/>
        <v/>
      </c>
      <c r="AM178" s="6" t="str">
        <f t="shared" si="140"/>
        <v/>
      </c>
      <c r="AN178" s="4" t="str">
        <f t="shared" si="141"/>
        <v/>
      </c>
      <c r="AO178" s="4" t="str">
        <f t="shared" si="142"/>
        <v/>
      </c>
      <c r="AP178" s="4" t="str">
        <f t="shared" si="143"/>
        <v/>
      </c>
      <c r="AQ178" s="4" t="str">
        <f t="shared" si="144"/>
        <v/>
      </c>
      <c r="AR178" s="4" t="str">
        <f t="shared" si="145"/>
        <v/>
      </c>
    </row>
    <row r="179" spans="8:44" s="1" customFormat="1" ht="14.25" x14ac:dyDescent="0.3">
      <c r="H179" s="50"/>
      <c r="J179" s="54"/>
      <c r="L179" s="54"/>
      <c r="R179" s="45"/>
      <c r="S179" s="54"/>
      <c r="T179" s="54"/>
      <c r="U179" s="54"/>
      <c r="V179" s="44"/>
      <c r="W179" s="27"/>
      <c r="Z179" s="27"/>
      <c r="AA179" s="8"/>
      <c r="AB179" s="81" t="str">
        <f t="shared" si="129"/>
        <v/>
      </c>
      <c r="AC179" s="6" t="str">
        <f t="shared" si="130"/>
        <v/>
      </c>
      <c r="AD179" s="1" t="str">
        <f t="shared" ca="1" si="131"/>
        <v/>
      </c>
      <c r="AE179" s="75" t="str">
        <f t="shared" si="132"/>
        <v/>
      </c>
      <c r="AF179" s="75" t="str">
        <f t="shared" si="133"/>
        <v/>
      </c>
      <c r="AG179" s="4" t="str">
        <f t="shared" si="134"/>
        <v/>
      </c>
      <c r="AH179" s="4" t="str">
        <f t="shared" si="135"/>
        <v/>
      </c>
      <c r="AI179" s="4" t="str">
        <f t="shared" si="136"/>
        <v/>
      </c>
      <c r="AJ179" s="4" t="str">
        <f t="shared" si="137"/>
        <v/>
      </c>
      <c r="AK179" s="4" t="str">
        <f t="shared" si="138"/>
        <v/>
      </c>
      <c r="AL179" s="2" t="str">
        <f t="shared" si="139"/>
        <v/>
      </c>
      <c r="AM179" s="6" t="str">
        <f t="shared" si="140"/>
        <v/>
      </c>
      <c r="AN179" s="4" t="str">
        <f t="shared" si="141"/>
        <v/>
      </c>
      <c r="AO179" s="4" t="str">
        <f t="shared" si="142"/>
        <v/>
      </c>
      <c r="AP179" s="4" t="str">
        <f t="shared" si="143"/>
        <v/>
      </c>
      <c r="AQ179" s="4" t="str">
        <f t="shared" si="144"/>
        <v/>
      </c>
      <c r="AR179" s="4" t="str">
        <f t="shared" si="145"/>
        <v/>
      </c>
    </row>
    <row r="180" spans="8:44" s="1" customFormat="1" ht="14.25" x14ac:dyDescent="0.3">
      <c r="H180" s="50"/>
      <c r="J180" s="54"/>
      <c r="L180" s="54"/>
      <c r="R180" s="45"/>
      <c r="S180" s="54"/>
      <c r="T180" s="54"/>
      <c r="U180" s="54"/>
      <c r="V180" s="44"/>
      <c r="W180" s="27"/>
      <c r="Z180" s="27"/>
      <c r="AA180" s="8"/>
      <c r="AB180" s="81" t="str">
        <f t="shared" si="129"/>
        <v/>
      </c>
      <c r="AC180" s="6" t="str">
        <f t="shared" si="130"/>
        <v/>
      </c>
      <c r="AD180" s="1" t="str">
        <f t="shared" ca="1" si="131"/>
        <v/>
      </c>
      <c r="AE180" s="75" t="str">
        <f t="shared" si="132"/>
        <v/>
      </c>
      <c r="AF180" s="75" t="str">
        <f t="shared" si="133"/>
        <v/>
      </c>
      <c r="AG180" s="4" t="str">
        <f t="shared" si="134"/>
        <v/>
      </c>
      <c r="AH180" s="4" t="str">
        <f t="shared" si="135"/>
        <v/>
      </c>
      <c r="AI180" s="4" t="str">
        <f t="shared" si="136"/>
        <v/>
      </c>
      <c r="AJ180" s="4" t="str">
        <f t="shared" si="137"/>
        <v/>
      </c>
      <c r="AK180" s="4" t="str">
        <f t="shared" si="138"/>
        <v/>
      </c>
      <c r="AL180" s="2" t="str">
        <f t="shared" si="139"/>
        <v/>
      </c>
      <c r="AM180" s="6" t="str">
        <f t="shared" si="140"/>
        <v/>
      </c>
      <c r="AN180" s="4" t="str">
        <f t="shared" si="141"/>
        <v/>
      </c>
      <c r="AO180" s="4" t="str">
        <f t="shared" si="142"/>
        <v/>
      </c>
      <c r="AP180" s="4" t="str">
        <f t="shared" si="143"/>
        <v/>
      </c>
      <c r="AQ180" s="4" t="str">
        <f t="shared" si="144"/>
        <v/>
      </c>
      <c r="AR180" s="4" t="str">
        <f t="shared" si="145"/>
        <v/>
      </c>
    </row>
    <row r="181" spans="8:44" s="1" customFormat="1" ht="14.25" x14ac:dyDescent="0.3">
      <c r="H181" s="50"/>
      <c r="J181" s="54"/>
      <c r="L181" s="54"/>
      <c r="R181" s="45"/>
      <c r="S181" s="54"/>
      <c r="T181" s="54"/>
      <c r="U181" s="54"/>
      <c r="V181" s="44"/>
      <c r="W181" s="27"/>
      <c r="Z181" s="27"/>
      <c r="AA181" s="8"/>
      <c r="AB181" s="81" t="str">
        <f t="shared" si="129"/>
        <v/>
      </c>
      <c r="AC181" s="6" t="str">
        <f t="shared" si="130"/>
        <v/>
      </c>
      <c r="AD181" s="1" t="str">
        <f t="shared" ca="1" si="131"/>
        <v/>
      </c>
      <c r="AE181" s="75" t="str">
        <f t="shared" si="132"/>
        <v/>
      </c>
      <c r="AF181" s="75" t="str">
        <f t="shared" si="133"/>
        <v/>
      </c>
      <c r="AG181" s="4" t="str">
        <f t="shared" si="134"/>
        <v/>
      </c>
      <c r="AH181" s="4" t="str">
        <f t="shared" si="135"/>
        <v/>
      </c>
      <c r="AI181" s="4" t="str">
        <f t="shared" si="136"/>
        <v/>
      </c>
      <c r="AJ181" s="4" t="str">
        <f t="shared" si="137"/>
        <v/>
      </c>
      <c r="AK181" s="4" t="str">
        <f t="shared" si="138"/>
        <v/>
      </c>
      <c r="AL181" s="2" t="str">
        <f t="shared" si="139"/>
        <v/>
      </c>
      <c r="AM181" s="6" t="str">
        <f t="shared" si="140"/>
        <v/>
      </c>
      <c r="AN181" s="4" t="str">
        <f t="shared" si="141"/>
        <v/>
      </c>
      <c r="AO181" s="4" t="str">
        <f t="shared" si="142"/>
        <v/>
      </c>
      <c r="AP181" s="4" t="str">
        <f t="shared" si="143"/>
        <v/>
      </c>
      <c r="AQ181" s="4" t="str">
        <f t="shared" si="144"/>
        <v/>
      </c>
      <c r="AR181" s="4" t="str">
        <f t="shared" si="145"/>
        <v/>
      </c>
    </row>
    <row r="182" spans="8:44" s="1" customFormat="1" ht="14.25" x14ac:dyDescent="0.3">
      <c r="H182" s="50"/>
      <c r="J182" s="54"/>
      <c r="L182" s="54"/>
      <c r="R182" s="45"/>
      <c r="S182" s="54"/>
      <c r="T182" s="54"/>
      <c r="U182" s="54"/>
      <c r="V182" s="44"/>
      <c r="W182" s="27"/>
      <c r="Z182" s="27"/>
      <c r="AA182" s="8"/>
      <c r="AB182" s="81" t="str">
        <f t="shared" si="129"/>
        <v/>
      </c>
      <c r="AC182" s="6" t="str">
        <f t="shared" si="130"/>
        <v/>
      </c>
      <c r="AD182" s="1" t="str">
        <f t="shared" ca="1" si="131"/>
        <v/>
      </c>
      <c r="AE182" s="75" t="str">
        <f t="shared" si="132"/>
        <v/>
      </c>
      <c r="AF182" s="75" t="str">
        <f t="shared" si="133"/>
        <v/>
      </c>
      <c r="AG182" s="4" t="str">
        <f t="shared" si="134"/>
        <v/>
      </c>
      <c r="AH182" s="4" t="str">
        <f t="shared" si="135"/>
        <v/>
      </c>
      <c r="AI182" s="4" t="str">
        <f t="shared" si="136"/>
        <v/>
      </c>
      <c r="AJ182" s="4" t="str">
        <f t="shared" si="137"/>
        <v/>
      </c>
      <c r="AK182" s="4" t="str">
        <f t="shared" si="138"/>
        <v/>
      </c>
      <c r="AL182" s="2" t="str">
        <f t="shared" si="139"/>
        <v/>
      </c>
      <c r="AM182" s="6" t="str">
        <f t="shared" si="140"/>
        <v/>
      </c>
      <c r="AN182" s="4" t="str">
        <f t="shared" si="141"/>
        <v/>
      </c>
      <c r="AO182" s="4" t="str">
        <f t="shared" si="142"/>
        <v/>
      </c>
      <c r="AP182" s="4" t="str">
        <f t="shared" si="143"/>
        <v/>
      </c>
      <c r="AQ182" s="4" t="str">
        <f t="shared" si="144"/>
        <v/>
      </c>
      <c r="AR182" s="4" t="str">
        <f t="shared" si="145"/>
        <v/>
      </c>
    </row>
    <row r="183" spans="8:44" s="1" customFormat="1" ht="14.25" x14ac:dyDescent="0.3">
      <c r="H183" s="50"/>
      <c r="J183" s="54"/>
      <c r="L183" s="54"/>
      <c r="R183" s="45"/>
      <c r="S183" s="54"/>
      <c r="T183" s="54"/>
      <c r="U183" s="54"/>
      <c r="V183" s="44"/>
      <c r="W183" s="27"/>
      <c r="Z183" s="27"/>
      <c r="AA183" s="8"/>
      <c r="AB183" s="81" t="str">
        <f t="shared" si="129"/>
        <v/>
      </c>
      <c r="AC183" s="6" t="str">
        <f t="shared" si="130"/>
        <v/>
      </c>
      <c r="AD183" s="1" t="str">
        <f t="shared" ca="1" si="131"/>
        <v/>
      </c>
      <c r="AE183" s="75" t="str">
        <f t="shared" si="132"/>
        <v/>
      </c>
      <c r="AF183" s="75" t="str">
        <f t="shared" si="133"/>
        <v/>
      </c>
      <c r="AG183" s="4" t="str">
        <f t="shared" si="134"/>
        <v/>
      </c>
      <c r="AH183" s="4" t="str">
        <f t="shared" si="135"/>
        <v/>
      </c>
      <c r="AI183" s="4" t="str">
        <f t="shared" si="136"/>
        <v/>
      </c>
      <c r="AJ183" s="4" t="str">
        <f t="shared" si="137"/>
        <v/>
      </c>
      <c r="AK183" s="4" t="str">
        <f t="shared" si="138"/>
        <v/>
      </c>
      <c r="AL183" s="2" t="str">
        <f t="shared" si="139"/>
        <v/>
      </c>
      <c r="AM183" s="6" t="str">
        <f t="shared" si="140"/>
        <v/>
      </c>
      <c r="AN183" s="4" t="str">
        <f t="shared" si="141"/>
        <v/>
      </c>
      <c r="AO183" s="4" t="str">
        <f t="shared" si="142"/>
        <v/>
      </c>
      <c r="AP183" s="4" t="str">
        <f t="shared" si="143"/>
        <v/>
      </c>
      <c r="AQ183" s="4" t="str">
        <f t="shared" si="144"/>
        <v/>
      </c>
      <c r="AR183" s="4" t="str">
        <f t="shared" si="145"/>
        <v/>
      </c>
    </row>
    <row r="184" spans="8:44" s="1" customFormat="1" ht="14.25" x14ac:dyDescent="0.3">
      <c r="H184" s="50"/>
      <c r="J184" s="54"/>
      <c r="L184" s="54"/>
      <c r="R184" s="45"/>
      <c r="S184" s="54"/>
      <c r="T184" s="54"/>
      <c r="U184" s="54"/>
      <c r="V184" s="44"/>
      <c r="W184" s="27"/>
      <c r="Z184" s="27"/>
      <c r="AA184" s="8"/>
      <c r="AB184" s="81" t="str">
        <f t="shared" si="129"/>
        <v/>
      </c>
      <c r="AC184" s="6" t="str">
        <f t="shared" si="130"/>
        <v/>
      </c>
      <c r="AD184" s="1" t="str">
        <f t="shared" ca="1" si="131"/>
        <v/>
      </c>
      <c r="AE184" s="75" t="str">
        <f t="shared" si="132"/>
        <v/>
      </c>
      <c r="AF184" s="75" t="str">
        <f t="shared" si="133"/>
        <v/>
      </c>
      <c r="AG184" s="4" t="str">
        <f t="shared" si="134"/>
        <v/>
      </c>
      <c r="AH184" s="4" t="str">
        <f t="shared" si="135"/>
        <v/>
      </c>
      <c r="AI184" s="4" t="str">
        <f t="shared" si="136"/>
        <v/>
      </c>
      <c r="AJ184" s="4" t="str">
        <f t="shared" si="137"/>
        <v/>
      </c>
      <c r="AK184" s="4" t="str">
        <f t="shared" si="138"/>
        <v/>
      </c>
      <c r="AL184" s="2" t="str">
        <f t="shared" si="139"/>
        <v/>
      </c>
      <c r="AM184" s="6" t="str">
        <f t="shared" si="140"/>
        <v/>
      </c>
      <c r="AN184" s="4" t="str">
        <f t="shared" si="141"/>
        <v/>
      </c>
      <c r="AO184" s="4" t="str">
        <f t="shared" si="142"/>
        <v/>
      </c>
      <c r="AP184" s="4" t="str">
        <f t="shared" si="143"/>
        <v/>
      </c>
      <c r="AQ184" s="4" t="str">
        <f t="shared" si="144"/>
        <v/>
      </c>
      <c r="AR184" s="4" t="str">
        <f t="shared" si="145"/>
        <v/>
      </c>
    </row>
    <row r="185" spans="8:44" s="1" customFormat="1" ht="14.25" x14ac:dyDescent="0.3">
      <c r="H185" s="50"/>
      <c r="J185" s="54"/>
      <c r="L185" s="54"/>
      <c r="R185" s="45"/>
      <c r="S185" s="54"/>
      <c r="T185" s="54"/>
      <c r="U185" s="54"/>
      <c r="V185" s="44"/>
      <c r="W185" s="27"/>
      <c r="Z185" s="27"/>
      <c r="AA185" s="8"/>
      <c r="AB185" s="81" t="str">
        <f t="shared" si="129"/>
        <v/>
      </c>
      <c r="AC185" s="6" t="str">
        <f t="shared" si="130"/>
        <v/>
      </c>
      <c r="AD185" s="1" t="str">
        <f t="shared" ca="1" si="131"/>
        <v/>
      </c>
      <c r="AE185" s="75" t="str">
        <f t="shared" si="132"/>
        <v/>
      </c>
      <c r="AF185" s="75" t="str">
        <f t="shared" si="133"/>
        <v/>
      </c>
      <c r="AG185" s="4" t="str">
        <f t="shared" si="134"/>
        <v/>
      </c>
      <c r="AH185" s="4" t="str">
        <f t="shared" si="135"/>
        <v/>
      </c>
      <c r="AI185" s="4" t="str">
        <f t="shared" si="136"/>
        <v/>
      </c>
      <c r="AJ185" s="4" t="str">
        <f t="shared" si="137"/>
        <v/>
      </c>
      <c r="AK185" s="4" t="str">
        <f t="shared" si="138"/>
        <v/>
      </c>
      <c r="AL185" s="2" t="str">
        <f t="shared" si="139"/>
        <v/>
      </c>
      <c r="AM185" s="6" t="str">
        <f t="shared" si="140"/>
        <v/>
      </c>
      <c r="AN185" s="4" t="str">
        <f t="shared" si="141"/>
        <v/>
      </c>
      <c r="AO185" s="4" t="str">
        <f t="shared" si="142"/>
        <v/>
      </c>
      <c r="AP185" s="4" t="str">
        <f t="shared" si="143"/>
        <v/>
      </c>
      <c r="AQ185" s="4" t="str">
        <f t="shared" si="144"/>
        <v/>
      </c>
      <c r="AR185" s="4" t="str">
        <f t="shared" si="145"/>
        <v/>
      </c>
    </row>
    <row r="186" spans="8:44" s="1" customFormat="1" ht="14.25" x14ac:dyDescent="0.3">
      <c r="H186" s="50"/>
      <c r="J186" s="54"/>
      <c r="L186" s="54"/>
      <c r="R186" s="45"/>
      <c r="S186" s="54"/>
      <c r="T186" s="54"/>
      <c r="U186" s="54"/>
      <c r="V186" s="44"/>
      <c r="W186" s="27"/>
      <c r="Z186" s="27"/>
      <c r="AA186" s="8"/>
      <c r="AB186" s="81" t="str">
        <f t="shared" si="129"/>
        <v/>
      </c>
      <c r="AC186" s="6" t="str">
        <f t="shared" si="130"/>
        <v/>
      </c>
      <c r="AD186" s="1" t="str">
        <f t="shared" ca="1" si="131"/>
        <v/>
      </c>
      <c r="AE186" s="75" t="str">
        <f t="shared" si="132"/>
        <v/>
      </c>
      <c r="AF186" s="75" t="str">
        <f t="shared" si="133"/>
        <v/>
      </c>
      <c r="AG186" s="4" t="str">
        <f t="shared" si="134"/>
        <v/>
      </c>
      <c r="AH186" s="4" t="str">
        <f t="shared" si="135"/>
        <v/>
      </c>
      <c r="AI186" s="4" t="str">
        <f t="shared" si="136"/>
        <v/>
      </c>
      <c r="AJ186" s="4" t="str">
        <f t="shared" si="137"/>
        <v/>
      </c>
      <c r="AK186" s="4" t="str">
        <f t="shared" si="138"/>
        <v/>
      </c>
      <c r="AL186" s="2" t="str">
        <f t="shared" si="139"/>
        <v/>
      </c>
      <c r="AM186" s="6" t="str">
        <f t="shared" si="140"/>
        <v/>
      </c>
      <c r="AN186" s="4" t="str">
        <f t="shared" si="141"/>
        <v/>
      </c>
      <c r="AO186" s="4" t="str">
        <f t="shared" si="142"/>
        <v/>
      </c>
      <c r="AP186" s="4" t="str">
        <f t="shared" si="143"/>
        <v/>
      </c>
      <c r="AQ186" s="4" t="str">
        <f t="shared" si="144"/>
        <v/>
      </c>
      <c r="AR186" s="4" t="str">
        <f t="shared" si="145"/>
        <v/>
      </c>
    </row>
    <row r="187" spans="8:44" s="1" customFormat="1" ht="14.25" x14ac:dyDescent="0.3">
      <c r="H187" s="50"/>
      <c r="J187" s="54"/>
      <c r="L187" s="54"/>
      <c r="R187" s="45"/>
      <c r="S187" s="54"/>
      <c r="T187" s="54"/>
      <c r="U187" s="54"/>
      <c r="V187" s="44"/>
      <c r="W187" s="27"/>
      <c r="Z187" s="27"/>
      <c r="AA187" s="8"/>
      <c r="AB187" s="81" t="str">
        <f t="shared" si="129"/>
        <v/>
      </c>
      <c r="AC187" s="6" t="str">
        <f t="shared" si="130"/>
        <v/>
      </c>
      <c r="AD187" s="1" t="str">
        <f t="shared" ca="1" si="131"/>
        <v/>
      </c>
      <c r="AE187" s="75" t="str">
        <f t="shared" si="132"/>
        <v/>
      </c>
      <c r="AF187" s="75" t="str">
        <f t="shared" si="133"/>
        <v/>
      </c>
      <c r="AG187" s="4" t="str">
        <f t="shared" si="134"/>
        <v/>
      </c>
      <c r="AH187" s="4" t="str">
        <f t="shared" si="135"/>
        <v/>
      </c>
      <c r="AI187" s="4" t="str">
        <f t="shared" si="136"/>
        <v/>
      </c>
      <c r="AJ187" s="4" t="str">
        <f t="shared" si="137"/>
        <v/>
      </c>
      <c r="AK187" s="4" t="str">
        <f t="shared" si="138"/>
        <v/>
      </c>
      <c r="AL187" s="2" t="str">
        <f t="shared" si="139"/>
        <v/>
      </c>
      <c r="AM187" s="6" t="str">
        <f t="shared" si="140"/>
        <v/>
      </c>
      <c r="AN187" s="4" t="str">
        <f t="shared" si="141"/>
        <v/>
      </c>
      <c r="AO187" s="4" t="str">
        <f t="shared" si="142"/>
        <v/>
      </c>
      <c r="AP187" s="4" t="str">
        <f t="shared" si="143"/>
        <v/>
      </c>
      <c r="AQ187" s="4" t="str">
        <f t="shared" si="144"/>
        <v/>
      </c>
      <c r="AR187" s="4" t="str">
        <f t="shared" si="145"/>
        <v/>
      </c>
    </row>
    <row r="188" spans="8:44" s="1" customFormat="1" ht="14.25" x14ac:dyDescent="0.3">
      <c r="H188" s="50"/>
      <c r="J188" s="54"/>
      <c r="L188" s="54"/>
      <c r="R188" s="45"/>
      <c r="S188" s="54"/>
      <c r="T188" s="54"/>
      <c r="U188" s="54"/>
      <c r="V188" s="44"/>
      <c r="W188" s="27"/>
      <c r="Z188" s="27"/>
      <c r="AA188" s="8"/>
      <c r="AB188" s="81" t="str">
        <f t="shared" si="129"/>
        <v/>
      </c>
      <c r="AC188" s="6" t="str">
        <f t="shared" si="130"/>
        <v/>
      </c>
      <c r="AD188" s="1" t="str">
        <f t="shared" ca="1" si="131"/>
        <v/>
      </c>
      <c r="AE188" s="75" t="str">
        <f t="shared" si="132"/>
        <v/>
      </c>
      <c r="AF188" s="75" t="str">
        <f t="shared" si="133"/>
        <v/>
      </c>
      <c r="AG188" s="4" t="str">
        <f t="shared" si="134"/>
        <v/>
      </c>
      <c r="AH188" s="4" t="str">
        <f t="shared" si="135"/>
        <v/>
      </c>
      <c r="AI188" s="4" t="str">
        <f t="shared" si="136"/>
        <v/>
      </c>
      <c r="AJ188" s="4" t="str">
        <f t="shared" si="137"/>
        <v/>
      </c>
      <c r="AK188" s="4" t="str">
        <f t="shared" si="138"/>
        <v/>
      </c>
      <c r="AL188" s="2" t="str">
        <f t="shared" si="139"/>
        <v/>
      </c>
      <c r="AM188" s="6" t="str">
        <f t="shared" si="140"/>
        <v/>
      </c>
      <c r="AN188" s="4" t="str">
        <f t="shared" si="141"/>
        <v/>
      </c>
      <c r="AO188" s="4" t="str">
        <f t="shared" si="142"/>
        <v/>
      </c>
      <c r="AP188" s="4" t="str">
        <f t="shared" si="143"/>
        <v/>
      </c>
      <c r="AQ188" s="4" t="str">
        <f t="shared" si="144"/>
        <v/>
      </c>
      <c r="AR188" s="4" t="str">
        <f t="shared" si="145"/>
        <v/>
      </c>
    </row>
    <row r="189" spans="8:44" s="1" customFormat="1" ht="14.25" x14ac:dyDescent="0.3">
      <c r="H189" s="50"/>
      <c r="J189" s="54"/>
      <c r="L189" s="54"/>
      <c r="R189" s="45"/>
      <c r="S189" s="54"/>
      <c r="T189" s="54"/>
      <c r="U189" s="54"/>
      <c r="V189" s="44"/>
      <c r="W189" s="27"/>
      <c r="Z189" s="27"/>
      <c r="AA189" s="8"/>
      <c r="AB189" s="81" t="str">
        <f t="shared" ref="AB189:AB252" si="146">IF(X189="","",(AH189-AG189)/AG189)</f>
        <v/>
      </c>
      <c r="AC189" s="6" t="str">
        <f t="shared" ref="AC189:AC252" si="147">IF(X189="","",AH189-AG189)</f>
        <v/>
      </c>
      <c r="AD189" s="1" t="str">
        <f t="shared" ref="AD189:AD252" ca="1" si="148">IF(X189="","",IF(W189="","",IF(Z189="",TODAY()-W189,Z189-W189)))</f>
        <v/>
      </c>
      <c r="AE189" s="75" t="str">
        <f t="shared" ref="AE189:AE252" si="149">IF(X189="","",IF(AE188="",IF(AM189="","",AM189),IF(AM189="",AE188,AE188+AM189)))</f>
        <v/>
      </c>
      <c r="AF189" s="75" t="str">
        <f t="shared" ref="AF189:AF252" si="150">IF(X189="","",IF(AF188="",IF(AN189="","",AN189),IF(AN189="",AF188,AF188+AN189)))</f>
        <v/>
      </c>
      <c r="AG189" s="4" t="str">
        <f t="shared" ref="AG189:AG252" si="151">IF(X189="","",X189*Y189*100+AO189+AP189)</f>
        <v/>
      </c>
      <c r="AH189" s="4" t="str">
        <f t="shared" ref="AH189:AH252" si="152">IF(X189="","",IF(AA189="",C189*Y189*100-AO189-AQ189-AR189,AA189*Y189*100-AO189-AQ189-AR189))</f>
        <v/>
      </c>
      <c r="AI189" s="4" t="str">
        <f t="shared" ref="AI189:AI252" si="153">IF(X189="","",AI188+AC189)</f>
        <v/>
      </c>
      <c r="AJ189" s="4" t="str">
        <f t="shared" ref="AJ189:AJ252" si="154">IF(X189="","",AO189+AP189+AO189+AQ189+AR189)</f>
        <v/>
      </c>
      <c r="AK189" s="4" t="str">
        <f t="shared" ref="AK189:AK252" si="155">IF(X189="","",AK188+AJ189)</f>
        <v/>
      </c>
      <c r="AL189" s="2" t="str">
        <f t="shared" ref="AL189:AL252" si="156">IF(X189="","",0.18%)</f>
        <v/>
      </c>
      <c r="AM189" s="6" t="str">
        <f t="shared" ref="AM189:AM252" si="157">IF(X189="","",IF(Z189="",AC189,""))</f>
        <v/>
      </c>
      <c r="AN189" s="4" t="str">
        <f t="shared" ref="AN189:AN252" si="158">IF(X189="","",IF(Z189="",AH189,""))</f>
        <v/>
      </c>
      <c r="AO189" s="4" t="str">
        <f t="shared" ref="AO189:AO252" si="159">IF(X189="","",IF(LEFT(A189,2)="sh",IF(Y189*100/1000&lt;=1,1,Y189*100/1000),0))</f>
        <v/>
      </c>
      <c r="AP189" s="4" t="str">
        <f t="shared" ref="AP189:AP252" si="160">IF(X189="","",IF(X189*Y189*100*AL189&lt;=5,5,X189*Y189*100*AL189))</f>
        <v/>
      </c>
      <c r="AQ189" s="4" t="str">
        <f t="shared" ref="AQ189:AQ252" si="161">IF(X189="","",IF(AA189="",IF(C189*Y189*100*AL189&lt;=5,5,C189*Y189*100*AL189),IF(AA189*Y189*100*AL189&lt;=5,5,AA189*Y189*100*AL189)))</f>
        <v/>
      </c>
      <c r="AR189" s="4" t="str">
        <f t="shared" ref="AR189:AR252" si="162">IF(X189="","",IF(AA189="",C189*Y189*100*0.001,AA189*Y189*100*0.001))</f>
        <v/>
      </c>
    </row>
    <row r="190" spans="8:44" s="1" customFormat="1" ht="14.25" x14ac:dyDescent="0.3">
      <c r="H190" s="50"/>
      <c r="J190" s="54"/>
      <c r="L190" s="54"/>
      <c r="R190" s="45"/>
      <c r="S190" s="54"/>
      <c r="T190" s="54"/>
      <c r="U190" s="54"/>
      <c r="V190" s="44"/>
      <c r="W190" s="27"/>
      <c r="Z190" s="27"/>
      <c r="AA190" s="8"/>
      <c r="AB190" s="81" t="str">
        <f t="shared" si="146"/>
        <v/>
      </c>
      <c r="AC190" s="6" t="str">
        <f t="shared" si="147"/>
        <v/>
      </c>
      <c r="AD190" s="1" t="str">
        <f t="shared" ca="1" si="148"/>
        <v/>
      </c>
      <c r="AE190" s="75" t="str">
        <f t="shared" si="149"/>
        <v/>
      </c>
      <c r="AF190" s="75" t="str">
        <f t="shared" si="150"/>
        <v/>
      </c>
      <c r="AG190" s="4" t="str">
        <f t="shared" si="151"/>
        <v/>
      </c>
      <c r="AH190" s="4" t="str">
        <f t="shared" si="152"/>
        <v/>
      </c>
      <c r="AI190" s="4" t="str">
        <f t="shared" si="153"/>
        <v/>
      </c>
      <c r="AJ190" s="4" t="str">
        <f t="shared" si="154"/>
        <v/>
      </c>
      <c r="AK190" s="4" t="str">
        <f t="shared" si="155"/>
        <v/>
      </c>
      <c r="AL190" s="2" t="str">
        <f t="shared" si="156"/>
        <v/>
      </c>
      <c r="AM190" s="6" t="str">
        <f t="shared" si="157"/>
        <v/>
      </c>
      <c r="AN190" s="4" t="str">
        <f t="shared" si="158"/>
        <v/>
      </c>
      <c r="AO190" s="4" t="str">
        <f t="shared" si="159"/>
        <v/>
      </c>
      <c r="AP190" s="4" t="str">
        <f t="shared" si="160"/>
        <v/>
      </c>
      <c r="AQ190" s="4" t="str">
        <f t="shared" si="161"/>
        <v/>
      </c>
      <c r="AR190" s="4" t="str">
        <f t="shared" si="162"/>
        <v/>
      </c>
    </row>
    <row r="191" spans="8:44" s="1" customFormat="1" ht="14.25" x14ac:dyDescent="0.3">
      <c r="H191" s="50"/>
      <c r="J191" s="54"/>
      <c r="L191" s="54"/>
      <c r="R191" s="45"/>
      <c r="S191" s="54"/>
      <c r="T191" s="54"/>
      <c r="U191" s="54"/>
      <c r="V191" s="44"/>
      <c r="W191" s="27"/>
      <c r="Z191" s="27"/>
      <c r="AA191" s="8"/>
      <c r="AB191" s="81" t="str">
        <f t="shared" si="146"/>
        <v/>
      </c>
      <c r="AC191" s="6" t="str">
        <f t="shared" si="147"/>
        <v/>
      </c>
      <c r="AD191" s="1" t="str">
        <f t="shared" ca="1" si="148"/>
        <v/>
      </c>
      <c r="AE191" s="75" t="str">
        <f t="shared" si="149"/>
        <v/>
      </c>
      <c r="AF191" s="75" t="str">
        <f t="shared" si="150"/>
        <v/>
      </c>
      <c r="AG191" s="4" t="str">
        <f t="shared" si="151"/>
        <v/>
      </c>
      <c r="AH191" s="4" t="str">
        <f t="shared" si="152"/>
        <v/>
      </c>
      <c r="AI191" s="4" t="str">
        <f t="shared" si="153"/>
        <v/>
      </c>
      <c r="AJ191" s="4" t="str">
        <f t="shared" si="154"/>
        <v/>
      </c>
      <c r="AK191" s="4" t="str">
        <f t="shared" si="155"/>
        <v/>
      </c>
      <c r="AL191" s="2" t="str">
        <f t="shared" si="156"/>
        <v/>
      </c>
      <c r="AM191" s="6" t="str">
        <f t="shared" si="157"/>
        <v/>
      </c>
      <c r="AN191" s="4" t="str">
        <f t="shared" si="158"/>
        <v/>
      </c>
      <c r="AO191" s="4" t="str">
        <f t="shared" si="159"/>
        <v/>
      </c>
      <c r="AP191" s="4" t="str">
        <f t="shared" si="160"/>
        <v/>
      </c>
      <c r="AQ191" s="4" t="str">
        <f t="shared" si="161"/>
        <v/>
      </c>
      <c r="AR191" s="4" t="str">
        <f t="shared" si="162"/>
        <v/>
      </c>
    </row>
    <row r="192" spans="8:44" s="1" customFormat="1" ht="14.25" x14ac:dyDescent="0.3">
      <c r="H192" s="50"/>
      <c r="J192" s="54"/>
      <c r="L192" s="54"/>
      <c r="R192" s="45"/>
      <c r="S192" s="54"/>
      <c r="T192" s="54"/>
      <c r="U192" s="54"/>
      <c r="V192" s="44"/>
      <c r="W192" s="27"/>
      <c r="Z192" s="27"/>
      <c r="AA192" s="8"/>
      <c r="AB192" s="81" t="str">
        <f t="shared" si="146"/>
        <v/>
      </c>
      <c r="AC192" s="6" t="str">
        <f t="shared" si="147"/>
        <v/>
      </c>
      <c r="AD192" s="1" t="str">
        <f t="shared" ca="1" si="148"/>
        <v/>
      </c>
      <c r="AE192" s="75" t="str">
        <f t="shared" si="149"/>
        <v/>
      </c>
      <c r="AF192" s="75" t="str">
        <f t="shared" si="150"/>
        <v/>
      </c>
      <c r="AG192" s="4" t="str">
        <f t="shared" si="151"/>
        <v/>
      </c>
      <c r="AH192" s="4" t="str">
        <f t="shared" si="152"/>
        <v/>
      </c>
      <c r="AI192" s="4" t="str">
        <f t="shared" si="153"/>
        <v/>
      </c>
      <c r="AJ192" s="4" t="str">
        <f t="shared" si="154"/>
        <v/>
      </c>
      <c r="AK192" s="4" t="str">
        <f t="shared" si="155"/>
        <v/>
      </c>
      <c r="AL192" s="2" t="str">
        <f t="shared" si="156"/>
        <v/>
      </c>
      <c r="AM192" s="6" t="str">
        <f t="shared" si="157"/>
        <v/>
      </c>
      <c r="AN192" s="4" t="str">
        <f t="shared" si="158"/>
        <v/>
      </c>
      <c r="AO192" s="4" t="str">
        <f t="shared" si="159"/>
        <v/>
      </c>
      <c r="AP192" s="4" t="str">
        <f t="shared" si="160"/>
        <v/>
      </c>
      <c r="AQ192" s="4" t="str">
        <f t="shared" si="161"/>
        <v/>
      </c>
      <c r="AR192" s="4" t="str">
        <f t="shared" si="162"/>
        <v/>
      </c>
    </row>
    <row r="193" spans="8:44" s="1" customFormat="1" ht="14.25" x14ac:dyDescent="0.3">
      <c r="H193" s="50"/>
      <c r="J193" s="54"/>
      <c r="L193" s="54"/>
      <c r="R193" s="45"/>
      <c r="S193" s="54"/>
      <c r="T193" s="54"/>
      <c r="U193" s="54"/>
      <c r="V193" s="44"/>
      <c r="W193" s="27"/>
      <c r="Z193" s="27"/>
      <c r="AA193" s="8"/>
      <c r="AB193" s="81" t="str">
        <f t="shared" si="146"/>
        <v/>
      </c>
      <c r="AC193" s="6" t="str">
        <f t="shared" si="147"/>
        <v/>
      </c>
      <c r="AD193" s="1" t="str">
        <f t="shared" ca="1" si="148"/>
        <v/>
      </c>
      <c r="AE193" s="75" t="str">
        <f t="shared" si="149"/>
        <v/>
      </c>
      <c r="AF193" s="75" t="str">
        <f t="shared" si="150"/>
        <v/>
      </c>
      <c r="AG193" s="4" t="str">
        <f t="shared" si="151"/>
        <v/>
      </c>
      <c r="AH193" s="4" t="str">
        <f t="shared" si="152"/>
        <v/>
      </c>
      <c r="AI193" s="4" t="str">
        <f t="shared" si="153"/>
        <v/>
      </c>
      <c r="AJ193" s="4" t="str">
        <f t="shared" si="154"/>
        <v/>
      </c>
      <c r="AK193" s="4" t="str">
        <f t="shared" si="155"/>
        <v/>
      </c>
      <c r="AL193" s="2" t="str">
        <f t="shared" si="156"/>
        <v/>
      </c>
      <c r="AM193" s="6" t="str">
        <f t="shared" si="157"/>
        <v/>
      </c>
      <c r="AN193" s="4" t="str">
        <f t="shared" si="158"/>
        <v/>
      </c>
      <c r="AO193" s="4" t="str">
        <f t="shared" si="159"/>
        <v/>
      </c>
      <c r="AP193" s="4" t="str">
        <f t="shared" si="160"/>
        <v/>
      </c>
      <c r="AQ193" s="4" t="str">
        <f t="shared" si="161"/>
        <v/>
      </c>
      <c r="AR193" s="4" t="str">
        <f t="shared" si="162"/>
        <v/>
      </c>
    </row>
    <row r="194" spans="8:44" s="1" customFormat="1" ht="14.25" x14ac:dyDescent="0.3">
      <c r="H194" s="50"/>
      <c r="J194" s="54"/>
      <c r="L194" s="54"/>
      <c r="R194" s="45"/>
      <c r="S194" s="54"/>
      <c r="T194" s="54"/>
      <c r="U194" s="54"/>
      <c r="V194" s="44"/>
      <c r="W194" s="27"/>
      <c r="Z194" s="27"/>
      <c r="AA194" s="8"/>
      <c r="AB194" s="81" t="str">
        <f t="shared" si="146"/>
        <v/>
      </c>
      <c r="AC194" s="6" t="str">
        <f t="shared" si="147"/>
        <v/>
      </c>
      <c r="AD194" s="1" t="str">
        <f t="shared" ca="1" si="148"/>
        <v/>
      </c>
      <c r="AE194" s="75" t="str">
        <f t="shared" si="149"/>
        <v/>
      </c>
      <c r="AF194" s="75" t="str">
        <f t="shared" si="150"/>
        <v/>
      </c>
      <c r="AG194" s="4" t="str">
        <f t="shared" si="151"/>
        <v/>
      </c>
      <c r="AH194" s="4" t="str">
        <f t="shared" si="152"/>
        <v/>
      </c>
      <c r="AI194" s="4" t="str">
        <f t="shared" si="153"/>
        <v/>
      </c>
      <c r="AJ194" s="4" t="str">
        <f t="shared" si="154"/>
        <v/>
      </c>
      <c r="AK194" s="4" t="str">
        <f t="shared" si="155"/>
        <v/>
      </c>
      <c r="AL194" s="2" t="str">
        <f t="shared" si="156"/>
        <v/>
      </c>
      <c r="AM194" s="6" t="str">
        <f t="shared" si="157"/>
        <v/>
      </c>
      <c r="AN194" s="4" t="str">
        <f t="shared" si="158"/>
        <v/>
      </c>
      <c r="AO194" s="4" t="str">
        <f t="shared" si="159"/>
        <v/>
      </c>
      <c r="AP194" s="4" t="str">
        <f t="shared" si="160"/>
        <v/>
      </c>
      <c r="AQ194" s="4" t="str">
        <f t="shared" si="161"/>
        <v/>
      </c>
      <c r="AR194" s="4" t="str">
        <f t="shared" si="162"/>
        <v/>
      </c>
    </row>
    <row r="195" spans="8:44" s="1" customFormat="1" ht="14.25" x14ac:dyDescent="0.3">
      <c r="H195" s="50"/>
      <c r="J195" s="54"/>
      <c r="L195" s="54"/>
      <c r="R195" s="45"/>
      <c r="S195" s="54"/>
      <c r="T195" s="54"/>
      <c r="U195" s="54"/>
      <c r="V195" s="44"/>
      <c r="W195" s="27"/>
      <c r="Z195" s="27"/>
      <c r="AA195" s="8"/>
      <c r="AB195" s="81" t="str">
        <f t="shared" si="146"/>
        <v/>
      </c>
      <c r="AC195" s="6" t="str">
        <f t="shared" si="147"/>
        <v/>
      </c>
      <c r="AD195" s="1" t="str">
        <f t="shared" ca="1" si="148"/>
        <v/>
      </c>
      <c r="AE195" s="75" t="str">
        <f t="shared" si="149"/>
        <v/>
      </c>
      <c r="AF195" s="75" t="str">
        <f t="shared" si="150"/>
        <v/>
      </c>
      <c r="AG195" s="4" t="str">
        <f t="shared" si="151"/>
        <v/>
      </c>
      <c r="AH195" s="4" t="str">
        <f t="shared" si="152"/>
        <v/>
      </c>
      <c r="AI195" s="4" t="str">
        <f t="shared" si="153"/>
        <v/>
      </c>
      <c r="AJ195" s="4" t="str">
        <f t="shared" si="154"/>
        <v/>
      </c>
      <c r="AK195" s="4" t="str">
        <f t="shared" si="155"/>
        <v/>
      </c>
      <c r="AL195" s="2" t="str">
        <f t="shared" si="156"/>
        <v/>
      </c>
      <c r="AM195" s="6" t="str">
        <f t="shared" si="157"/>
        <v/>
      </c>
      <c r="AN195" s="4" t="str">
        <f t="shared" si="158"/>
        <v/>
      </c>
      <c r="AO195" s="4" t="str">
        <f t="shared" si="159"/>
        <v/>
      </c>
      <c r="AP195" s="4" t="str">
        <f t="shared" si="160"/>
        <v/>
      </c>
      <c r="AQ195" s="4" t="str">
        <f t="shared" si="161"/>
        <v/>
      </c>
      <c r="AR195" s="4" t="str">
        <f t="shared" si="162"/>
        <v/>
      </c>
    </row>
    <row r="196" spans="8:44" s="1" customFormat="1" ht="14.25" x14ac:dyDescent="0.3">
      <c r="H196" s="50"/>
      <c r="J196" s="54"/>
      <c r="L196" s="54"/>
      <c r="R196" s="45"/>
      <c r="S196" s="54"/>
      <c r="T196" s="54"/>
      <c r="U196" s="54"/>
      <c r="V196" s="44"/>
      <c r="W196" s="27"/>
      <c r="Z196" s="27"/>
      <c r="AA196" s="8"/>
      <c r="AB196" s="81" t="str">
        <f t="shared" si="146"/>
        <v/>
      </c>
      <c r="AC196" s="6" t="str">
        <f t="shared" si="147"/>
        <v/>
      </c>
      <c r="AD196" s="1" t="str">
        <f t="shared" ca="1" si="148"/>
        <v/>
      </c>
      <c r="AE196" s="75" t="str">
        <f t="shared" si="149"/>
        <v/>
      </c>
      <c r="AF196" s="75" t="str">
        <f t="shared" si="150"/>
        <v/>
      </c>
      <c r="AG196" s="4" t="str">
        <f t="shared" si="151"/>
        <v/>
      </c>
      <c r="AH196" s="4" t="str">
        <f t="shared" si="152"/>
        <v/>
      </c>
      <c r="AI196" s="4" t="str">
        <f t="shared" si="153"/>
        <v/>
      </c>
      <c r="AJ196" s="4" t="str">
        <f t="shared" si="154"/>
        <v/>
      </c>
      <c r="AK196" s="4" t="str">
        <f t="shared" si="155"/>
        <v/>
      </c>
      <c r="AL196" s="2" t="str">
        <f t="shared" si="156"/>
        <v/>
      </c>
      <c r="AM196" s="6" t="str">
        <f t="shared" si="157"/>
        <v/>
      </c>
      <c r="AN196" s="4" t="str">
        <f t="shared" si="158"/>
        <v/>
      </c>
      <c r="AO196" s="4" t="str">
        <f t="shared" si="159"/>
        <v/>
      </c>
      <c r="AP196" s="4" t="str">
        <f t="shared" si="160"/>
        <v/>
      </c>
      <c r="AQ196" s="4" t="str">
        <f t="shared" si="161"/>
        <v/>
      </c>
      <c r="AR196" s="4" t="str">
        <f t="shared" si="162"/>
        <v/>
      </c>
    </row>
    <row r="197" spans="8:44" s="1" customFormat="1" ht="14.25" x14ac:dyDescent="0.3">
      <c r="H197" s="50"/>
      <c r="J197" s="54"/>
      <c r="L197" s="54"/>
      <c r="R197" s="45"/>
      <c r="S197" s="54"/>
      <c r="T197" s="54"/>
      <c r="U197" s="54"/>
      <c r="V197" s="44"/>
      <c r="W197" s="27"/>
      <c r="Z197" s="27"/>
      <c r="AA197" s="8"/>
      <c r="AB197" s="81" t="str">
        <f t="shared" si="146"/>
        <v/>
      </c>
      <c r="AC197" s="6" t="str">
        <f t="shared" si="147"/>
        <v/>
      </c>
      <c r="AD197" s="1" t="str">
        <f t="shared" ca="1" si="148"/>
        <v/>
      </c>
      <c r="AE197" s="75" t="str">
        <f t="shared" si="149"/>
        <v/>
      </c>
      <c r="AF197" s="75" t="str">
        <f t="shared" si="150"/>
        <v/>
      </c>
      <c r="AG197" s="4" t="str">
        <f t="shared" si="151"/>
        <v/>
      </c>
      <c r="AH197" s="4" t="str">
        <f t="shared" si="152"/>
        <v/>
      </c>
      <c r="AI197" s="4" t="str">
        <f t="shared" si="153"/>
        <v/>
      </c>
      <c r="AJ197" s="4" t="str">
        <f t="shared" si="154"/>
        <v/>
      </c>
      <c r="AK197" s="4" t="str">
        <f t="shared" si="155"/>
        <v/>
      </c>
      <c r="AL197" s="2" t="str">
        <f t="shared" si="156"/>
        <v/>
      </c>
      <c r="AM197" s="6" t="str">
        <f t="shared" si="157"/>
        <v/>
      </c>
      <c r="AN197" s="4" t="str">
        <f t="shared" si="158"/>
        <v/>
      </c>
      <c r="AO197" s="4" t="str">
        <f t="shared" si="159"/>
        <v/>
      </c>
      <c r="AP197" s="4" t="str">
        <f t="shared" si="160"/>
        <v/>
      </c>
      <c r="AQ197" s="4" t="str">
        <f t="shared" si="161"/>
        <v/>
      </c>
      <c r="AR197" s="4" t="str">
        <f t="shared" si="162"/>
        <v/>
      </c>
    </row>
    <row r="198" spans="8:44" s="1" customFormat="1" ht="14.25" x14ac:dyDescent="0.3">
      <c r="H198" s="50"/>
      <c r="J198" s="54"/>
      <c r="L198" s="54"/>
      <c r="R198" s="45"/>
      <c r="S198" s="54"/>
      <c r="T198" s="54"/>
      <c r="U198" s="54"/>
      <c r="V198" s="44"/>
      <c r="W198" s="27"/>
      <c r="Z198" s="27"/>
      <c r="AA198" s="8"/>
      <c r="AB198" s="81" t="str">
        <f t="shared" si="146"/>
        <v/>
      </c>
      <c r="AC198" s="6" t="str">
        <f t="shared" si="147"/>
        <v/>
      </c>
      <c r="AD198" s="1" t="str">
        <f t="shared" ca="1" si="148"/>
        <v/>
      </c>
      <c r="AE198" s="75" t="str">
        <f t="shared" si="149"/>
        <v/>
      </c>
      <c r="AF198" s="75" t="str">
        <f t="shared" si="150"/>
        <v/>
      </c>
      <c r="AG198" s="4" t="str">
        <f t="shared" si="151"/>
        <v/>
      </c>
      <c r="AH198" s="4" t="str">
        <f t="shared" si="152"/>
        <v/>
      </c>
      <c r="AI198" s="4" t="str">
        <f t="shared" si="153"/>
        <v/>
      </c>
      <c r="AJ198" s="4" t="str">
        <f t="shared" si="154"/>
        <v/>
      </c>
      <c r="AK198" s="4" t="str">
        <f t="shared" si="155"/>
        <v/>
      </c>
      <c r="AL198" s="2" t="str">
        <f t="shared" si="156"/>
        <v/>
      </c>
      <c r="AM198" s="6" t="str">
        <f t="shared" si="157"/>
        <v/>
      </c>
      <c r="AN198" s="4" t="str">
        <f t="shared" si="158"/>
        <v/>
      </c>
      <c r="AO198" s="4" t="str">
        <f t="shared" si="159"/>
        <v/>
      </c>
      <c r="AP198" s="4" t="str">
        <f t="shared" si="160"/>
        <v/>
      </c>
      <c r="AQ198" s="4" t="str">
        <f t="shared" si="161"/>
        <v/>
      </c>
      <c r="AR198" s="4" t="str">
        <f t="shared" si="162"/>
        <v/>
      </c>
    </row>
    <row r="199" spans="8:44" s="1" customFormat="1" ht="14.25" x14ac:dyDescent="0.3">
      <c r="H199" s="50"/>
      <c r="J199" s="54"/>
      <c r="L199" s="54"/>
      <c r="R199" s="45"/>
      <c r="S199" s="54"/>
      <c r="T199" s="54"/>
      <c r="U199" s="54"/>
      <c r="V199" s="44"/>
      <c r="W199" s="27"/>
      <c r="Z199" s="27"/>
      <c r="AA199" s="8"/>
      <c r="AB199" s="81" t="str">
        <f t="shared" si="146"/>
        <v/>
      </c>
      <c r="AC199" s="6" t="str">
        <f t="shared" si="147"/>
        <v/>
      </c>
      <c r="AD199" s="1" t="str">
        <f t="shared" ca="1" si="148"/>
        <v/>
      </c>
      <c r="AE199" s="75" t="str">
        <f t="shared" si="149"/>
        <v/>
      </c>
      <c r="AF199" s="75" t="str">
        <f t="shared" si="150"/>
        <v/>
      </c>
      <c r="AG199" s="4" t="str">
        <f t="shared" si="151"/>
        <v/>
      </c>
      <c r="AH199" s="4" t="str">
        <f t="shared" si="152"/>
        <v/>
      </c>
      <c r="AI199" s="4" t="str">
        <f t="shared" si="153"/>
        <v/>
      </c>
      <c r="AJ199" s="4" t="str">
        <f t="shared" si="154"/>
        <v/>
      </c>
      <c r="AK199" s="4" t="str">
        <f t="shared" si="155"/>
        <v/>
      </c>
      <c r="AL199" s="2" t="str">
        <f t="shared" si="156"/>
        <v/>
      </c>
      <c r="AM199" s="6" t="str">
        <f t="shared" si="157"/>
        <v/>
      </c>
      <c r="AN199" s="4" t="str">
        <f t="shared" si="158"/>
        <v/>
      </c>
      <c r="AO199" s="4" t="str">
        <f t="shared" si="159"/>
        <v/>
      </c>
      <c r="AP199" s="4" t="str">
        <f t="shared" si="160"/>
        <v/>
      </c>
      <c r="AQ199" s="4" t="str">
        <f t="shared" si="161"/>
        <v/>
      </c>
      <c r="AR199" s="4" t="str">
        <f t="shared" si="162"/>
        <v/>
      </c>
    </row>
    <row r="200" spans="8:44" s="1" customFormat="1" ht="14.25" x14ac:dyDescent="0.3">
      <c r="H200" s="50"/>
      <c r="J200" s="54"/>
      <c r="L200" s="54"/>
      <c r="R200" s="45"/>
      <c r="S200" s="54"/>
      <c r="T200" s="54"/>
      <c r="U200" s="54"/>
      <c r="V200" s="44"/>
      <c r="W200" s="27"/>
      <c r="Z200" s="27"/>
      <c r="AA200" s="8"/>
      <c r="AB200" s="81" t="str">
        <f t="shared" si="146"/>
        <v/>
      </c>
      <c r="AC200" s="6" t="str">
        <f t="shared" si="147"/>
        <v/>
      </c>
      <c r="AD200" s="1" t="str">
        <f t="shared" ca="1" si="148"/>
        <v/>
      </c>
      <c r="AE200" s="75" t="str">
        <f t="shared" si="149"/>
        <v/>
      </c>
      <c r="AF200" s="75" t="str">
        <f t="shared" si="150"/>
        <v/>
      </c>
      <c r="AG200" s="4" t="str">
        <f t="shared" si="151"/>
        <v/>
      </c>
      <c r="AH200" s="4" t="str">
        <f t="shared" si="152"/>
        <v/>
      </c>
      <c r="AI200" s="4" t="str">
        <f t="shared" si="153"/>
        <v/>
      </c>
      <c r="AJ200" s="4" t="str">
        <f t="shared" si="154"/>
        <v/>
      </c>
      <c r="AK200" s="4" t="str">
        <f t="shared" si="155"/>
        <v/>
      </c>
      <c r="AL200" s="2" t="str">
        <f t="shared" si="156"/>
        <v/>
      </c>
      <c r="AM200" s="6" t="str">
        <f t="shared" si="157"/>
        <v/>
      </c>
      <c r="AN200" s="4" t="str">
        <f t="shared" si="158"/>
        <v/>
      </c>
      <c r="AO200" s="4" t="str">
        <f t="shared" si="159"/>
        <v/>
      </c>
      <c r="AP200" s="4" t="str">
        <f t="shared" si="160"/>
        <v/>
      </c>
      <c r="AQ200" s="4" t="str">
        <f t="shared" si="161"/>
        <v/>
      </c>
      <c r="AR200" s="4" t="str">
        <f t="shared" si="162"/>
        <v/>
      </c>
    </row>
    <row r="201" spans="8:44" s="1" customFormat="1" ht="14.25" x14ac:dyDescent="0.3">
      <c r="H201" s="50"/>
      <c r="J201" s="54"/>
      <c r="L201" s="54"/>
      <c r="R201" s="45"/>
      <c r="S201" s="54"/>
      <c r="T201" s="54"/>
      <c r="U201" s="54"/>
      <c r="V201" s="44"/>
      <c r="W201" s="27"/>
      <c r="Z201" s="27"/>
      <c r="AA201" s="8"/>
      <c r="AB201" s="81" t="str">
        <f t="shared" si="146"/>
        <v/>
      </c>
      <c r="AC201" s="6" t="str">
        <f t="shared" si="147"/>
        <v/>
      </c>
      <c r="AD201" s="1" t="str">
        <f t="shared" ca="1" si="148"/>
        <v/>
      </c>
      <c r="AE201" s="75" t="str">
        <f t="shared" si="149"/>
        <v/>
      </c>
      <c r="AF201" s="75" t="str">
        <f t="shared" si="150"/>
        <v/>
      </c>
      <c r="AG201" s="4" t="str">
        <f t="shared" si="151"/>
        <v/>
      </c>
      <c r="AH201" s="4" t="str">
        <f t="shared" si="152"/>
        <v/>
      </c>
      <c r="AI201" s="4" t="str">
        <f t="shared" si="153"/>
        <v/>
      </c>
      <c r="AJ201" s="4" t="str">
        <f t="shared" si="154"/>
        <v/>
      </c>
      <c r="AK201" s="4" t="str">
        <f t="shared" si="155"/>
        <v/>
      </c>
      <c r="AL201" s="2" t="str">
        <f t="shared" si="156"/>
        <v/>
      </c>
      <c r="AM201" s="6" t="str">
        <f t="shared" si="157"/>
        <v/>
      </c>
      <c r="AN201" s="4" t="str">
        <f t="shared" si="158"/>
        <v/>
      </c>
      <c r="AO201" s="4" t="str">
        <f t="shared" si="159"/>
        <v/>
      </c>
      <c r="AP201" s="4" t="str">
        <f t="shared" si="160"/>
        <v/>
      </c>
      <c r="AQ201" s="4" t="str">
        <f t="shared" si="161"/>
        <v/>
      </c>
      <c r="AR201" s="4" t="str">
        <f t="shared" si="162"/>
        <v/>
      </c>
    </row>
    <row r="202" spans="8:44" s="1" customFormat="1" ht="14.25" x14ac:dyDescent="0.3">
      <c r="H202" s="50"/>
      <c r="J202" s="54"/>
      <c r="L202" s="54"/>
      <c r="R202" s="45"/>
      <c r="S202" s="54"/>
      <c r="T202" s="54"/>
      <c r="U202" s="54"/>
      <c r="V202" s="44"/>
      <c r="W202" s="27"/>
      <c r="Z202" s="27"/>
      <c r="AA202" s="8"/>
      <c r="AB202" s="81" t="str">
        <f t="shared" si="146"/>
        <v/>
      </c>
      <c r="AC202" s="6" t="str">
        <f t="shared" si="147"/>
        <v/>
      </c>
      <c r="AD202" s="1" t="str">
        <f t="shared" ca="1" si="148"/>
        <v/>
      </c>
      <c r="AE202" s="75" t="str">
        <f t="shared" si="149"/>
        <v/>
      </c>
      <c r="AF202" s="75" t="str">
        <f t="shared" si="150"/>
        <v/>
      </c>
      <c r="AG202" s="4" t="str">
        <f t="shared" si="151"/>
        <v/>
      </c>
      <c r="AH202" s="4" t="str">
        <f t="shared" si="152"/>
        <v/>
      </c>
      <c r="AI202" s="4" t="str">
        <f t="shared" si="153"/>
        <v/>
      </c>
      <c r="AJ202" s="4" t="str">
        <f t="shared" si="154"/>
        <v/>
      </c>
      <c r="AK202" s="4" t="str">
        <f t="shared" si="155"/>
        <v/>
      </c>
      <c r="AL202" s="2" t="str">
        <f t="shared" si="156"/>
        <v/>
      </c>
      <c r="AM202" s="6" t="str">
        <f t="shared" si="157"/>
        <v/>
      </c>
      <c r="AN202" s="4" t="str">
        <f t="shared" si="158"/>
        <v/>
      </c>
      <c r="AO202" s="4" t="str">
        <f t="shared" si="159"/>
        <v/>
      </c>
      <c r="AP202" s="4" t="str">
        <f t="shared" si="160"/>
        <v/>
      </c>
      <c r="AQ202" s="4" t="str">
        <f t="shared" si="161"/>
        <v/>
      </c>
      <c r="AR202" s="4" t="str">
        <f t="shared" si="162"/>
        <v/>
      </c>
    </row>
    <row r="203" spans="8:44" s="1" customFormat="1" ht="14.25" x14ac:dyDescent="0.3">
      <c r="H203" s="50"/>
      <c r="J203" s="54"/>
      <c r="L203" s="54"/>
      <c r="R203" s="45"/>
      <c r="S203" s="54"/>
      <c r="T203" s="54"/>
      <c r="U203" s="54"/>
      <c r="V203" s="44"/>
      <c r="W203" s="27"/>
      <c r="Z203" s="27"/>
      <c r="AA203" s="8"/>
      <c r="AB203" s="81" t="str">
        <f t="shared" si="146"/>
        <v/>
      </c>
      <c r="AC203" s="6" t="str">
        <f t="shared" si="147"/>
        <v/>
      </c>
      <c r="AD203" s="1" t="str">
        <f t="shared" ca="1" si="148"/>
        <v/>
      </c>
      <c r="AE203" s="75" t="str">
        <f t="shared" si="149"/>
        <v/>
      </c>
      <c r="AF203" s="75" t="str">
        <f t="shared" si="150"/>
        <v/>
      </c>
      <c r="AG203" s="4" t="str">
        <f t="shared" si="151"/>
        <v/>
      </c>
      <c r="AH203" s="4" t="str">
        <f t="shared" si="152"/>
        <v/>
      </c>
      <c r="AI203" s="4" t="str">
        <f t="shared" si="153"/>
        <v/>
      </c>
      <c r="AJ203" s="4" t="str">
        <f t="shared" si="154"/>
        <v/>
      </c>
      <c r="AK203" s="4" t="str">
        <f t="shared" si="155"/>
        <v/>
      </c>
      <c r="AL203" s="2" t="str">
        <f t="shared" si="156"/>
        <v/>
      </c>
      <c r="AM203" s="6" t="str">
        <f t="shared" si="157"/>
        <v/>
      </c>
      <c r="AN203" s="4" t="str">
        <f t="shared" si="158"/>
        <v/>
      </c>
      <c r="AO203" s="4" t="str">
        <f t="shared" si="159"/>
        <v/>
      </c>
      <c r="AP203" s="4" t="str">
        <f t="shared" si="160"/>
        <v/>
      </c>
      <c r="AQ203" s="4" t="str">
        <f t="shared" si="161"/>
        <v/>
      </c>
      <c r="AR203" s="4" t="str">
        <f t="shared" si="162"/>
        <v/>
      </c>
    </row>
    <row r="204" spans="8:44" s="1" customFormat="1" ht="14.25" x14ac:dyDescent="0.3">
      <c r="H204" s="50"/>
      <c r="J204" s="54"/>
      <c r="L204" s="54"/>
      <c r="R204" s="45"/>
      <c r="S204" s="54"/>
      <c r="T204" s="54"/>
      <c r="U204" s="54"/>
      <c r="V204" s="44"/>
      <c r="W204" s="27"/>
      <c r="Z204" s="27"/>
      <c r="AA204" s="8"/>
      <c r="AB204" s="81" t="str">
        <f t="shared" si="146"/>
        <v/>
      </c>
      <c r="AC204" s="6" t="str">
        <f t="shared" si="147"/>
        <v/>
      </c>
      <c r="AD204" s="1" t="str">
        <f t="shared" ca="1" si="148"/>
        <v/>
      </c>
      <c r="AE204" s="75" t="str">
        <f t="shared" si="149"/>
        <v/>
      </c>
      <c r="AF204" s="75" t="str">
        <f t="shared" si="150"/>
        <v/>
      </c>
      <c r="AG204" s="4" t="str">
        <f t="shared" si="151"/>
        <v/>
      </c>
      <c r="AH204" s="4" t="str">
        <f t="shared" si="152"/>
        <v/>
      </c>
      <c r="AI204" s="4" t="str">
        <f t="shared" si="153"/>
        <v/>
      </c>
      <c r="AJ204" s="4" t="str">
        <f t="shared" si="154"/>
        <v/>
      </c>
      <c r="AK204" s="4" t="str">
        <f t="shared" si="155"/>
        <v/>
      </c>
      <c r="AL204" s="2" t="str">
        <f t="shared" si="156"/>
        <v/>
      </c>
      <c r="AM204" s="6" t="str">
        <f t="shared" si="157"/>
        <v/>
      </c>
      <c r="AN204" s="4" t="str">
        <f t="shared" si="158"/>
        <v/>
      </c>
      <c r="AO204" s="4" t="str">
        <f t="shared" si="159"/>
        <v/>
      </c>
      <c r="AP204" s="4" t="str">
        <f t="shared" si="160"/>
        <v/>
      </c>
      <c r="AQ204" s="4" t="str">
        <f t="shared" si="161"/>
        <v/>
      </c>
      <c r="AR204" s="4" t="str">
        <f t="shared" si="162"/>
        <v/>
      </c>
    </row>
    <row r="205" spans="8:44" s="1" customFormat="1" ht="14.25" x14ac:dyDescent="0.3">
      <c r="H205" s="50"/>
      <c r="J205" s="54"/>
      <c r="L205" s="54"/>
      <c r="R205" s="45"/>
      <c r="S205" s="54"/>
      <c r="T205" s="54"/>
      <c r="U205" s="54"/>
      <c r="V205" s="44"/>
      <c r="W205" s="27"/>
      <c r="Z205" s="27"/>
      <c r="AA205" s="8"/>
      <c r="AB205" s="81" t="str">
        <f t="shared" si="146"/>
        <v/>
      </c>
      <c r="AC205" s="6" t="str">
        <f t="shared" si="147"/>
        <v/>
      </c>
      <c r="AD205" s="1" t="str">
        <f t="shared" ca="1" si="148"/>
        <v/>
      </c>
      <c r="AE205" s="75" t="str">
        <f t="shared" si="149"/>
        <v/>
      </c>
      <c r="AF205" s="75" t="str">
        <f t="shared" si="150"/>
        <v/>
      </c>
      <c r="AG205" s="4" t="str">
        <f t="shared" si="151"/>
        <v/>
      </c>
      <c r="AH205" s="4" t="str">
        <f t="shared" si="152"/>
        <v/>
      </c>
      <c r="AI205" s="4" t="str">
        <f t="shared" si="153"/>
        <v/>
      </c>
      <c r="AJ205" s="4" t="str">
        <f t="shared" si="154"/>
        <v/>
      </c>
      <c r="AK205" s="4" t="str">
        <f t="shared" si="155"/>
        <v/>
      </c>
      <c r="AL205" s="2" t="str">
        <f t="shared" si="156"/>
        <v/>
      </c>
      <c r="AM205" s="6" t="str">
        <f t="shared" si="157"/>
        <v/>
      </c>
      <c r="AN205" s="4" t="str">
        <f t="shared" si="158"/>
        <v/>
      </c>
      <c r="AO205" s="4" t="str">
        <f t="shared" si="159"/>
        <v/>
      </c>
      <c r="AP205" s="4" t="str">
        <f t="shared" si="160"/>
        <v/>
      </c>
      <c r="AQ205" s="4" t="str">
        <f t="shared" si="161"/>
        <v/>
      </c>
      <c r="AR205" s="4" t="str">
        <f t="shared" si="162"/>
        <v/>
      </c>
    </row>
    <row r="206" spans="8:44" s="1" customFormat="1" ht="14.25" x14ac:dyDescent="0.3">
      <c r="H206" s="50"/>
      <c r="J206" s="54"/>
      <c r="L206" s="54"/>
      <c r="R206" s="45"/>
      <c r="S206" s="54"/>
      <c r="T206" s="54"/>
      <c r="U206" s="54"/>
      <c r="V206" s="44"/>
      <c r="W206" s="27"/>
      <c r="Z206" s="27"/>
      <c r="AA206" s="8"/>
      <c r="AB206" s="81" t="str">
        <f t="shared" si="146"/>
        <v/>
      </c>
      <c r="AC206" s="6" t="str">
        <f t="shared" si="147"/>
        <v/>
      </c>
      <c r="AD206" s="1" t="str">
        <f t="shared" ca="1" si="148"/>
        <v/>
      </c>
      <c r="AE206" s="75" t="str">
        <f t="shared" si="149"/>
        <v/>
      </c>
      <c r="AF206" s="75" t="str">
        <f t="shared" si="150"/>
        <v/>
      </c>
      <c r="AG206" s="4" t="str">
        <f t="shared" si="151"/>
        <v/>
      </c>
      <c r="AH206" s="4" t="str">
        <f t="shared" si="152"/>
        <v/>
      </c>
      <c r="AI206" s="4" t="str">
        <f t="shared" si="153"/>
        <v/>
      </c>
      <c r="AJ206" s="4" t="str">
        <f t="shared" si="154"/>
        <v/>
      </c>
      <c r="AK206" s="4" t="str">
        <f t="shared" si="155"/>
        <v/>
      </c>
      <c r="AL206" s="2" t="str">
        <f t="shared" si="156"/>
        <v/>
      </c>
      <c r="AM206" s="6" t="str">
        <f t="shared" si="157"/>
        <v/>
      </c>
      <c r="AN206" s="4" t="str">
        <f t="shared" si="158"/>
        <v/>
      </c>
      <c r="AO206" s="4" t="str">
        <f t="shared" si="159"/>
        <v/>
      </c>
      <c r="AP206" s="4" t="str">
        <f t="shared" si="160"/>
        <v/>
      </c>
      <c r="AQ206" s="4" t="str">
        <f t="shared" si="161"/>
        <v/>
      </c>
      <c r="AR206" s="4" t="str">
        <f t="shared" si="162"/>
        <v/>
      </c>
    </row>
    <row r="207" spans="8:44" s="1" customFormat="1" ht="14.25" x14ac:dyDescent="0.3">
      <c r="H207" s="50"/>
      <c r="J207" s="54"/>
      <c r="L207" s="54"/>
      <c r="R207" s="45"/>
      <c r="S207" s="54"/>
      <c r="T207" s="54"/>
      <c r="U207" s="54"/>
      <c r="V207" s="44"/>
      <c r="W207" s="27"/>
      <c r="Z207" s="27"/>
      <c r="AA207" s="8"/>
      <c r="AB207" s="81" t="str">
        <f t="shared" si="146"/>
        <v/>
      </c>
      <c r="AC207" s="6" t="str">
        <f t="shared" si="147"/>
        <v/>
      </c>
      <c r="AD207" s="1" t="str">
        <f t="shared" ca="1" si="148"/>
        <v/>
      </c>
      <c r="AE207" s="75" t="str">
        <f t="shared" si="149"/>
        <v/>
      </c>
      <c r="AF207" s="75" t="str">
        <f t="shared" si="150"/>
        <v/>
      </c>
      <c r="AG207" s="4" t="str">
        <f t="shared" si="151"/>
        <v/>
      </c>
      <c r="AH207" s="4" t="str">
        <f t="shared" si="152"/>
        <v/>
      </c>
      <c r="AI207" s="4" t="str">
        <f t="shared" si="153"/>
        <v/>
      </c>
      <c r="AJ207" s="4" t="str">
        <f t="shared" si="154"/>
        <v/>
      </c>
      <c r="AK207" s="4" t="str">
        <f t="shared" si="155"/>
        <v/>
      </c>
      <c r="AL207" s="2" t="str">
        <f t="shared" si="156"/>
        <v/>
      </c>
      <c r="AM207" s="6" t="str">
        <f t="shared" si="157"/>
        <v/>
      </c>
      <c r="AN207" s="4" t="str">
        <f t="shared" si="158"/>
        <v/>
      </c>
      <c r="AO207" s="4" t="str">
        <f t="shared" si="159"/>
        <v/>
      </c>
      <c r="AP207" s="4" t="str">
        <f t="shared" si="160"/>
        <v/>
      </c>
      <c r="AQ207" s="4" t="str">
        <f t="shared" si="161"/>
        <v/>
      </c>
      <c r="AR207" s="4" t="str">
        <f t="shared" si="162"/>
        <v/>
      </c>
    </row>
    <row r="208" spans="8:44" s="1" customFormat="1" ht="14.25" x14ac:dyDescent="0.3">
      <c r="H208" s="50"/>
      <c r="J208" s="54"/>
      <c r="L208" s="54"/>
      <c r="R208" s="45"/>
      <c r="S208" s="54"/>
      <c r="T208" s="54"/>
      <c r="U208" s="54"/>
      <c r="V208" s="44"/>
      <c r="W208" s="27"/>
      <c r="Z208" s="27"/>
      <c r="AA208" s="8"/>
      <c r="AB208" s="81" t="str">
        <f t="shared" si="146"/>
        <v/>
      </c>
      <c r="AC208" s="6" t="str">
        <f t="shared" si="147"/>
        <v/>
      </c>
      <c r="AD208" s="1" t="str">
        <f t="shared" ca="1" si="148"/>
        <v/>
      </c>
      <c r="AE208" s="75" t="str">
        <f t="shared" si="149"/>
        <v/>
      </c>
      <c r="AF208" s="75" t="str">
        <f t="shared" si="150"/>
        <v/>
      </c>
      <c r="AG208" s="4" t="str">
        <f t="shared" si="151"/>
        <v/>
      </c>
      <c r="AH208" s="4" t="str">
        <f t="shared" si="152"/>
        <v/>
      </c>
      <c r="AI208" s="4" t="str">
        <f t="shared" si="153"/>
        <v/>
      </c>
      <c r="AJ208" s="4" t="str">
        <f t="shared" si="154"/>
        <v/>
      </c>
      <c r="AK208" s="4" t="str">
        <f t="shared" si="155"/>
        <v/>
      </c>
      <c r="AL208" s="2" t="str">
        <f t="shared" si="156"/>
        <v/>
      </c>
      <c r="AM208" s="6" t="str">
        <f t="shared" si="157"/>
        <v/>
      </c>
      <c r="AN208" s="4" t="str">
        <f t="shared" si="158"/>
        <v/>
      </c>
      <c r="AO208" s="4" t="str">
        <f t="shared" si="159"/>
        <v/>
      </c>
      <c r="AP208" s="4" t="str">
        <f t="shared" si="160"/>
        <v/>
      </c>
      <c r="AQ208" s="4" t="str">
        <f t="shared" si="161"/>
        <v/>
      </c>
      <c r="AR208" s="4" t="str">
        <f t="shared" si="162"/>
        <v/>
      </c>
    </row>
    <row r="209" spans="8:44" s="1" customFormat="1" ht="14.25" x14ac:dyDescent="0.3">
      <c r="H209" s="50"/>
      <c r="J209" s="54"/>
      <c r="L209" s="54"/>
      <c r="R209" s="45"/>
      <c r="S209" s="54"/>
      <c r="T209" s="54"/>
      <c r="U209" s="54"/>
      <c r="V209" s="44"/>
      <c r="W209" s="27"/>
      <c r="Z209" s="27"/>
      <c r="AA209" s="8"/>
      <c r="AB209" s="81" t="str">
        <f t="shared" si="146"/>
        <v/>
      </c>
      <c r="AC209" s="6" t="str">
        <f t="shared" si="147"/>
        <v/>
      </c>
      <c r="AD209" s="1" t="str">
        <f t="shared" ca="1" si="148"/>
        <v/>
      </c>
      <c r="AE209" s="75" t="str">
        <f t="shared" si="149"/>
        <v/>
      </c>
      <c r="AF209" s="75" t="str">
        <f t="shared" si="150"/>
        <v/>
      </c>
      <c r="AG209" s="4" t="str">
        <f t="shared" si="151"/>
        <v/>
      </c>
      <c r="AH209" s="4" t="str">
        <f t="shared" si="152"/>
        <v/>
      </c>
      <c r="AI209" s="4" t="str">
        <f t="shared" si="153"/>
        <v/>
      </c>
      <c r="AJ209" s="4" t="str">
        <f t="shared" si="154"/>
        <v/>
      </c>
      <c r="AK209" s="4" t="str">
        <f t="shared" si="155"/>
        <v/>
      </c>
      <c r="AL209" s="2" t="str">
        <f t="shared" si="156"/>
        <v/>
      </c>
      <c r="AM209" s="6" t="str">
        <f t="shared" si="157"/>
        <v/>
      </c>
      <c r="AN209" s="4" t="str">
        <f t="shared" si="158"/>
        <v/>
      </c>
      <c r="AO209" s="4" t="str">
        <f t="shared" si="159"/>
        <v/>
      </c>
      <c r="AP209" s="4" t="str">
        <f t="shared" si="160"/>
        <v/>
      </c>
      <c r="AQ209" s="4" t="str">
        <f t="shared" si="161"/>
        <v/>
      </c>
      <c r="AR209" s="4" t="str">
        <f t="shared" si="162"/>
        <v/>
      </c>
    </row>
    <row r="210" spans="8:44" s="1" customFormat="1" ht="14.25" x14ac:dyDescent="0.3">
      <c r="H210" s="50"/>
      <c r="J210" s="54"/>
      <c r="L210" s="54"/>
      <c r="R210" s="45"/>
      <c r="S210" s="54"/>
      <c r="T210" s="54"/>
      <c r="U210" s="54"/>
      <c r="V210" s="44"/>
      <c r="W210" s="27"/>
      <c r="Z210" s="27"/>
      <c r="AA210" s="8"/>
      <c r="AB210" s="81" t="str">
        <f t="shared" si="146"/>
        <v/>
      </c>
      <c r="AC210" s="6" t="str">
        <f t="shared" si="147"/>
        <v/>
      </c>
      <c r="AD210" s="1" t="str">
        <f t="shared" ca="1" si="148"/>
        <v/>
      </c>
      <c r="AE210" s="75" t="str">
        <f t="shared" si="149"/>
        <v/>
      </c>
      <c r="AF210" s="75" t="str">
        <f t="shared" si="150"/>
        <v/>
      </c>
      <c r="AG210" s="4" t="str">
        <f t="shared" si="151"/>
        <v/>
      </c>
      <c r="AH210" s="4" t="str">
        <f t="shared" si="152"/>
        <v/>
      </c>
      <c r="AI210" s="4" t="str">
        <f t="shared" si="153"/>
        <v/>
      </c>
      <c r="AJ210" s="4" t="str">
        <f t="shared" si="154"/>
        <v/>
      </c>
      <c r="AK210" s="4" t="str">
        <f t="shared" si="155"/>
        <v/>
      </c>
      <c r="AL210" s="2" t="str">
        <f t="shared" si="156"/>
        <v/>
      </c>
      <c r="AM210" s="6" t="str">
        <f t="shared" si="157"/>
        <v/>
      </c>
      <c r="AN210" s="4" t="str">
        <f t="shared" si="158"/>
        <v/>
      </c>
      <c r="AO210" s="4" t="str">
        <f t="shared" si="159"/>
        <v/>
      </c>
      <c r="AP210" s="4" t="str">
        <f t="shared" si="160"/>
        <v/>
      </c>
      <c r="AQ210" s="4" t="str">
        <f t="shared" si="161"/>
        <v/>
      </c>
      <c r="AR210" s="4" t="str">
        <f t="shared" si="162"/>
        <v/>
      </c>
    </row>
    <row r="211" spans="8:44" s="1" customFormat="1" ht="14.25" x14ac:dyDescent="0.3">
      <c r="H211" s="50"/>
      <c r="J211" s="54"/>
      <c r="L211" s="54"/>
      <c r="R211" s="45"/>
      <c r="S211" s="54"/>
      <c r="T211" s="54"/>
      <c r="U211" s="54"/>
      <c r="V211" s="44"/>
      <c r="W211" s="27"/>
      <c r="Z211" s="27"/>
      <c r="AA211" s="8"/>
      <c r="AB211" s="81" t="str">
        <f t="shared" si="146"/>
        <v/>
      </c>
      <c r="AC211" s="6" t="str">
        <f t="shared" si="147"/>
        <v/>
      </c>
      <c r="AD211" s="1" t="str">
        <f t="shared" ca="1" si="148"/>
        <v/>
      </c>
      <c r="AE211" s="75" t="str">
        <f t="shared" si="149"/>
        <v/>
      </c>
      <c r="AF211" s="75" t="str">
        <f t="shared" si="150"/>
        <v/>
      </c>
      <c r="AG211" s="4" t="str">
        <f t="shared" si="151"/>
        <v/>
      </c>
      <c r="AH211" s="4" t="str">
        <f t="shared" si="152"/>
        <v/>
      </c>
      <c r="AI211" s="4" t="str">
        <f t="shared" si="153"/>
        <v/>
      </c>
      <c r="AJ211" s="4" t="str">
        <f t="shared" si="154"/>
        <v/>
      </c>
      <c r="AK211" s="4" t="str">
        <f t="shared" si="155"/>
        <v/>
      </c>
      <c r="AL211" s="2" t="str">
        <f t="shared" si="156"/>
        <v/>
      </c>
      <c r="AM211" s="6" t="str">
        <f t="shared" si="157"/>
        <v/>
      </c>
      <c r="AN211" s="4" t="str">
        <f t="shared" si="158"/>
        <v/>
      </c>
      <c r="AO211" s="4" t="str">
        <f t="shared" si="159"/>
        <v/>
      </c>
      <c r="AP211" s="4" t="str">
        <f t="shared" si="160"/>
        <v/>
      </c>
      <c r="AQ211" s="4" t="str">
        <f t="shared" si="161"/>
        <v/>
      </c>
      <c r="AR211" s="4" t="str">
        <f t="shared" si="162"/>
        <v/>
      </c>
    </row>
    <row r="212" spans="8:44" s="1" customFormat="1" ht="14.25" x14ac:dyDescent="0.3">
      <c r="H212" s="50"/>
      <c r="J212" s="54"/>
      <c r="L212" s="54"/>
      <c r="R212" s="45"/>
      <c r="S212" s="54"/>
      <c r="T212" s="54"/>
      <c r="U212" s="54"/>
      <c r="V212" s="44"/>
      <c r="W212" s="27"/>
      <c r="Z212" s="27"/>
      <c r="AA212" s="8"/>
      <c r="AB212" s="81" t="str">
        <f t="shared" si="146"/>
        <v/>
      </c>
      <c r="AC212" s="6" t="str">
        <f t="shared" si="147"/>
        <v/>
      </c>
      <c r="AD212" s="1" t="str">
        <f t="shared" ca="1" si="148"/>
        <v/>
      </c>
      <c r="AE212" s="75" t="str">
        <f t="shared" si="149"/>
        <v/>
      </c>
      <c r="AF212" s="75" t="str">
        <f t="shared" si="150"/>
        <v/>
      </c>
      <c r="AG212" s="4" t="str">
        <f t="shared" si="151"/>
        <v/>
      </c>
      <c r="AH212" s="4" t="str">
        <f t="shared" si="152"/>
        <v/>
      </c>
      <c r="AI212" s="4" t="str">
        <f t="shared" si="153"/>
        <v/>
      </c>
      <c r="AJ212" s="4" t="str">
        <f t="shared" si="154"/>
        <v/>
      </c>
      <c r="AK212" s="4" t="str">
        <f t="shared" si="155"/>
        <v/>
      </c>
      <c r="AL212" s="2" t="str">
        <f t="shared" si="156"/>
        <v/>
      </c>
      <c r="AM212" s="6" t="str">
        <f t="shared" si="157"/>
        <v/>
      </c>
      <c r="AN212" s="4" t="str">
        <f t="shared" si="158"/>
        <v/>
      </c>
      <c r="AO212" s="4" t="str">
        <f t="shared" si="159"/>
        <v/>
      </c>
      <c r="AP212" s="4" t="str">
        <f t="shared" si="160"/>
        <v/>
      </c>
      <c r="AQ212" s="4" t="str">
        <f t="shared" si="161"/>
        <v/>
      </c>
      <c r="AR212" s="4" t="str">
        <f t="shared" si="162"/>
        <v/>
      </c>
    </row>
    <row r="213" spans="8:44" s="1" customFormat="1" ht="14.25" x14ac:dyDescent="0.3">
      <c r="H213" s="50"/>
      <c r="J213" s="54"/>
      <c r="L213" s="54"/>
      <c r="R213" s="45"/>
      <c r="S213" s="54"/>
      <c r="T213" s="54"/>
      <c r="U213" s="54"/>
      <c r="V213" s="44"/>
      <c r="W213" s="27"/>
      <c r="Z213" s="27"/>
      <c r="AA213" s="8"/>
      <c r="AB213" s="81" t="str">
        <f t="shared" si="146"/>
        <v/>
      </c>
      <c r="AC213" s="6" t="str">
        <f t="shared" si="147"/>
        <v/>
      </c>
      <c r="AD213" s="1" t="str">
        <f t="shared" ca="1" si="148"/>
        <v/>
      </c>
      <c r="AE213" s="75" t="str">
        <f t="shared" si="149"/>
        <v/>
      </c>
      <c r="AF213" s="75" t="str">
        <f t="shared" si="150"/>
        <v/>
      </c>
      <c r="AG213" s="4" t="str">
        <f t="shared" si="151"/>
        <v/>
      </c>
      <c r="AH213" s="4" t="str">
        <f t="shared" si="152"/>
        <v/>
      </c>
      <c r="AI213" s="4" t="str">
        <f t="shared" si="153"/>
        <v/>
      </c>
      <c r="AJ213" s="4" t="str">
        <f t="shared" si="154"/>
        <v/>
      </c>
      <c r="AK213" s="4" t="str">
        <f t="shared" si="155"/>
        <v/>
      </c>
      <c r="AL213" s="2" t="str">
        <f t="shared" si="156"/>
        <v/>
      </c>
      <c r="AM213" s="6" t="str">
        <f t="shared" si="157"/>
        <v/>
      </c>
      <c r="AN213" s="4" t="str">
        <f t="shared" si="158"/>
        <v/>
      </c>
      <c r="AO213" s="4" t="str">
        <f t="shared" si="159"/>
        <v/>
      </c>
      <c r="AP213" s="4" t="str">
        <f t="shared" si="160"/>
        <v/>
      </c>
      <c r="AQ213" s="4" t="str">
        <f t="shared" si="161"/>
        <v/>
      </c>
      <c r="AR213" s="4" t="str">
        <f t="shared" si="162"/>
        <v/>
      </c>
    </row>
    <row r="214" spans="8:44" s="1" customFormat="1" ht="14.25" x14ac:dyDescent="0.3">
      <c r="H214" s="50"/>
      <c r="J214" s="54"/>
      <c r="L214" s="54"/>
      <c r="R214" s="45"/>
      <c r="S214" s="54"/>
      <c r="T214" s="54"/>
      <c r="U214" s="54"/>
      <c r="V214" s="44"/>
      <c r="W214" s="27"/>
      <c r="Z214" s="27"/>
      <c r="AA214" s="8"/>
      <c r="AB214" s="81" t="str">
        <f t="shared" si="146"/>
        <v/>
      </c>
      <c r="AC214" s="6" t="str">
        <f t="shared" si="147"/>
        <v/>
      </c>
      <c r="AD214" s="1" t="str">
        <f t="shared" ca="1" si="148"/>
        <v/>
      </c>
      <c r="AE214" s="75" t="str">
        <f t="shared" si="149"/>
        <v/>
      </c>
      <c r="AF214" s="75" t="str">
        <f t="shared" si="150"/>
        <v/>
      </c>
      <c r="AG214" s="4" t="str">
        <f t="shared" si="151"/>
        <v/>
      </c>
      <c r="AH214" s="4" t="str">
        <f t="shared" si="152"/>
        <v/>
      </c>
      <c r="AI214" s="4" t="str">
        <f t="shared" si="153"/>
        <v/>
      </c>
      <c r="AJ214" s="4" t="str">
        <f t="shared" si="154"/>
        <v/>
      </c>
      <c r="AK214" s="4" t="str">
        <f t="shared" si="155"/>
        <v/>
      </c>
      <c r="AL214" s="2" t="str">
        <f t="shared" si="156"/>
        <v/>
      </c>
      <c r="AM214" s="6" t="str">
        <f t="shared" si="157"/>
        <v/>
      </c>
      <c r="AN214" s="4" t="str">
        <f t="shared" si="158"/>
        <v/>
      </c>
      <c r="AO214" s="4" t="str">
        <f t="shared" si="159"/>
        <v/>
      </c>
      <c r="AP214" s="4" t="str">
        <f t="shared" si="160"/>
        <v/>
      </c>
      <c r="AQ214" s="4" t="str">
        <f t="shared" si="161"/>
        <v/>
      </c>
      <c r="AR214" s="4" t="str">
        <f t="shared" si="162"/>
        <v/>
      </c>
    </row>
    <row r="215" spans="8:44" s="1" customFormat="1" ht="14.25" x14ac:dyDescent="0.3">
      <c r="H215" s="50"/>
      <c r="J215" s="54"/>
      <c r="L215" s="54"/>
      <c r="R215" s="45"/>
      <c r="S215" s="54"/>
      <c r="T215" s="54"/>
      <c r="U215" s="54"/>
      <c r="V215" s="44"/>
      <c r="W215" s="27"/>
      <c r="Z215" s="27"/>
      <c r="AA215" s="8"/>
      <c r="AB215" s="81" t="str">
        <f t="shared" si="146"/>
        <v/>
      </c>
      <c r="AC215" s="6" t="str">
        <f t="shared" si="147"/>
        <v/>
      </c>
      <c r="AD215" s="1" t="str">
        <f t="shared" ca="1" si="148"/>
        <v/>
      </c>
      <c r="AE215" s="75" t="str">
        <f t="shared" si="149"/>
        <v/>
      </c>
      <c r="AF215" s="75" t="str">
        <f t="shared" si="150"/>
        <v/>
      </c>
      <c r="AG215" s="4" t="str">
        <f t="shared" si="151"/>
        <v/>
      </c>
      <c r="AH215" s="4" t="str">
        <f t="shared" si="152"/>
        <v/>
      </c>
      <c r="AI215" s="4" t="str">
        <f t="shared" si="153"/>
        <v/>
      </c>
      <c r="AJ215" s="4" t="str">
        <f t="shared" si="154"/>
        <v/>
      </c>
      <c r="AK215" s="4" t="str">
        <f t="shared" si="155"/>
        <v/>
      </c>
      <c r="AL215" s="2" t="str">
        <f t="shared" si="156"/>
        <v/>
      </c>
      <c r="AM215" s="6" t="str">
        <f t="shared" si="157"/>
        <v/>
      </c>
      <c r="AN215" s="4" t="str">
        <f t="shared" si="158"/>
        <v/>
      </c>
      <c r="AO215" s="4" t="str">
        <f t="shared" si="159"/>
        <v/>
      </c>
      <c r="AP215" s="4" t="str">
        <f t="shared" si="160"/>
        <v/>
      </c>
      <c r="AQ215" s="4" t="str">
        <f t="shared" si="161"/>
        <v/>
      </c>
      <c r="AR215" s="4" t="str">
        <f t="shared" si="162"/>
        <v/>
      </c>
    </row>
    <row r="216" spans="8:44" s="1" customFormat="1" ht="14.25" x14ac:dyDescent="0.3">
      <c r="H216" s="50"/>
      <c r="J216" s="54"/>
      <c r="L216" s="54"/>
      <c r="R216" s="45"/>
      <c r="S216" s="54"/>
      <c r="T216" s="54"/>
      <c r="U216" s="54"/>
      <c r="V216" s="44"/>
      <c r="W216" s="27"/>
      <c r="Z216" s="27"/>
      <c r="AA216" s="8"/>
      <c r="AB216" s="81" t="str">
        <f t="shared" si="146"/>
        <v/>
      </c>
      <c r="AC216" s="6" t="str">
        <f t="shared" si="147"/>
        <v/>
      </c>
      <c r="AD216" s="1" t="str">
        <f t="shared" ca="1" si="148"/>
        <v/>
      </c>
      <c r="AE216" s="75" t="str">
        <f t="shared" si="149"/>
        <v/>
      </c>
      <c r="AF216" s="75" t="str">
        <f t="shared" si="150"/>
        <v/>
      </c>
      <c r="AG216" s="4" t="str">
        <f t="shared" si="151"/>
        <v/>
      </c>
      <c r="AH216" s="4" t="str">
        <f t="shared" si="152"/>
        <v/>
      </c>
      <c r="AI216" s="4" t="str">
        <f t="shared" si="153"/>
        <v/>
      </c>
      <c r="AJ216" s="4" t="str">
        <f t="shared" si="154"/>
        <v/>
      </c>
      <c r="AK216" s="4" t="str">
        <f t="shared" si="155"/>
        <v/>
      </c>
      <c r="AL216" s="2" t="str">
        <f t="shared" si="156"/>
        <v/>
      </c>
      <c r="AM216" s="6" t="str">
        <f t="shared" si="157"/>
        <v/>
      </c>
      <c r="AN216" s="4" t="str">
        <f t="shared" si="158"/>
        <v/>
      </c>
      <c r="AO216" s="4" t="str">
        <f t="shared" si="159"/>
        <v/>
      </c>
      <c r="AP216" s="4" t="str">
        <f t="shared" si="160"/>
        <v/>
      </c>
      <c r="AQ216" s="4" t="str">
        <f t="shared" si="161"/>
        <v/>
      </c>
      <c r="AR216" s="4" t="str">
        <f t="shared" si="162"/>
        <v/>
      </c>
    </row>
    <row r="217" spans="8:44" s="1" customFormat="1" ht="14.25" x14ac:dyDescent="0.3">
      <c r="H217" s="50"/>
      <c r="J217" s="54"/>
      <c r="L217" s="54"/>
      <c r="R217" s="45"/>
      <c r="S217" s="54"/>
      <c r="T217" s="54"/>
      <c r="U217" s="54"/>
      <c r="V217" s="44"/>
      <c r="W217" s="27"/>
      <c r="Z217" s="27"/>
      <c r="AA217" s="8"/>
      <c r="AB217" s="81" t="str">
        <f t="shared" si="146"/>
        <v/>
      </c>
      <c r="AC217" s="6" t="str">
        <f t="shared" si="147"/>
        <v/>
      </c>
      <c r="AD217" s="1" t="str">
        <f t="shared" ca="1" si="148"/>
        <v/>
      </c>
      <c r="AE217" s="75" t="str">
        <f t="shared" si="149"/>
        <v/>
      </c>
      <c r="AF217" s="75" t="str">
        <f t="shared" si="150"/>
        <v/>
      </c>
      <c r="AG217" s="4" t="str">
        <f t="shared" si="151"/>
        <v/>
      </c>
      <c r="AH217" s="4" t="str">
        <f t="shared" si="152"/>
        <v/>
      </c>
      <c r="AI217" s="4" t="str">
        <f t="shared" si="153"/>
        <v/>
      </c>
      <c r="AJ217" s="4" t="str">
        <f t="shared" si="154"/>
        <v/>
      </c>
      <c r="AK217" s="4" t="str">
        <f t="shared" si="155"/>
        <v/>
      </c>
      <c r="AL217" s="2" t="str">
        <f t="shared" si="156"/>
        <v/>
      </c>
      <c r="AM217" s="6" t="str">
        <f t="shared" si="157"/>
        <v/>
      </c>
      <c r="AN217" s="4" t="str">
        <f t="shared" si="158"/>
        <v/>
      </c>
      <c r="AO217" s="4" t="str">
        <f t="shared" si="159"/>
        <v/>
      </c>
      <c r="AP217" s="4" t="str">
        <f t="shared" si="160"/>
        <v/>
      </c>
      <c r="AQ217" s="4" t="str">
        <f t="shared" si="161"/>
        <v/>
      </c>
      <c r="AR217" s="4" t="str">
        <f t="shared" si="162"/>
        <v/>
      </c>
    </row>
    <row r="218" spans="8:44" s="1" customFormat="1" ht="14.25" x14ac:dyDescent="0.3">
      <c r="H218" s="50"/>
      <c r="J218" s="54"/>
      <c r="L218" s="54"/>
      <c r="R218" s="45"/>
      <c r="S218" s="54"/>
      <c r="T218" s="54"/>
      <c r="U218" s="54"/>
      <c r="V218" s="44"/>
      <c r="W218" s="27"/>
      <c r="Z218" s="27"/>
      <c r="AA218" s="8"/>
      <c r="AB218" s="81" t="str">
        <f t="shared" si="146"/>
        <v/>
      </c>
      <c r="AC218" s="6" t="str">
        <f t="shared" si="147"/>
        <v/>
      </c>
      <c r="AD218" s="1" t="str">
        <f t="shared" ca="1" si="148"/>
        <v/>
      </c>
      <c r="AE218" s="75" t="str">
        <f t="shared" si="149"/>
        <v/>
      </c>
      <c r="AF218" s="75" t="str">
        <f t="shared" si="150"/>
        <v/>
      </c>
      <c r="AG218" s="4" t="str">
        <f t="shared" si="151"/>
        <v/>
      </c>
      <c r="AH218" s="4" t="str">
        <f t="shared" si="152"/>
        <v/>
      </c>
      <c r="AI218" s="4" t="str">
        <f t="shared" si="153"/>
        <v/>
      </c>
      <c r="AJ218" s="4" t="str">
        <f t="shared" si="154"/>
        <v/>
      </c>
      <c r="AK218" s="4" t="str">
        <f t="shared" si="155"/>
        <v/>
      </c>
      <c r="AL218" s="2" t="str">
        <f t="shared" si="156"/>
        <v/>
      </c>
      <c r="AM218" s="6" t="str">
        <f t="shared" si="157"/>
        <v/>
      </c>
      <c r="AN218" s="4" t="str">
        <f t="shared" si="158"/>
        <v/>
      </c>
      <c r="AO218" s="4" t="str">
        <f t="shared" si="159"/>
        <v/>
      </c>
      <c r="AP218" s="4" t="str">
        <f t="shared" si="160"/>
        <v/>
      </c>
      <c r="AQ218" s="4" t="str">
        <f t="shared" si="161"/>
        <v/>
      </c>
      <c r="AR218" s="4" t="str">
        <f t="shared" si="162"/>
        <v/>
      </c>
    </row>
    <row r="219" spans="8:44" s="1" customFormat="1" ht="14.25" x14ac:dyDescent="0.3">
      <c r="H219" s="50"/>
      <c r="J219" s="54"/>
      <c r="L219" s="54"/>
      <c r="R219" s="45"/>
      <c r="S219" s="54"/>
      <c r="T219" s="54"/>
      <c r="U219" s="54"/>
      <c r="V219" s="44"/>
      <c r="W219" s="27"/>
      <c r="Z219" s="27"/>
      <c r="AA219" s="8"/>
      <c r="AB219" s="81" t="str">
        <f t="shared" si="146"/>
        <v/>
      </c>
      <c r="AC219" s="6" t="str">
        <f t="shared" si="147"/>
        <v/>
      </c>
      <c r="AD219" s="1" t="str">
        <f t="shared" ca="1" si="148"/>
        <v/>
      </c>
      <c r="AE219" s="75" t="str">
        <f t="shared" si="149"/>
        <v/>
      </c>
      <c r="AF219" s="75" t="str">
        <f t="shared" si="150"/>
        <v/>
      </c>
      <c r="AG219" s="4" t="str">
        <f t="shared" si="151"/>
        <v/>
      </c>
      <c r="AH219" s="4" t="str">
        <f t="shared" si="152"/>
        <v/>
      </c>
      <c r="AI219" s="4" t="str">
        <f t="shared" si="153"/>
        <v/>
      </c>
      <c r="AJ219" s="4" t="str">
        <f t="shared" si="154"/>
        <v/>
      </c>
      <c r="AK219" s="4" t="str">
        <f t="shared" si="155"/>
        <v/>
      </c>
      <c r="AL219" s="2" t="str">
        <f t="shared" si="156"/>
        <v/>
      </c>
      <c r="AM219" s="6" t="str">
        <f t="shared" si="157"/>
        <v/>
      </c>
      <c r="AN219" s="4" t="str">
        <f t="shared" si="158"/>
        <v/>
      </c>
      <c r="AO219" s="4" t="str">
        <f t="shared" si="159"/>
        <v/>
      </c>
      <c r="AP219" s="4" t="str">
        <f t="shared" si="160"/>
        <v/>
      </c>
      <c r="AQ219" s="4" t="str">
        <f t="shared" si="161"/>
        <v/>
      </c>
      <c r="AR219" s="4" t="str">
        <f t="shared" si="162"/>
        <v/>
      </c>
    </row>
    <row r="220" spans="8:44" s="1" customFormat="1" ht="14.25" x14ac:dyDescent="0.3">
      <c r="H220" s="50"/>
      <c r="J220" s="54"/>
      <c r="L220" s="54"/>
      <c r="R220" s="45"/>
      <c r="S220" s="54"/>
      <c r="T220" s="54"/>
      <c r="U220" s="54"/>
      <c r="V220" s="44"/>
      <c r="W220" s="27"/>
      <c r="Z220" s="27"/>
      <c r="AA220" s="8"/>
      <c r="AB220" s="81" t="str">
        <f t="shared" si="146"/>
        <v/>
      </c>
      <c r="AC220" s="6" t="str">
        <f t="shared" si="147"/>
        <v/>
      </c>
      <c r="AD220" s="1" t="str">
        <f t="shared" ca="1" si="148"/>
        <v/>
      </c>
      <c r="AE220" s="75" t="str">
        <f t="shared" si="149"/>
        <v/>
      </c>
      <c r="AF220" s="75" t="str">
        <f t="shared" si="150"/>
        <v/>
      </c>
      <c r="AG220" s="4" t="str">
        <f t="shared" si="151"/>
        <v/>
      </c>
      <c r="AH220" s="4" t="str">
        <f t="shared" si="152"/>
        <v/>
      </c>
      <c r="AI220" s="4" t="str">
        <f t="shared" si="153"/>
        <v/>
      </c>
      <c r="AJ220" s="4" t="str">
        <f t="shared" si="154"/>
        <v/>
      </c>
      <c r="AK220" s="4" t="str">
        <f t="shared" si="155"/>
        <v/>
      </c>
      <c r="AL220" s="2" t="str">
        <f t="shared" si="156"/>
        <v/>
      </c>
      <c r="AM220" s="6" t="str">
        <f t="shared" si="157"/>
        <v/>
      </c>
      <c r="AN220" s="4" t="str">
        <f t="shared" si="158"/>
        <v/>
      </c>
      <c r="AO220" s="4" t="str">
        <f t="shared" si="159"/>
        <v/>
      </c>
      <c r="AP220" s="4" t="str">
        <f t="shared" si="160"/>
        <v/>
      </c>
      <c r="AQ220" s="4" t="str">
        <f t="shared" si="161"/>
        <v/>
      </c>
      <c r="AR220" s="4" t="str">
        <f t="shared" si="162"/>
        <v/>
      </c>
    </row>
    <row r="221" spans="8:44" s="1" customFormat="1" ht="14.25" x14ac:dyDescent="0.3">
      <c r="H221" s="50"/>
      <c r="J221" s="54"/>
      <c r="L221" s="54"/>
      <c r="R221" s="45"/>
      <c r="S221" s="54"/>
      <c r="T221" s="54"/>
      <c r="U221" s="54"/>
      <c r="V221" s="44"/>
      <c r="W221" s="27"/>
      <c r="Z221" s="27"/>
      <c r="AA221" s="8"/>
      <c r="AB221" s="81" t="str">
        <f t="shared" si="146"/>
        <v/>
      </c>
      <c r="AC221" s="6" t="str">
        <f t="shared" si="147"/>
        <v/>
      </c>
      <c r="AD221" s="1" t="str">
        <f t="shared" ca="1" si="148"/>
        <v/>
      </c>
      <c r="AE221" s="75" t="str">
        <f t="shared" si="149"/>
        <v/>
      </c>
      <c r="AF221" s="75" t="str">
        <f t="shared" si="150"/>
        <v/>
      </c>
      <c r="AG221" s="4" t="str">
        <f t="shared" si="151"/>
        <v/>
      </c>
      <c r="AH221" s="4" t="str">
        <f t="shared" si="152"/>
        <v/>
      </c>
      <c r="AI221" s="4" t="str">
        <f t="shared" si="153"/>
        <v/>
      </c>
      <c r="AJ221" s="4" t="str">
        <f t="shared" si="154"/>
        <v/>
      </c>
      <c r="AK221" s="4" t="str">
        <f t="shared" si="155"/>
        <v/>
      </c>
      <c r="AL221" s="2" t="str">
        <f t="shared" si="156"/>
        <v/>
      </c>
      <c r="AM221" s="6" t="str">
        <f t="shared" si="157"/>
        <v/>
      </c>
      <c r="AN221" s="4" t="str">
        <f t="shared" si="158"/>
        <v/>
      </c>
      <c r="AO221" s="4" t="str">
        <f t="shared" si="159"/>
        <v/>
      </c>
      <c r="AP221" s="4" t="str">
        <f t="shared" si="160"/>
        <v/>
      </c>
      <c r="AQ221" s="4" t="str">
        <f t="shared" si="161"/>
        <v/>
      </c>
      <c r="AR221" s="4" t="str">
        <f t="shared" si="162"/>
        <v/>
      </c>
    </row>
    <row r="222" spans="8:44" s="1" customFormat="1" ht="14.25" x14ac:dyDescent="0.3">
      <c r="H222" s="50"/>
      <c r="J222" s="54"/>
      <c r="L222" s="54"/>
      <c r="R222" s="45"/>
      <c r="S222" s="54"/>
      <c r="T222" s="54"/>
      <c r="U222" s="54"/>
      <c r="V222" s="44"/>
      <c r="W222" s="27"/>
      <c r="Z222" s="27"/>
      <c r="AA222" s="8"/>
      <c r="AB222" s="81" t="str">
        <f t="shared" si="146"/>
        <v/>
      </c>
      <c r="AC222" s="6" t="str">
        <f t="shared" si="147"/>
        <v/>
      </c>
      <c r="AD222" s="1" t="str">
        <f t="shared" ca="1" si="148"/>
        <v/>
      </c>
      <c r="AE222" s="75" t="str">
        <f t="shared" si="149"/>
        <v/>
      </c>
      <c r="AF222" s="75" t="str">
        <f t="shared" si="150"/>
        <v/>
      </c>
      <c r="AG222" s="4" t="str">
        <f t="shared" si="151"/>
        <v/>
      </c>
      <c r="AH222" s="4" t="str">
        <f t="shared" si="152"/>
        <v/>
      </c>
      <c r="AI222" s="4" t="str">
        <f t="shared" si="153"/>
        <v/>
      </c>
      <c r="AJ222" s="4" t="str">
        <f t="shared" si="154"/>
        <v/>
      </c>
      <c r="AK222" s="4" t="str">
        <f t="shared" si="155"/>
        <v/>
      </c>
      <c r="AL222" s="2" t="str">
        <f t="shared" si="156"/>
        <v/>
      </c>
      <c r="AM222" s="6" t="str">
        <f t="shared" si="157"/>
        <v/>
      </c>
      <c r="AN222" s="4" t="str">
        <f t="shared" si="158"/>
        <v/>
      </c>
      <c r="AO222" s="4" t="str">
        <f t="shared" si="159"/>
        <v/>
      </c>
      <c r="AP222" s="4" t="str">
        <f t="shared" si="160"/>
        <v/>
      </c>
      <c r="AQ222" s="4" t="str">
        <f t="shared" si="161"/>
        <v/>
      </c>
      <c r="AR222" s="4" t="str">
        <f t="shared" si="162"/>
        <v/>
      </c>
    </row>
    <row r="223" spans="8:44" s="1" customFormat="1" ht="14.25" x14ac:dyDescent="0.3">
      <c r="H223" s="50"/>
      <c r="J223" s="54"/>
      <c r="L223" s="54"/>
      <c r="R223" s="45"/>
      <c r="S223" s="54"/>
      <c r="T223" s="54"/>
      <c r="U223" s="54"/>
      <c r="V223" s="44"/>
      <c r="W223" s="27"/>
      <c r="Z223" s="27"/>
      <c r="AA223" s="8"/>
      <c r="AB223" s="81" t="str">
        <f t="shared" si="146"/>
        <v/>
      </c>
      <c r="AC223" s="6" t="str">
        <f t="shared" si="147"/>
        <v/>
      </c>
      <c r="AD223" s="1" t="str">
        <f t="shared" ca="1" si="148"/>
        <v/>
      </c>
      <c r="AE223" s="75" t="str">
        <f t="shared" si="149"/>
        <v/>
      </c>
      <c r="AF223" s="75" t="str">
        <f t="shared" si="150"/>
        <v/>
      </c>
      <c r="AG223" s="4" t="str">
        <f t="shared" si="151"/>
        <v/>
      </c>
      <c r="AH223" s="4" t="str">
        <f t="shared" si="152"/>
        <v/>
      </c>
      <c r="AI223" s="4" t="str">
        <f t="shared" si="153"/>
        <v/>
      </c>
      <c r="AJ223" s="4" t="str">
        <f t="shared" si="154"/>
        <v/>
      </c>
      <c r="AK223" s="4" t="str">
        <f t="shared" si="155"/>
        <v/>
      </c>
      <c r="AL223" s="2" t="str">
        <f t="shared" si="156"/>
        <v/>
      </c>
      <c r="AM223" s="6" t="str">
        <f t="shared" si="157"/>
        <v/>
      </c>
      <c r="AN223" s="4" t="str">
        <f t="shared" si="158"/>
        <v/>
      </c>
      <c r="AO223" s="4" t="str">
        <f t="shared" si="159"/>
        <v/>
      </c>
      <c r="AP223" s="4" t="str">
        <f t="shared" si="160"/>
        <v/>
      </c>
      <c r="AQ223" s="4" t="str">
        <f t="shared" si="161"/>
        <v/>
      </c>
      <c r="AR223" s="4" t="str">
        <f t="shared" si="162"/>
        <v/>
      </c>
    </row>
    <row r="224" spans="8:44" s="1" customFormat="1" ht="14.25" x14ac:dyDescent="0.3">
      <c r="H224" s="50"/>
      <c r="J224" s="54"/>
      <c r="L224" s="54"/>
      <c r="R224" s="45"/>
      <c r="S224" s="54"/>
      <c r="T224" s="54"/>
      <c r="U224" s="54"/>
      <c r="V224" s="44"/>
      <c r="W224" s="27"/>
      <c r="Z224" s="27"/>
      <c r="AA224" s="8"/>
      <c r="AB224" s="81" t="str">
        <f t="shared" si="146"/>
        <v/>
      </c>
      <c r="AC224" s="6" t="str">
        <f t="shared" si="147"/>
        <v/>
      </c>
      <c r="AD224" s="1" t="str">
        <f t="shared" ca="1" si="148"/>
        <v/>
      </c>
      <c r="AE224" s="75" t="str">
        <f t="shared" si="149"/>
        <v/>
      </c>
      <c r="AF224" s="75" t="str">
        <f t="shared" si="150"/>
        <v/>
      </c>
      <c r="AG224" s="4" t="str">
        <f t="shared" si="151"/>
        <v/>
      </c>
      <c r="AH224" s="4" t="str">
        <f t="shared" si="152"/>
        <v/>
      </c>
      <c r="AI224" s="4" t="str">
        <f t="shared" si="153"/>
        <v/>
      </c>
      <c r="AJ224" s="4" t="str">
        <f t="shared" si="154"/>
        <v/>
      </c>
      <c r="AK224" s="4" t="str">
        <f t="shared" si="155"/>
        <v/>
      </c>
      <c r="AL224" s="2" t="str">
        <f t="shared" si="156"/>
        <v/>
      </c>
      <c r="AM224" s="6" t="str">
        <f t="shared" si="157"/>
        <v/>
      </c>
      <c r="AN224" s="4" t="str">
        <f t="shared" si="158"/>
        <v/>
      </c>
      <c r="AO224" s="4" t="str">
        <f t="shared" si="159"/>
        <v/>
      </c>
      <c r="AP224" s="4" t="str">
        <f t="shared" si="160"/>
        <v/>
      </c>
      <c r="AQ224" s="4" t="str">
        <f t="shared" si="161"/>
        <v/>
      </c>
      <c r="AR224" s="4" t="str">
        <f t="shared" si="162"/>
        <v/>
      </c>
    </row>
    <row r="225" spans="8:44" s="1" customFormat="1" ht="14.25" x14ac:dyDescent="0.3">
      <c r="H225" s="50"/>
      <c r="J225" s="54"/>
      <c r="L225" s="54"/>
      <c r="R225" s="45"/>
      <c r="S225" s="54"/>
      <c r="T225" s="54"/>
      <c r="U225" s="54"/>
      <c r="V225" s="44"/>
      <c r="W225" s="27"/>
      <c r="Z225" s="27"/>
      <c r="AA225" s="8"/>
      <c r="AB225" s="81" t="str">
        <f t="shared" si="146"/>
        <v/>
      </c>
      <c r="AC225" s="6" t="str">
        <f t="shared" si="147"/>
        <v/>
      </c>
      <c r="AD225" s="1" t="str">
        <f t="shared" ca="1" si="148"/>
        <v/>
      </c>
      <c r="AE225" s="75" t="str">
        <f t="shared" si="149"/>
        <v/>
      </c>
      <c r="AF225" s="75" t="str">
        <f t="shared" si="150"/>
        <v/>
      </c>
      <c r="AG225" s="4" t="str">
        <f t="shared" si="151"/>
        <v/>
      </c>
      <c r="AH225" s="4" t="str">
        <f t="shared" si="152"/>
        <v/>
      </c>
      <c r="AI225" s="4" t="str">
        <f t="shared" si="153"/>
        <v/>
      </c>
      <c r="AJ225" s="4" t="str">
        <f t="shared" si="154"/>
        <v/>
      </c>
      <c r="AK225" s="4" t="str">
        <f t="shared" si="155"/>
        <v/>
      </c>
      <c r="AL225" s="2" t="str">
        <f t="shared" si="156"/>
        <v/>
      </c>
      <c r="AM225" s="6" t="str">
        <f t="shared" si="157"/>
        <v/>
      </c>
      <c r="AN225" s="4" t="str">
        <f t="shared" si="158"/>
        <v/>
      </c>
      <c r="AO225" s="4" t="str">
        <f t="shared" si="159"/>
        <v/>
      </c>
      <c r="AP225" s="4" t="str">
        <f t="shared" si="160"/>
        <v/>
      </c>
      <c r="AQ225" s="4" t="str">
        <f t="shared" si="161"/>
        <v/>
      </c>
      <c r="AR225" s="4" t="str">
        <f t="shared" si="162"/>
        <v/>
      </c>
    </row>
    <row r="226" spans="8:44" s="1" customFormat="1" ht="14.25" x14ac:dyDescent="0.3">
      <c r="H226" s="50"/>
      <c r="J226" s="54"/>
      <c r="L226" s="54"/>
      <c r="R226" s="45"/>
      <c r="S226" s="54"/>
      <c r="T226" s="54"/>
      <c r="U226" s="54"/>
      <c r="V226" s="44"/>
      <c r="W226" s="27"/>
      <c r="Z226" s="27"/>
      <c r="AA226" s="8"/>
      <c r="AB226" s="81" t="str">
        <f t="shared" si="146"/>
        <v/>
      </c>
      <c r="AC226" s="6" t="str">
        <f t="shared" si="147"/>
        <v/>
      </c>
      <c r="AD226" s="1" t="str">
        <f t="shared" ca="1" si="148"/>
        <v/>
      </c>
      <c r="AE226" s="75" t="str">
        <f t="shared" si="149"/>
        <v/>
      </c>
      <c r="AF226" s="75" t="str">
        <f t="shared" si="150"/>
        <v/>
      </c>
      <c r="AG226" s="4" t="str">
        <f t="shared" si="151"/>
        <v/>
      </c>
      <c r="AH226" s="4" t="str">
        <f t="shared" si="152"/>
        <v/>
      </c>
      <c r="AI226" s="4" t="str">
        <f t="shared" si="153"/>
        <v/>
      </c>
      <c r="AJ226" s="4" t="str">
        <f t="shared" si="154"/>
        <v/>
      </c>
      <c r="AK226" s="4" t="str">
        <f t="shared" si="155"/>
        <v/>
      </c>
      <c r="AL226" s="2" t="str">
        <f t="shared" si="156"/>
        <v/>
      </c>
      <c r="AM226" s="6" t="str">
        <f t="shared" si="157"/>
        <v/>
      </c>
      <c r="AN226" s="4" t="str">
        <f t="shared" si="158"/>
        <v/>
      </c>
      <c r="AO226" s="4" t="str">
        <f t="shared" si="159"/>
        <v/>
      </c>
      <c r="AP226" s="4" t="str">
        <f t="shared" si="160"/>
        <v/>
      </c>
      <c r="AQ226" s="4" t="str">
        <f t="shared" si="161"/>
        <v/>
      </c>
      <c r="AR226" s="4" t="str">
        <f t="shared" si="162"/>
        <v/>
      </c>
    </row>
    <row r="227" spans="8:44" s="1" customFormat="1" ht="14.25" x14ac:dyDescent="0.3">
      <c r="H227" s="50"/>
      <c r="J227" s="54"/>
      <c r="L227" s="54"/>
      <c r="R227" s="45"/>
      <c r="S227" s="54"/>
      <c r="T227" s="54"/>
      <c r="U227" s="54"/>
      <c r="V227" s="44"/>
      <c r="W227" s="27"/>
      <c r="Z227" s="27"/>
      <c r="AA227" s="8"/>
      <c r="AB227" s="81" t="str">
        <f t="shared" si="146"/>
        <v/>
      </c>
      <c r="AC227" s="6" t="str">
        <f t="shared" si="147"/>
        <v/>
      </c>
      <c r="AD227" s="1" t="str">
        <f t="shared" ca="1" si="148"/>
        <v/>
      </c>
      <c r="AE227" s="75" t="str">
        <f t="shared" si="149"/>
        <v/>
      </c>
      <c r="AF227" s="75" t="str">
        <f t="shared" si="150"/>
        <v/>
      </c>
      <c r="AG227" s="4" t="str">
        <f t="shared" si="151"/>
        <v/>
      </c>
      <c r="AH227" s="4" t="str">
        <f t="shared" si="152"/>
        <v/>
      </c>
      <c r="AI227" s="4" t="str">
        <f t="shared" si="153"/>
        <v/>
      </c>
      <c r="AJ227" s="4" t="str">
        <f t="shared" si="154"/>
        <v/>
      </c>
      <c r="AK227" s="4" t="str">
        <f t="shared" si="155"/>
        <v/>
      </c>
      <c r="AL227" s="2" t="str">
        <f t="shared" si="156"/>
        <v/>
      </c>
      <c r="AM227" s="6" t="str">
        <f t="shared" si="157"/>
        <v/>
      </c>
      <c r="AN227" s="4" t="str">
        <f t="shared" si="158"/>
        <v/>
      </c>
      <c r="AO227" s="4" t="str">
        <f t="shared" si="159"/>
        <v/>
      </c>
      <c r="AP227" s="4" t="str">
        <f t="shared" si="160"/>
        <v/>
      </c>
      <c r="AQ227" s="4" t="str">
        <f t="shared" si="161"/>
        <v/>
      </c>
      <c r="AR227" s="4" t="str">
        <f t="shared" si="162"/>
        <v/>
      </c>
    </row>
    <row r="228" spans="8:44" s="1" customFormat="1" ht="14.25" x14ac:dyDescent="0.3">
      <c r="H228" s="50"/>
      <c r="J228" s="54"/>
      <c r="L228" s="54"/>
      <c r="R228" s="45"/>
      <c r="S228" s="54"/>
      <c r="T228" s="54"/>
      <c r="U228" s="54"/>
      <c r="V228" s="44"/>
      <c r="W228" s="27"/>
      <c r="Z228" s="27"/>
      <c r="AA228" s="8"/>
      <c r="AB228" s="81" t="str">
        <f t="shared" si="146"/>
        <v/>
      </c>
      <c r="AC228" s="6" t="str">
        <f t="shared" si="147"/>
        <v/>
      </c>
      <c r="AD228" s="1" t="str">
        <f t="shared" ca="1" si="148"/>
        <v/>
      </c>
      <c r="AE228" s="75" t="str">
        <f t="shared" si="149"/>
        <v/>
      </c>
      <c r="AF228" s="75" t="str">
        <f t="shared" si="150"/>
        <v/>
      </c>
      <c r="AG228" s="4" t="str">
        <f t="shared" si="151"/>
        <v/>
      </c>
      <c r="AH228" s="4" t="str">
        <f t="shared" si="152"/>
        <v/>
      </c>
      <c r="AI228" s="4" t="str">
        <f t="shared" si="153"/>
        <v/>
      </c>
      <c r="AJ228" s="4" t="str">
        <f t="shared" si="154"/>
        <v/>
      </c>
      <c r="AK228" s="4" t="str">
        <f t="shared" si="155"/>
        <v/>
      </c>
      <c r="AL228" s="2" t="str">
        <f t="shared" si="156"/>
        <v/>
      </c>
      <c r="AM228" s="6" t="str">
        <f t="shared" si="157"/>
        <v/>
      </c>
      <c r="AN228" s="4" t="str">
        <f t="shared" si="158"/>
        <v/>
      </c>
      <c r="AO228" s="4" t="str">
        <f t="shared" si="159"/>
        <v/>
      </c>
      <c r="AP228" s="4" t="str">
        <f t="shared" si="160"/>
        <v/>
      </c>
      <c r="AQ228" s="4" t="str">
        <f t="shared" si="161"/>
        <v/>
      </c>
      <c r="AR228" s="4" t="str">
        <f t="shared" si="162"/>
        <v/>
      </c>
    </row>
    <row r="229" spans="8:44" s="1" customFormat="1" ht="14.25" x14ac:dyDescent="0.3">
      <c r="H229" s="50"/>
      <c r="J229" s="54"/>
      <c r="L229" s="54"/>
      <c r="R229" s="45"/>
      <c r="S229" s="54"/>
      <c r="T229" s="54"/>
      <c r="U229" s="54"/>
      <c r="V229" s="44"/>
      <c r="W229" s="27"/>
      <c r="Z229" s="27"/>
      <c r="AA229" s="8"/>
      <c r="AB229" s="81" t="str">
        <f t="shared" si="146"/>
        <v/>
      </c>
      <c r="AC229" s="6" t="str">
        <f t="shared" si="147"/>
        <v/>
      </c>
      <c r="AD229" s="1" t="str">
        <f t="shared" ca="1" si="148"/>
        <v/>
      </c>
      <c r="AE229" s="75" t="str">
        <f t="shared" si="149"/>
        <v/>
      </c>
      <c r="AF229" s="75" t="str">
        <f t="shared" si="150"/>
        <v/>
      </c>
      <c r="AG229" s="4" t="str">
        <f t="shared" si="151"/>
        <v/>
      </c>
      <c r="AH229" s="4" t="str">
        <f t="shared" si="152"/>
        <v/>
      </c>
      <c r="AI229" s="4" t="str">
        <f t="shared" si="153"/>
        <v/>
      </c>
      <c r="AJ229" s="4" t="str">
        <f t="shared" si="154"/>
        <v/>
      </c>
      <c r="AK229" s="4" t="str">
        <f t="shared" si="155"/>
        <v/>
      </c>
      <c r="AL229" s="2" t="str">
        <f t="shared" si="156"/>
        <v/>
      </c>
      <c r="AM229" s="6" t="str">
        <f t="shared" si="157"/>
        <v/>
      </c>
      <c r="AN229" s="4" t="str">
        <f t="shared" si="158"/>
        <v/>
      </c>
      <c r="AO229" s="4" t="str">
        <f t="shared" si="159"/>
        <v/>
      </c>
      <c r="AP229" s="4" t="str">
        <f t="shared" si="160"/>
        <v/>
      </c>
      <c r="AQ229" s="4" t="str">
        <f t="shared" si="161"/>
        <v/>
      </c>
      <c r="AR229" s="4" t="str">
        <f t="shared" si="162"/>
        <v/>
      </c>
    </row>
    <row r="230" spans="8:44" s="1" customFormat="1" ht="14.25" x14ac:dyDescent="0.3">
      <c r="H230" s="50"/>
      <c r="J230" s="54"/>
      <c r="L230" s="54"/>
      <c r="R230" s="45"/>
      <c r="S230" s="54"/>
      <c r="T230" s="54"/>
      <c r="U230" s="54"/>
      <c r="V230" s="44"/>
      <c r="W230" s="27"/>
      <c r="Z230" s="27"/>
      <c r="AA230" s="8"/>
      <c r="AB230" s="81" t="str">
        <f t="shared" si="146"/>
        <v/>
      </c>
      <c r="AC230" s="6" t="str">
        <f t="shared" si="147"/>
        <v/>
      </c>
      <c r="AD230" s="1" t="str">
        <f t="shared" ca="1" si="148"/>
        <v/>
      </c>
      <c r="AE230" s="75" t="str">
        <f t="shared" si="149"/>
        <v/>
      </c>
      <c r="AF230" s="75" t="str">
        <f t="shared" si="150"/>
        <v/>
      </c>
      <c r="AG230" s="4" t="str">
        <f t="shared" si="151"/>
        <v/>
      </c>
      <c r="AH230" s="4" t="str">
        <f t="shared" si="152"/>
        <v/>
      </c>
      <c r="AI230" s="4" t="str">
        <f t="shared" si="153"/>
        <v/>
      </c>
      <c r="AJ230" s="4" t="str">
        <f t="shared" si="154"/>
        <v/>
      </c>
      <c r="AK230" s="4" t="str">
        <f t="shared" si="155"/>
        <v/>
      </c>
      <c r="AL230" s="2" t="str">
        <f t="shared" si="156"/>
        <v/>
      </c>
      <c r="AM230" s="6" t="str">
        <f t="shared" si="157"/>
        <v/>
      </c>
      <c r="AN230" s="4" t="str">
        <f t="shared" si="158"/>
        <v/>
      </c>
      <c r="AO230" s="4" t="str">
        <f t="shared" si="159"/>
        <v/>
      </c>
      <c r="AP230" s="4" t="str">
        <f t="shared" si="160"/>
        <v/>
      </c>
      <c r="AQ230" s="4" t="str">
        <f t="shared" si="161"/>
        <v/>
      </c>
      <c r="AR230" s="4" t="str">
        <f t="shared" si="162"/>
        <v/>
      </c>
    </row>
    <row r="231" spans="8:44" s="1" customFormat="1" ht="14.25" x14ac:dyDescent="0.3">
      <c r="H231" s="50"/>
      <c r="J231" s="54"/>
      <c r="L231" s="54"/>
      <c r="R231" s="45"/>
      <c r="S231" s="54"/>
      <c r="T231" s="54"/>
      <c r="U231" s="54"/>
      <c r="V231" s="44"/>
      <c r="W231" s="27"/>
      <c r="Z231" s="27"/>
      <c r="AA231" s="8"/>
      <c r="AB231" s="81" t="str">
        <f t="shared" si="146"/>
        <v/>
      </c>
      <c r="AC231" s="6" t="str">
        <f t="shared" si="147"/>
        <v/>
      </c>
      <c r="AD231" s="1" t="str">
        <f t="shared" ca="1" si="148"/>
        <v/>
      </c>
      <c r="AE231" s="75" t="str">
        <f t="shared" si="149"/>
        <v/>
      </c>
      <c r="AF231" s="75" t="str">
        <f t="shared" si="150"/>
        <v/>
      </c>
      <c r="AG231" s="4" t="str">
        <f t="shared" si="151"/>
        <v/>
      </c>
      <c r="AH231" s="4" t="str">
        <f t="shared" si="152"/>
        <v/>
      </c>
      <c r="AI231" s="4" t="str">
        <f t="shared" si="153"/>
        <v/>
      </c>
      <c r="AJ231" s="4" t="str">
        <f t="shared" si="154"/>
        <v/>
      </c>
      <c r="AK231" s="4" t="str">
        <f t="shared" si="155"/>
        <v/>
      </c>
      <c r="AL231" s="2" t="str">
        <f t="shared" si="156"/>
        <v/>
      </c>
      <c r="AM231" s="6" t="str">
        <f t="shared" si="157"/>
        <v/>
      </c>
      <c r="AN231" s="4" t="str">
        <f t="shared" si="158"/>
        <v/>
      </c>
      <c r="AO231" s="4" t="str">
        <f t="shared" si="159"/>
        <v/>
      </c>
      <c r="AP231" s="4" t="str">
        <f t="shared" si="160"/>
        <v/>
      </c>
      <c r="AQ231" s="4" t="str">
        <f t="shared" si="161"/>
        <v/>
      </c>
      <c r="AR231" s="4" t="str">
        <f t="shared" si="162"/>
        <v/>
      </c>
    </row>
    <row r="232" spans="8:44" s="1" customFormat="1" ht="14.25" x14ac:dyDescent="0.3">
      <c r="H232" s="50"/>
      <c r="J232" s="54"/>
      <c r="L232" s="54"/>
      <c r="R232" s="45"/>
      <c r="S232" s="54"/>
      <c r="T232" s="54"/>
      <c r="U232" s="54"/>
      <c r="V232" s="44"/>
      <c r="W232" s="27"/>
      <c r="Z232" s="27"/>
      <c r="AA232" s="8"/>
      <c r="AB232" s="81" t="str">
        <f t="shared" si="146"/>
        <v/>
      </c>
      <c r="AC232" s="6" t="str">
        <f t="shared" si="147"/>
        <v/>
      </c>
      <c r="AD232" s="1" t="str">
        <f t="shared" ca="1" si="148"/>
        <v/>
      </c>
      <c r="AE232" s="75" t="str">
        <f t="shared" si="149"/>
        <v/>
      </c>
      <c r="AF232" s="75" t="str">
        <f t="shared" si="150"/>
        <v/>
      </c>
      <c r="AG232" s="4" t="str">
        <f t="shared" si="151"/>
        <v/>
      </c>
      <c r="AH232" s="4" t="str">
        <f t="shared" si="152"/>
        <v/>
      </c>
      <c r="AI232" s="4" t="str">
        <f t="shared" si="153"/>
        <v/>
      </c>
      <c r="AJ232" s="4" t="str">
        <f t="shared" si="154"/>
        <v/>
      </c>
      <c r="AK232" s="4" t="str">
        <f t="shared" si="155"/>
        <v/>
      </c>
      <c r="AL232" s="2" t="str">
        <f t="shared" si="156"/>
        <v/>
      </c>
      <c r="AM232" s="6" t="str">
        <f t="shared" si="157"/>
        <v/>
      </c>
      <c r="AN232" s="4" t="str">
        <f t="shared" si="158"/>
        <v/>
      </c>
      <c r="AO232" s="4" t="str">
        <f t="shared" si="159"/>
        <v/>
      </c>
      <c r="AP232" s="4" t="str">
        <f t="shared" si="160"/>
        <v/>
      </c>
      <c r="AQ232" s="4" t="str">
        <f t="shared" si="161"/>
        <v/>
      </c>
      <c r="AR232" s="4" t="str">
        <f t="shared" si="162"/>
        <v/>
      </c>
    </row>
    <row r="233" spans="8:44" s="1" customFormat="1" ht="14.25" x14ac:dyDescent="0.3">
      <c r="H233" s="50"/>
      <c r="J233" s="54"/>
      <c r="L233" s="54"/>
      <c r="R233" s="45"/>
      <c r="S233" s="54"/>
      <c r="T233" s="54"/>
      <c r="U233" s="54"/>
      <c r="V233" s="44"/>
      <c r="W233" s="27"/>
      <c r="Z233" s="27"/>
      <c r="AA233" s="8"/>
      <c r="AB233" s="81" t="str">
        <f t="shared" si="146"/>
        <v/>
      </c>
      <c r="AC233" s="6" t="str">
        <f t="shared" si="147"/>
        <v/>
      </c>
      <c r="AD233" s="1" t="str">
        <f t="shared" ca="1" si="148"/>
        <v/>
      </c>
      <c r="AE233" s="75" t="str">
        <f t="shared" si="149"/>
        <v/>
      </c>
      <c r="AF233" s="75" t="str">
        <f t="shared" si="150"/>
        <v/>
      </c>
      <c r="AG233" s="4" t="str">
        <f t="shared" si="151"/>
        <v/>
      </c>
      <c r="AH233" s="4" t="str">
        <f t="shared" si="152"/>
        <v/>
      </c>
      <c r="AI233" s="4" t="str">
        <f t="shared" si="153"/>
        <v/>
      </c>
      <c r="AJ233" s="4" t="str">
        <f t="shared" si="154"/>
        <v/>
      </c>
      <c r="AK233" s="4" t="str">
        <f t="shared" si="155"/>
        <v/>
      </c>
      <c r="AL233" s="2" t="str">
        <f t="shared" si="156"/>
        <v/>
      </c>
      <c r="AM233" s="6" t="str">
        <f t="shared" si="157"/>
        <v/>
      </c>
      <c r="AN233" s="4" t="str">
        <f t="shared" si="158"/>
        <v/>
      </c>
      <c r="AO233" s="4" t="str">
        <f t="shared" si="159"/>
        <v/>
      </c>
      <c r="AP233" s="4" t="str">
        <f t="shared" si="160"/>
        <v/>
      </c>
      <c r="AQ233" s="4" t="str">
        <f t="shared" si="161"/>
        <v/>
      </c>
      <c r="AR233" s="4" t="str">
        <f t="shared" si="162"/>
        <v/>
      </c>
    </row>
    <row r="234" spans="8:44" s="1" customFormat="1" ht="14.25" x14ac:dyDescent="0.3">
      <c r="H234" s="50"/>
      <c r="J234" s="54"/>
      <c r="L234" s="54"/>
      <c r="R234" s="45"/>
      <c r="S234" s="54"/>
      <c r="T234" s="54"/>
      <c r="U234" s="54"/>
      <c r="V234" s="44"/>
      <c r="W234" s="27"/>
      <c r="Z234" s="27"/>
      <c r="AA234" s="8"/>
      <c r="AB234" s="81" t="str">
        <f t="shared" si="146"/>
        <v/>
      </c>
      <c r="AC234" s="6" t="str">
        <f t="shared" si="147"/>
        <v/>
      </c>
      <c r="AD234" s="1" t="str">
        <f t="shared" ca="1" si="148"/>
        <v/>
      </c>
      <c r="AE234" s="75" t="str">
        <f t="shared" si="149"/>
        <v/>
      </c>
      <c r="AF234" s="75" t="str">
        <f t="shared" si="150"/>
        <v/>
      </c>
      <c r="AG234" s="4" t="str">
        <f t="shared" si="151"/>
        <v/>
      </c>
      <c r="AH234" s="4" t="str">
        <f t="shared" si="152"/>
        <v/>
      </c>
      <c r="AI234" s="4" t="str">
        <f t="shared" si="153"/>
        <v/>
      </c>
      <c r="AJ234" s="4" t="str">
        <f t="shared" si="154"/>
        <v/>
      </c>
      <c r="AK234" s="4" t="str">
        <f t="shared" si="155"/>
        <v/>
      </c>
      <c r="AL234" s="2" t="str">
        <f t="shared" si="156"/>
        <v/>
      </c>
      <c r="AM234" s="6" t="str">
        <f t="shared" si="157"/>
        <v/>
      </c>
      <c r="AN234" s="4" t="str">
        <f t="shared" si="158"/>
        <v/>
      </c>
      <c r="AO234" s="4" t="str">
        <f t="shared" si="159"/>
        <v/>
      </c>
      <c r="AP234" s="4" t="str">
        <f t="shared" si="160"/>
        <v/>
      </c>
      <c r="AQ234" s="4" t="str">
        <f t="shared" si="161"/>
        <v/>
      </c>
      <c r="AR234" s="4" t="str">
        <f t="shared" si="162"/>
        <v/>
      </c>
    </row>
    <row r="235" spans="8:44" s="1" customFormat="1" ht="14.25" x14ac:dyDescent="0.3">
      <c r="H235" s="50"/>
      <c r="J235" s="54"/>
      <c r="L235" s="54"/>
      <c r="R235" s="45"/>
      <c r="S235" s="54"/>
      <c r="T235" s="54"/>
      <c r="U235" s="54"/>
      <c r="V235" s="44"/>
      <c r="W235" s="27"/>
      <c r="Z235" s="27"/>
      <c r="AA235" s="8"/>
      <c r="AB235" s="81" t="str">
        <f t="shared" si="146"/>
        <v/>
      </c>
      <c r="AC235" s="6" t="str">
        <f t="shared" si="147"/>
        <v/>
      </c>
      <c r="AD235" s="1" t="str">
        <f t="shared" ca="1" si="148"/>
        <v/>
      </c>
      <c r="AE235" s="75" t="str">
        <f t="shared" si="149"/>
        <v/>
      </c>
      <c r="AF235" s="75" t="str">
        <f t="shared" si="150"/>
        <v/>
      </c>
      <c r="AG235" s="4" t="str">
        <f t="shared" si="151"/>
        <v/>
      </c>
      <c r="AH235" s="4" t="str">
        <f t="shared" si="152"/>
        <v/>
      </c>
      <c r="AI235" s="4" t="str">
        <f t="shared" si="153"/>
        <v/>
      </c>
      <c r="AJ235" s="4" t="str">
        <f t="shared" si="154"/>
        <v/>
      </c>
      <c r="AK235" s="4" t="str">
        <f t="shared" si="155"/>
        <v/>
      </c>
      <c r="AL235" s="2" t="str">
        <f t="shared" si="156"/>
        <v/>
      </c>
      <c r="AM235" s="6" t="str">
        <f t="shared" si="157"/>
        <v/>
      </c>
      <c r="AN235" s="4" t="str">
        <f t="shared" si="158"/>
        <v/>
      </c>
      <c r="AO235" s="4" t="str">
        <f t="shared" si="159"/>
        <v/>
      </c>
      <c r="AP235" s="4" t="str">
        <f t="shared" si="160"/>
        <v/>
      </c>
      <c r="AQ235" s="4" t="str">
        <f t="shared" si="161"/>
        <v/>
      </c>
      <c r="AR235" s="4" t="str">
        <f t="shared" si="162"/>
        <v/>
      </c>
    </row>
    <row r="236" spans="8:44" s="1" customFormat="1" ht="14.25" x14ac:dyDescent="0.3">
      <c r="H236" s="50"/>
      <c r="J236" s="54"/>
      <c r="L236" s="54"/>
      <c r="R236" s="45"/>
      <c r="S236" s="54"/>
      <c r="T236" s="54"/>
      <c r="U236" s="54"/>
      <c r="V236" s="44"/>
      <c r="W236" s="27"/>
      <c r="Z236" s="27"/>
      <c r="AA236" s="8"/>
      <c r="AB236" s="81" t="str">
        <f t="shared" si="146"/>
        <v/>
      </c>
      <c r="AC236" s="6" t="str">
        <f t="shared" si="147"/>
        <v/>
      </c>
      <c r="AD236" s="1" t="str">
        <f t="shared" ca="1" si="148"/>
        <v/>
      </c>
      <c r="AE236" s="75" t="str">
        <f t="shared" si="149"/>
        <v/>
      </c>
      <c r="AF236" s="75" t="str">
        <f t="shared" si="150"/>
        <v/>
      </c>
      <c r="AG236" s="4" t="str">
        <f t="shared" si="151"/>
        <v/>
      </c>
      <c r="AH236" s="4" t="str">
        <f t="shared" si="152"/>
        <v/>
      </c>
      <c r="AI236" s="4" t="str">
        <f t="shared" si="153"/>
        <v/>
      </c>
      <c r="AJ236" s="4" t="str">
        <f t="shared" si="154"/>
        <v/>
      </c>
      <c r="AK236" s="4" t="str">
        <f t="shared" si="155"/>
        <v/>
      </c>
      <c r="AL236" s="2" t="str">
        <f t="shared" si="156"/>
        <v/>
      </c>
      <c r="AM236" s="6" t="str">
        <f t="shared" si="157"/>
        <v/>
      </c>
      <c r="AN236" s="4" t="str">
        <f t="shared" si="158"/>
        <v/>
      </c>
      <c r="AO236" s="4" t="str">
        <f t="shared" si="159"/>
        <v/>
      </c>
      <c r="AP236" s="4" t="str">
        <f t="shared" si="160"/>
        <v/>
      </c>
      <c r="AQ236" s="4" t="str">
        <f t="shared" si="161"/>
        <v/>
      </c>
      <c r="AR236" s="4" t="str">
        <f t="shared" si="162"/>
        <v/>
      </c>
    </row>
    <row r="237" spans="8:44" s="1" customFormat="1" ht="14.25" x14ac:dyDescent="0.3">
      <c r="H237" s="50"/>
      <c r="J237" s="54"/>
      <c r="L237" s="54"/>
      <c r="R237" s="45"/>
      <c r="S237" s="54"/>
      <c r="T237" s="54"/>
      <c r="U237" s="54"/>
      <c r="V237" s="44"/>
      <c r="W237" s="27"/>
      <c r="Z237" s="27"/>
      <c r="AA237" s="8"/>
      <c r="AB237" s="81" t="str">
        <f t="shared" si="146"/>
        <v/>
      </c>
      <c r="AC237" s="6" t="str">
        <f t="shared" si="147"/>
        <v/>
      </c>
      <c r="AD237" s="1" t="str">
        <f t="shared" ca="1" si="148"/>
        <v/>
      </c>
      <c r="AE237" s="75" t="str">
        <f t="shared" si="149"/>
        <v/>
      </c>
      <c r="AF237" s="75" t="str">
        <f t="shared" si="150"/>
        <v/>
      </c>
      <c r="AG237" s="4" t="str">
        <f t="shared" si="151"/>
        <v/>
      </c>
      <c r="AH237" s="4" t="str">
        <f t="shared" si="152"/>
        <v/>
      </c>
      <c r="AI237" s="4" t="str">
        <f t="shared" si="153"/>
        <v/>
      </c>
      <c r="AJ237" s="4" t="str">
        <f t="shared" si="154"/>
        <v/>
      </c>
      <c r="AK237" s="4" t="str">
        <f t="shared" si="155"/>
        <v/>
      </c>
      <c r="AL237" s="2" t="str">
        <f t="shared" si="156"/>
        <v/>
      </c>
      <c r="AM237" s="6" t="str">
        <f t="shared" si="157"/>
        <v/>
      </c>
      <c r="AN237" s="4" t="str">
        <f t="shared" si="158"/>
        <v/>
      </c>
      <c r="AO237" s="4" t="str">
        <f t="shared" si="159"/>
        <v/>
      </c>
      <c r="AP237" s="4" t="str">
        <f t="shared" si="160"/>
        <v/>
      </c>
      <c r="AQ237" s="4" t="str">
        <f t="shared" si="161"/>
        <v/>
      </c>
      <c r="AR237" s="4" t="str">
        <f t="shared" si="162"/>
        <v/>
      </c>
    </row>
    <row r="238" spans="8:44" s="1" customFormat="1" ht="14.25" x14ac:dyDescent="0.3">
      <c r="H238" s="50"/>
      <c r="J238" s="54"/>
      <c r="L238" s="54"/>
      <c r="R238" s="45"/>
      <c r="S238" s="54"/>
      <c r="T238" s="54"/>
      <c r="U238" s="54"/>
      <c r="V238" s="44"/>
      <c r="W238" s="27"/>
      <c r="Z238" s="27"/>
      <c r="AA238" s="8"/>
      <c r="AB238" s="81" t="str">
        <f t="shared" si="146"/>
        <v/>
      </c>
      <c r="AC238" s="6" t="str">
        <f t="shared" si="147"/>
        <v/>
      </c>
      <c r="AD238" s="1" t="str">
        <f t="shared" ca="1" si="148"/>
        <v/>
      </c>
      <c r="AE238" s="75" t="str">
        <f t="shared" si="149"/>
        <v/>
      </c>
      <c r="AF238" s="75" t="str">
        <f t="shared" si="150"/>
        <v/>
      </c>
      <c r="AG238" s="4" t="str">
        <f t="shared" si="151"/>
        <v/>
      </c>
      <c r="AH238" s="4" t="str">
        <f t="shared" si="152"/>
        <v/>
      </c>
      <c r="AI238" s="4" t="str">
        <f t="shared" si="153"/>
        <v/>
      </c>
      <c r="AJ238" s="4" t="str">
        <f t="shared" si="154"/>
        <v/>
      </c>
      <c r="AK238" s="4" t="str">
        <f t="shared" si="155"/>
        <v/>
      </c>
      <c r="AL238" s="2" t="str">
        <f t="shared" si="156"/>
        <v/>
      </c>
      <c r="AM238" s="6" t="str">
        <f t="shared" si="157"/>
        <v/>
      </c>
      <c r="AN238" s="4" t="str">
        <f t="shared" si="158"/>
        <v/>
      </c>
      <c r="AO238" s="4" t="str">
        <f t="shared" si="159"/>
        <v/>
      </c>
      <c r="AP238" s="4" t="str">
        <f t="shared" si="160"/>
        <v/>
      </c>
      <c r="AQ238" s="4" t="str">
        <f t="shared" si="161"/>
        <v/>
      </c>
      <c r="AR238" s="4" t="str">
        <f t="shared" si="162"/>
        <v/>
      </c>
    </row>
    <row r="239" spans="8:44" s="1" customFormat="1" ht="14.25" x14ac:dyDescent="0.3">
      <c r="H239" s="50"/>
      <c r="J239" s="54"/>
      <c r="L239" s="54"/>
      <c r="R239" s="45"/>
      <c r="S239" s="54"/>
      <c r="T239" s="54"/>
      <c r="U239" s="54"/>
      <c r="V239" s="44"/>
      <c r="W239" s="27"/>
      <c r="Z239" s="27"/>
      <c r="AA239" s="8"/>
      <c r="AB239" s="81" t="str">
        <f t="shared" si="146"/>
        <v/>
      </c>
      <c r="AC239" s="6" t="str">
        <f t="shared" si="147"/>
        <v/>
      </c>
      <c r="AD239" s="1" t="str">
        <f t="shared" ca="1" si="148"/>
        <v/>
      </c>
      <c r="AE239" s="75" t="str">
        <f t="shared" si="149"/>
        <v/>
      </c>
      <c r="AF239" s="75" t="str">
        <f t="shared" si="150"/>
        <v/>
      </c>
      <c r="AG239" s="4" t="str">
        <f t="shared" si="151"/>
        <v/>
      </c>
      <c r="AH239" s="4" t="str">
        <f t="shared" si="152"/>
        <v/>
      </c>
      <c r="AI239" s="4" t="str">
        <f t="shared" si="153"/>
        <v/>
      </c>
      <c r="AJ239" s="4" t="str">
        <f t="shared" si="154"/>
        <v/>
      </c>
      <c r="AK239" s="4" t="str">
        <f t="shared" si="155"/>
        <v/>
      </c>
      <c r="AL239" s="2" t="str">
        <f t="shared" si="156"/>
        <v/>
      </c>
      <c r="AM239" s="6" t="str">
        <f t="shared" si="157"/>
        <v/>
      </c>
      <c r="AN239" s="4" t="str">
        <f t="shared" si="158"/>
        <v/>
      </c>
      <c r="AO239" s="4" t="str">
        <f t="shared" si="159"/>
        <v/>
      </c>
      <c r="AP239" s="4" t="str">
        <f t="shared" si="160"/>
        <v/>
      </c>
      <c r="AQ239" s="4" t="str">
        <f t="shared" si="161"/>
        <v/>
      </c>
      <c r="AR239" s="4" t="str">
        <f t="shared" si="162"/>
        <v/>
      </c>
    </row>
    <row r="240" spans="8:44" s="1" customFormat="1" ht="14.25" x14ac:dyDescent="0.3">
      <c r="H240" s="50"/>
      <c r="J240" s="54"/>
      <c r="L240" s="54"/>
      <c r="R240" s="45"/>
      <c r="S240" s="54"/>
      <c r="T240" s="54"/>
      <c r="U240" s="54"/>
      <c r="V240" s="44"/>
      <c r="W240" s="27"/>
      <c r="Z240" s="27"/>
      <c r="AA240" s="8"/>
      <c r="AB240" s="81" t="str">
        <f t="shared" si="146"/>
        <v/>
      </c>
      <c r="AC240" s="6" t="str">
        <f t="shared" si="147"/>
        <v/>
      </c>
      <c r="AD240" s="1" t="str">
        <f t="shared" ca="1" si="148"/>
        <v/>
      </c>
      <c r="AE240" s="75" t="str">
        <f t="shared" si="149"/>
        <v/>
      </c>
      <c r="AF240" s="75" t="str">
        <f t="shared" si="150"/>
        <v/>
      </c>
      <c r="AG240" s="4" t="str">
        <f t="shared" si="151"/>
        <v/>
      </c>
      <c r="AH240" s="4" t="str">
        <f t="shared" si="152"/>
        <v/>
      </c>
      <c r="AI240" s="4" t="str">
        <f t="shared" si="153"/>
        <v/>
      </c>
      <c r="AJ240" s="4" t="str">
        <f t="shared" si="154"/>
        <v/>
      </c>
      <c r="AK240" s="4" t="str">
        <f t="shared" si="155"/>
        <v/>
      </c>
      <c r="AL240" s="2" t="str">
        <f t="shared" si="156"/>
        <v/>
      </c>
      <c r="AM240" s="6" t="str">
        <f t="shared" si="157"/>
        <v/>
      </c>
      <c r="AN240" s="4" t="str">
        <f t="shared" si="158"/>
        <v/>
      </c>
      <c r="AO240" s="4" t="str">
        <f t="shared" si="159"/>
        <v/>
      </c>
      <c r="AP240" s="4" t="str">
        <f t="shared" si="160"/>
        <v/>
      </c>
      <c r="AQ240" s="4" t="str">
        <f t="shared" si="161"/>
        <v/>
      </c>
      <c r="AR240" s="4" t="str">
        <f t="shared" si="162"/>
        <v/>
      </c>
    </row>
    <row r="241" spans="8:44" s="1" customFormat="1" ht="14.25" x14ac:dyDescent="0.3">
      <c r="H241" s="50"/>
      <c r="J241" s="54"/>
      <c r="L241" s="54"/>
      <c r="R241" s="45"/>
      <c r="S241" s="54"/>
      <c r="T241" s="54"/>
      <c r="U241" s="54"/>
      <c r="V241" s="44"/>
      <c r="W241" s="27"/>
      <c r="Z241" s="27"/>
      <c r="AA241" s="8"/>
      <c r="AB241" s="81" t="str">
        <f t="shared" si="146"/>
        <v/>
      </c>
      <c r="AC241" s="6" t="str">
        <f t="shared" si="147"/>
        <v/>
      </c>
      <c r="AD241" s="1" t="str">
        <f t="shared" ca="1" si="148"/>
        <v/>
      </c>
      <c r="AE241" s="75" t="str">
        <f t="shared" si="149"/>
        <v/>
      </c>
      <c r="AF241" s="75" t="str">
        <f t="shared" si="150"/>
        <v/>
      </c>
      <c r="AG241" s="4" t="str">
        <f t="shared" si="151"/>
        <v/>
      </c>
      <c r="AH241" s="4" t="str">
        <f t="shared" si="152"/>
        <v/>
      </c>
      <c r="AI241" s="4" t="str">
        <f t="shared" si="153"/>
        <v/>
      </c>
      <c r="AJ241" s="4" t="str">
        <f t="shared" si="154"/>
        <v/>
      </c>
      <c r="AK241" s="4" t="str">
        <f t="shared" si="155"/>
        <v/>
      </c>
      <c r="AL241" s="2" t="str">
        <f t="shared" si="156"/>
        <v/>
      </c>
      <c r="AM241" s="6" t="str">
        <f t="shared" si="157"/>
        <v/>
      </c>
      <c r="AN241" s="4" t="str">
        <f t="shared" si="158"/>
        <v/>
      </c>
      <c r="AO241" s="4" t="str">
        <f t="shared" si="159"/>
        <v/>
      </c>
      <c r="AP241" s="4" t="str">
        <f t="shared" si="160"/>
        <v/>
      </c>
      <c r="AQ241" s="4" t="str">
        <f t="shared" si="161"/>
        <v/>
      </c>
      <c r="AR241" s="4" t="str">
        <f t="shared" si="162"/>
        <v/>
      </c>
    </row>
    <row r="242" spans="8:44" s="1" customFormat="1" ht="14.25" x14ac:dyDescent="0.3">
      <c r="H242" s="50"/>
      <c r="J242" s="54"/>
      <c r="L242" s="54"/>
      <c r="R242" s="45"/>
      <c r="S242" s="54"/>
      <c r="T242" s="54"/>
      <c r="U242" s="54"/>
      <c r="V242" s="44"/>
      <c r="W242" s="27"/>
      <c r="Z242" s="27"/>
      <c r="AA242" s="8"/>
      <c r="AB242" s="81" t="str">
        <f t="shared" si="146"/>
        <v/>
      </c>
      <c r="AC242" s="6" t="str">
        <f t="shared" si="147"/>
        <v/>
      </c>
      <c r="AD242" s="1" t="str">
        <f t="shared" ca="1" si="148"/>
        <v/>
      </c>
      <c r="AE242" s="75" t="str">
        <f t="shared" si="149"/>
        <v/>
      </c>
      <c r="AF242" s="75" t="str">
        <f t="shared" si="150"/>
        <v/>
      </c>
      <c r="AG242" s="4" t="str">
        <f t="shared" si="151"/>
        <v/>
      </c>
      <c r="AH242" s="4" t="str">
        <f t="shared" si="152"/>
        <v/>
      </c>
      <c r="AI242" s="4" t="str">
        <f t="shared" si="153"/>
        <v/>
      </c>
      <c r="AJ242" s="4" t="str">
        <f t="shared" si="154"/>
        <v/>
      </c>
      <c r="AK242" s="4" t="str">
        <f t="shared" si="155"/>
        <v/>
      </c>
      <c r="AL242" s="2" t="str">
        <f t="shared" si="156"/>
        <v/>
      </c>
      <c r="AM242" s="6" t="str">
        <f t="shared" si="157"/>
        <v/>
      </c>
      <c r="AN242" s="4" t="str">
        <f t="shared" si="158"/>
        <v/>
      </c>
      <c r="AO242" s="4" t="str">
        <f t="shared" si="159"/>
        <v/>
      </c>
      <c r="AP242" s="4" t="str">
        <f t="shared" si="160"/>
        <v/>
      </c>
      <c r="AQ242" s="4" t="str">
        <f t="shared" si="161"/>
        <v/>
      </c>
      <c r="AR242" s="4" t="str">
        <f t="shared" si="162"/>
        <v/>
      </c>
    </row>
    <row r="243" spans="8:44" s="1" customFormat="1" ht="14.25" x14ac:dyDescent="0.3">
      <c r="H243" s="50"/>
      <c r="J243" s="54"/>
      <c r="L243" s="54"/>
      <c r="R243" s="45"/>
      <c r="S243" s="54"/>
      <c r="T243" s="54"/>
      <c r="U243" s="54"/>
      <c r="V243" s="44"/>
      <c r="W243" s="27"/>
      <c r="Z243" s="27"/>
      <c r="AA243" s="8"/>
      <c r="AB243" s="81" t="str">
        <f t="shared" si="146"/>
        <v/>
      </c>
      <c r="AC243" s="6" t="str">
        <f t="shared" si="147"/>
        <v/>
      </c>
      <c r="AD243" s="1" t="str">
        <f t="shared" ca="1" si="148"/>
        <v/>
      </c>
      <c r="AE243" s="75" t="str">
        <f t="shared" si="149"/>
        <v/>
      </c>
      <c r="AF243" s="75" t="str">
        <f t="shared" si="150"/>
        <v/>
      </c>
      <c r="AG243" s="4" t="str">
        <f t="shared" si="151"/>
        <v/>
      </c>
      <c r="AH243" s="4" t="str">
        <f t="shared" si="152"/>
        <v/>
      </c>
      <c r="AI243" s="4" t="str">
        <f t="shared" si="153"/>
        <v/>
      </c>
      <c r="AJ243" s="4" t="str">
        <f t="shared" si="154"/>
        <v/>
      </c>
      <c r="AK243" s="4" t="str">
        <f t="shared" si="155"/>
        <v/>
      </c>
      <c r="AL243" s="2" t="str">
        <f t="shared" si="156"/>
        <v/>
      </c>
      <c r="AM243" s="6" t="str">
        <f t="shared" si="157"/>
        <v/>
      </c>
      <c r="AN243" s="4" t="str">
        <f t="shared" si="158"/>
        <v/>
      </c>
      <c r="AO243" s="4" t="str">
        <f t="shared" si="159"/>
        <v/>
      </c>
      <c r="AP243" s="4" t="str">
        <f t="shared" si="160"/>
        <v/>
      </c>
      <c r="AQ243" s="4" t="str">
        <f t="shared" si="161"/>
        <v/>
      </c>
      <c r="AR243" s="4" t="str">
        <f t="shared" si="162"/>
        <v/>
      </c>
    </row>
    <row r="244" spans="8:44" s="1" customFormat="1" ht="14.25" x14ac:dyDescent="0.3">
      <c r="H244" s="50"/>
      <c r="J244" s="54"/>
      <c r="L244" s="54"/>
      <c r="R244" s="45"/>
      <c r="S244" s="54"/>
      <c r="T244" s="54"/>
      <c r="U244" s="54"/>
      <c r="V244" s="44"/>
      <c r="W244" s="27"/>
      <c r="Z244" s="27"/>
      <c r="AA244" s="8"/>
      <c r="AB244" s="81" t="str">
        <f t="shared" si="146"/>
        <v/>
      </c>
      <c r="AC244" s="6" t="str">
        <f t="shared" si="147"/>
        <v/>
      </c>
      <c r="AD244" s="1" t="str">
        <f t="shared" ca="1" si="148"/>
        <v/>
      </c>
      <c r="AE244" s="75" t="str">
        <f t="shared" si="149"/>
        <v/>
      </c>
      <c r="AF244" s="75" t="str">
        <f t="shared" si="150"/>
        <v/>
      </c>
      <c r="AG244" s="4" t="str">
        <f t="shared" si="151"/>
        <v/>
      </c>
      <c r="AH244" s="4" t="str">
        <f t="shared" si="152"/>
        <v/>
      </c>
      <c r="AI244" s="4" t="str">
        <f t="shared" si="153"/>
        <v/>
      </c>
      <c r="AJ244" s="4" t="str">
        <f t="shared" si="154"/>
        <v/>
      </c>
      <c r="AK244" s="4" t="str">
        <f t="shared" si="155"/>
        <v/>
      </c>
      <c r="AL244" s="2" t="str">
        <f t="shared" si="156"/>
        <v/>
      </c>
      <c r="AM244" s="6" t="str">
        <f t="shared" si="157"/>
        <v/>
      </c>
      <c r="AN244" s="4" t="str">
        <f t="shared" si="158"/>
        <v/>
      </c>
      <c r="AO244" s="4" t="str">
        <f t="shared" si="159"/>
        <v/>
      </c>
      <c r="AP244" s="4" t="str">
        <f t="shared" si="160"/>
        <v/>
      </c>
      <c r="AQ244" s="4" t="str">
        <f t="shared" si="161"/>
        <v/>
      </c>
      <c r="AR244" s="4" t="str">
        <f t="shared" si="162"/>
        <v/>
      </c>
    </row>
    <row r="245" spans="8:44" s="1" customFormat="1" ht="14.25" x14ac:dyDescent="0.3">
      <c r="H245" s="50"/>
      <c r="J245" s="54"/>
      <c r="L245" s="54"/>
      <c r="R245" s="45"/>
      <c r="S245" s="54"/>
      <c r="T245" s="54"/>
      <c r="U245" s="54"/>
      <c r="V245" s="44"/>
      <c r="W245" s="27"/>
      <c r="Z245" s="27"/>
      <c r="AA245" s="8"/>
      <c r="AB245" s="81" t="str">
        <f t="shared" si="146"/>
        <v/>
      </c>
      <c r="AC245" s="6" t="str">
        <f t="shared" si="147"/>
        <v/>
      </c>
      <c r="AD245" s="1" t="str">
        <f t="shared" ca="1" si="148"/>
        <v/>
      </c>
      <c r="AE245" s="75" t="str">
        <f t="shared" si="149"/>
        <v/>
      </c>
      <c r="AF245" s="75" t="str">
        <f t="shared" si="150"/>
        <v/>
      </c>
      <c r="AG245" s="4" t="str">
        <f t="shared" si="151"/>
        <v/>
      </c>
      <c r="AH245" s="4" t="str">
        <f t="shared" si="152"/>
        <v/>
      </c>
      <c r="AI245" s="4" t="str">
        <f t="shared" si="153"/>
        <v/>
      </c>
      <c r="AJ245" s="4" t="str">
        <f t="shared" si="154"/>
        <v/>
      </c>
      <c r="AK245" s="4" t="str">
        <f t="shared" si="155"/>
        <v/>
      </c>
      <c r="AL245" s="2" t="str">
        <f t="shared" si="156"/>
        <v/>
      </c>
      <c r="AM245" s="6" t="str">
        <f t="shared" si="157"/>
        <v/>
      </c>
      <c r="AN245" s="4" t="str">
        <f t="shared" si="158"/>
        <v/>
      </c>
      <c r="AO245" s="4" t="str">
        <f t="shared" si="159"/>
        <v/>
      </c>
      <c r="AP245" s="4" t="str">
        <f t="shared" si="160"/>
        <v/>
      </c>
      <c r="AQ245" s="4" t="str">
        <f t="shared" si="161"/>
        <v/>
      </c>
      <c r="AR245" s="4" t="str">
        <f t="shared" si="162"/>
        <v/>
      </c>
    </row>
    <row r="246" spans="8:44" s="1" customFormat="1" ht="14.25" x14ac:dyDescent="0.3">
      <c r="H246" s="50"/>
      <c r="J246" s="54"/>
      <c r="L246" s="54"/>
      <c r="R246" s="45"/>
      <c r="S246" s="54"/>
      <c r="T246" s="54"/>
      <c r="U246" s="54"/>
      <c r="V246" s="44"/>
      <c r="W246" s="27"/>
      <c r="Z246" s="27"/>
      <c r="AA246" s="8"/>
      <c r="AB246" s="81" t="str">
        <f t="shared" si="146"/>
        <v/>
      </c>
      <c r="AC246" s="6" t="str">
        <f t="shared" si="147"/>
        <v/>
      </c>
      <c r="AD246" s="1" t="str">
        <f t="shared" ca="1" si="148"/>
        <v/>
      </c>
      <c r="AE246" s="75" t="str">
        <f t="shared" si="149"/>
        <v/>
      </c>
      <c r="AF246" s="75" t="str">
        <f t="shared" si="150"/>
        <v/>
      </c>
      <c r="AG246" s="4" t="str">
        <f t="shared" si="151"/>
        <v/>
      </c>
      <c r="AH246" s="4" t="str">
        <f t="shared" si="152"/>
        <v/>
      </c>
      <c r="AI246" s="4" t="str">
        <f t="shared" si="153"/>
        <v/>
      </c>
      <c r="AJ246" s="4" t="str">
        <f t="shared" si="154"/>
        <v/>
      </c>
      <c r="AK246" s="4" t="str">
        <f t="shared" si="155"/>
        <v/>
      </c>
      <c r="AL246" s="2" t="str">
        <f t="shared" si="156"/>
        <v/>
      </c>
      <c r="AM246" s="6" t="str">
        <f t="shared" si="157"/>
        <v/>
      </c>
      <c r="AN246" s="4" t="str">
        <f t="shared" si="158"/>
        <v/>
      </c>
      <c r="AO246" s="4" t="str">
        <f t="shared" si="159"/>
        <v/>
      </c>
      <c r="AP246" s="4" t="str">
        <f t="shared" si="160"/>
        <v/>
      </c>
      <c r="AQ246" s="4" t="str">
        <f t="shared" si="161"/>
        <v/>
      </c>
      <c r="AR246" s="4" t="str">
        <f t="shared" si="162"/>
        <v/>
      </c>
    </row>
    <row r="247" spans="8:44" s="1" customFormat="1" ht="14.25" x14ac:dyDescent="0.3">
      <c r="H247" s="50"/>
      <c r="J247" s="54"/>
      <c r="L247" s="54"/>
      <c r="R247" s="45"/>
      <c r="S247" s="54"/>
      <c r="T247" s="54"/>
      <c r="U247" s="54"/>
      <c r="V247" s="44"/>
      <c r="W247" s="27"/>
      <c r="Z247" s="27"/>
      <c r="AA247" s="8"/>
      <c r="AB247" s="81" t="str">
        <f t="shared" si="146"/>
        <v/>
      </c>
      <c r="AC247" s="6" t="str">
        <f t="shared" si="147"/>
        <v/>
      </c>
      <c r="AD247" s="1" t="str">
        <f t="shared" ca="1" si="148"/>
        <v/>
      </c>
      <c r="AE247" s="75" t="str">
        <f t="shared" si="149"/>
        <v/>
      </c>
      <c r="AF247" s="75" t="str">
        <f t="shared" si="150"/>
        <v/>
      </c>
      <c r="AG247" s="4" t="str">
        <f t="shared" si="151"/>
        <v/>
      </c>
      <c r="AH247" s="4" t="str">
        <f t="shared" si="152"/>
        <v/>
      </c>
      <c r="AI247" s="4" t="str">
        <f t="shared" si="153"/>
        <v/>
      </c>
      <c r="AJ247" s="4" t="str">
        <f t="shared" si="154"/>
        <v/>
      </c>
      <c r="AK247" s="4" t="str">
        <f t="shared" si="155"/>
        <v/>
      </c>
      <c r="AL247" s="2" t="str">
        <f t="shared" si="156"/>
        <v/>
      </c>
      <c r="AM247" s="6" t="str">
        <f t="shared" si="157"/>
        <v/>
      </c>
      <c r="AN247" s="4" t="str">
        <f t="shared" si="158"/>
        <v/>
      </c>
      <c r="AO247" s="4" t="str">
        <f t="shared" si="159"/>
        <v/>
      </c>
      <c r="AP247" s="4" t="str">
        <f t="shared" si="160"/>
        <v/>
      </c>
      <c r="AQ247" s="4" t="str">
        <f t="shared" si="161"/>
        <v/>
      </c>
      <c r="AR247" s="4" t="str">
        <f t="shared" si="162"/>
        <v/>
      </c>
    </row>
    <row r="248" spans="8:44" s="1" customFormat="1" ht="14.25" x14ac:dyDescent="0.3">
      <c r="H248" s="50"/>
      <c r="J248" s="54"/>
      <c r="L248" s="54"/>
      <c r="R248" s="45"/>
      <c r="S248" s="54"/>
      <c r="T248" s="54"/>
      <c r="U248" s="54"/>
      <c r="V248" s="44"/>
      <c r="W248" s="27"/>
      <c r="Z248" s="27"/>
      <c r="AA248" s="8"/>
      <c r="AB248" s="81" t="str">
        <f t="shared" si="146"/>
        <v/>
      </c>
      <c r="AC248" s="6" t="str">
        <f t="shared" si="147"/>
        <v/>
      </c>
      <c r="AD248" s="1" t="str">
        <f t="shared" ca="1" si="148"/>
        <v/>
      </c>
      <c r="AE248" s="75" t="str">
        <f t="shared" si="149"/>
        <v/>
      </c>
      <c r="AF248" s="75" t="str">
        <f t="shared" si="150"/>
        <v/>
      </c>
      <c r="AG248" s="4" t="str">
        <f t="shared" si="151"/>
        <v/>
      </c>
      <c r="AH248" s="4" t="str">
        <f t="shared" si="152"/>
        <v/>
      </c>
      <c r="AI248" s="4" t="str">
        <f t="shared" si="153"/>
        <v/>
      </c>
      <c r="AJ248" s="4" t="str">
        <f t="shared" si="154"/>
        <v/>
      </c>
      <c r="AK248" s="4" t="str">
        <f t="shared" si="155"/>
        <v/>
      </c>
      <c r="AL248" s="2" t="str">
        <f t="shared" si="156"/>
        <v/>
      </c>
      <c r="AM248" s="6" t="str">
        <f t="shared" si="157"/>
        <v/>
      </c>
      <c r="AN248" s="4" t="str">
        <f t="shared" si="158"/>
        <v/>
      </c>
      <c r="AO248" s="4" t="str">
        <f t="shared" si="159"/>
        <v/>
      </c>
      <c r="AP248" s="4" t="str">
        <f t="shared" si="160"/>
        <v/>
      </c>
      <c r="AQ248" s="4" t="str">
        <f t="shared" si="161"/>
        <v/>
      </c>
      <c r="AR248" s="4" t="str">
        <f t="shared" si="162"/>
        <v/>
      </c>
    </row>
    <row r="249" spans="8:44" s="1" customFormat="1" ht="14.25" x14ac:dyDescent="0.3">
      <c r="H249" s="50"/>
      <c r="J249" s="54"/>
      <c r="L249" s="54"/>
      <c r="R249" s="45"/>
      <c r="S249" s="54"/>
      <c r="T249" s="54"/>
      <c r="U249" s="54"/>
      <c r="V249" s="44"/>
      <c r="W249" s="27"/>
      <c r="Z249" s="27"/>
      <c r="AA249" s="8"/>
      <c r="AB249" s="81" t="str">
        <f t="shared" si="146"/>
        <v/>
      </c>
      <c r="AC249" s="6" t="str">
        <f t="shared" si="147"/>
        <v/>
      </c>
      <c r="AD249" s="1" t="str">
        <f t="shared" ca="1" si="148"/>
        <v/>
      </c>
      <c r="AE249" s="75" t="str">
        <f t="shared" si="149"/>
        <v/>
      </c>
      <c r="AF249" s="75" t="str">
        <f t="shared" si="150"/>
        <v/>
      </c>
      <c r="AG249" s="4" t="str">
        <f t="shared" si="151"/>
        <v/>
      </c>
      <c r="AH249" s="4" t="str">
        <f t="shared" si="152"/>
        <v/>
      </c>
      <c r="AI249" s="4" t="str">
        <f t="shared" si="153"/>
        <v/>
      </c>
      <c r="AJ249" s="4" t="str">
        <f t="shared" si="154"/>
        <v/>
      </c>
      <c r="AK249" s="4" t="str">
        <f t="shared" si="155"/>
        <v/>
      </c>
      <c r="AL249" s="2" t="str">
        <f t="shared" si="156"/>
        <v/>
      </c>
      <c r="AM249" s="6" t="str">
        <f t="shared" si="157"/>
        <v/>
      </c>
      <c r="AN249" s="4" t="str">
        <f t="shared" si="158"/>
        <v/>
      </c>
      <c r="AO249" s="4" t="str">
        <f t="shared" si="159"/>
        <v/>
      </c>
      <c r="AP249" s="4" t="str">
        <f t="shared" si="160"/>
        <v/>
      </c>
      <c r="AQ249" s="4" t="str">
        <f t="shared" si="161"/>
        <v/>
      </c>
      <c r="AR249" s="4" t="str">
        <f t="shared" si="162"/>
        <v/>
      </c>
    </row>
    <row r="250" spans="8:44" s="1" customFormat="1" ht="14.25" x14ac:dyDescent="0.3">
      <c r="H250" s="50"/>
      <c r="J250" s="54"/>
      <c r="L250" s="54"/>
      <c r="R250" s="45"/>
      <c r="S250" s="54"/>
      <c r="T250" s="54"/>
      <c r="U250" s="54"/>
      <c r="V250" s="44"/>
      <c r="W250" s="27"/>
      <c r="Z250" s="27"/>
      <c r="AA250" s="8"/>
      <c r="AB250" s="81" t="str">
        <f t="shared" si="146"/>
        <v/>
      </c>
      <c r="AC250" s="6" t="str">
        <f t="shared" si="147"/>
        <v/>
      </c>
      <c r="AD250" s="1" t="str">
        <f t="shared" ca="1" si="148"/>
        <v/>
      </c>
      <c r="AE250" s="75" t="str">
        <f t="shared" si="149"/>
        <v/>
      </c>
      <c r="AF250" s="75" t="str">
        <f t="shared" si="150"/>
        <v/>
      </c>
      <c r="AG250" s="4" t="str">
        <f t="shared" si="151"/>
        <v/>
      </c>
      <c r="AH250" s="4" t="str">
        <f t="shared" si="152"/>
        <v/>
      </c>
      <c r="AI250" s="4" t="str">
        <f t="shared" si="153"/>
        <v/>
      </c>
      <c r="AJ250" s="4" t="str">
        <f t="shared" si="154"/>
        <v/>
      </c>
      <c r="AK250" s="4" t="str">
        <f t="shared" si="155"/>
        <v/>
      </c>
      <c r="AL250" s="2" t="str">
        <f t="shared" si="156"/>
        <v/>
      </c>
      <c r="AM250" s="6" t="str">
        <f t="shared" si="157"/>
        <v/>
      </c>
      <c r="AN250" s="4" t="str">
        <f t="shared" si="158"/>
        <v/>
      </c>
      <c r="AO250" s="4" t="str">
        <f t="shared" si="159"/>
        <v/>
      </c>
      <c r="AP250" s="4" t="str">
        <f t="shared" si="160"/>
        <v/>
      </c>
      <c r="AQ250" s="4" t="str">
        <f t="shared" si="161"/>
        <v/>
      </c>
      <c r="AR250" s="4" t="str">
        <f t="shared" si="162"/>
        <v/>
      </c>
    </row>
    <row r="251" spans="8:44" s="1" customFormat="1" ht="14.25" x14ac:dyDescent="0.3">
      <c r="H251" s="50"/>
      <c r="J251" s="54"/>
      <c r="L251" s="54"/>
      <c r="R251" s="45"/>
      <c r="S251" s="54"/>
      <c r="T251" s="54"/>
      <c r="U251" s="54"/>
      <c r="V251" s="44"/>
      <c r="W251" s="27"/>
      <c r="Z251" s="27"/>
      <c r="AA251" s="8"/>
      <c r="AB251" s="81" t="str">
        <f t="shared" si="146"/>
        <v/>
      </c>
      <c r="AC251" s="6" t="str">
        <f t="shared" si="147"/>
        <v/>
      </c>
      <c r="AD251" s="1" t="str">
        <f t="shared" ca="1" si="148"/>
        <v/>
      </c>
      <c r="AE251" s="75" t="str">
        <f t="shared" si="149"/>
        <v/>
      </c>
      <c r="AF251" s="75" t="str">
        <f t="shared" si="150"/>
        <v/>
      </c>
      <c r="AG251" s="4" t="str">
        <f t="shared" si="151"/>
        <v/>
      </c>
      <c r="AH251" s="4" t="str">
        <f t="shared" si="152"/>
        <v/>
      </c>
      <c r="AI251" s="4" t="str">
        <f t="shared" si="153"/>
        <v/>
      </c>
      <c r="AJ251" s="4" t="str">
        <f t="shared" si="154"/>
        <v/>
      </c>
      <c r="AK251" s="4" t="str">
        <f t="shared" si="155"/>
        <v/>
      </c>
      <c r="AL251" s="2" t="str">
        <f t="shared" si="156"/>
        <v/>
      </c>
      <c r="AM251" s="6" t="str">
        <f t="shared" si="157"/>
        <v/>
      </c>
      <c r="AN251" s="4" t="str">
        <f t="shared" si="158"/>
        <v/>
      </c>
      <c r="AO251" s="4" t="str">
        <f t="shared" si="159"/>
        <v/>
      </c>
      <c r="AP251" s="4" t="str">
        <f t="shared" si="160"/>
        <v/>
      </c>
      <c r="AQ251" s="4" t="str">
        <f t="shared" si="161"/>
        <v/>
      </c>
      <c r="AR251" s="4" t="str">
        <f t="shared" si="162"/>
        <v/>
      </c>
    </row>
    <row r="252" spans="8:44" s="1" customFormat="1" ht="14.25" x14ac:dyDescent="0.3">
      <c r="H252" s="50"/>
      <c r="J252" s="54"/>
      <c r="L252" s="54"/>
      <c r="R252" s="45"/>
      <c r="S252" s="54"/>
      <c r="T252" s="54"/>
      <c r="U252" s="54"/>
      <c r="V252" s="44"/>
      <c r="W252" s="27"/>
      <c r="Z252" s="27"/>
      <c r="AA252" s="8"/>
      <c r="AB252" s="81" t="str">
        <f t="shared" si="146"/>
        <v/>
      </c>
      <c r="AC252" s="6" t="str">
        <f t="shared" si="147"/>
        <v/>
      </c>
      <c r="AD252" s="1" t="str">
        <f t="shared" ca="1" si="148"/>
        <v/>
      </c>
      <c r="AE252" s="75" t="str">
        <f t="shared" si="149"/>
        <v/>
      </c>
      <c r="AF252" s="75" t="str">
        <f t="shared" si="150"/>
        <v/>
      </c>
      <c r="AG252" s="4" t="str">
        <f t="shared" si="151"/>
        <v/>
      </c>
      <c r="AH252" s="4" t="str">
        <f t="shared" si="152"/>
        <v/>
      </c>
      <c r="AI252" s="4" t="str">
        <f t="shared" si="153"/>
        <v/>
      </c>
      <c r="AJ252" s="4" t="str">
        <f t="shared" si="154"/>
        <v/>
      </c>
      <c r="AK252" s="4" t="str">
        <f t="shared" si="155"/>
        <v/>
      </c>
      <c r="AL252" s="2" t="str">
        <f t="shared" si="156"/>
        <v/>
      </c>
      <c r="AM252" s="6" t="str">
        <f t="shared" si="157"/>
        <v/>
      </c>
      <c r="AN252" s="4" t="str">
        <f t="shared" si="158"/>
        <v/>
      </c>
      <c r="AO252" s="4" t="str">
        <f t="shared" si="159"/>
        <v/>
      </c>
      <c r="AP252" s="4" t="str">
        <f t="shared" si="160"/>
        <v/>
      </c>
      <c r="AQ252" s="4" t="str">
        <f t="shared" si="161"/>
        <v/>
      </c>
      <c r="AR252" s="4" t="str">
        <f t="shared" si="162"/>
        <v/>
      </c>
    </row>
    <row r="253" spans="8:44" s="1" customFormat="1" ht="14.25" x14ac:dyDescent="0.3">
      <c r="H253" s="50"/>
      <c r="J253" s="54"/>
      <c r="L253" s="54"/>
      <c r="R253" s="45"/>
      <c r="S253" s="54"/>
      <c r="T253" s="54"/>
      <c r="U253" s="54"/>
      <c r="V253" s="44"/>
      <c r="W253" s="27"/>
      <c r="Z253" s="27"/>
      <c r="AA253" s="8"/>
      <c r="AB253" s="81" t="str">
        <f t="shared" ref="AB253:AB316" si="163">IF(X253="","",(AH253-AG253)/AG253)</f>
        <v/>
      </c>
      <c r="AC253" s="6" t="str">
        <f t="shared" ref="AC253:AC316" si="164">IF(X253="","",AH253-AG253)</f>
        <v/>
      </c>
      <c r="AD253" s="1" t="str">
        <f t="shared" ref="AD253:AD316" ca="1" si="165">IF(X253="","",IF(W253="","",IF(Z253="",TODAY()-W253,Z253-W253)))</f>
        <v/>
      </c>
      <c r="AE253" s="75" t="str">
        <f t="shared" ref="AE253:AE316" si="166">IF(X253="","",IF(AE252="",IF(AM253="","",AM253),IF(AM253="",AE252,AE252+AM253)))</f>
        <v/>
      </c>
      <c r="AF253" s="75" t="str">
        <f t="shared" ref="AF253:AF316" si="167">IF(X253="","",IF(AF252="",IF(AN253="","",AN253),IF(AN253="",AF252,AF252+AN253)))</f>
        <v/>
      </c>
      <c r="AG253" s="4" t="str">
        <f t="shared" ref="AG253:AG316" si="168">IF(X253="","",X253*Y253*100+AO253+AP253)</f>
        <v/>
      </c>
      <c r="AH253" s="4" t="str">
        <f t="shared" ref="AH253:AH316" si="169">IF(X253="","",IF(AA253="",C253*Y253*100-AO253-AQ253-AR253,AA253*Y253*100-AO253-AQ253-AR253))</f>
        <v/>
      </c>
      <c r="AI253" s="4" t="str">
        <f t="shared" ref="AI253:AI316" si="170">IF(X253="","",AI252+AC253)</f>
        <v/>
      </c>
      <c r="AJ253" s="4" t="str">
        <f t="shared" ref="AJ253:AJ316" si="171">IF(X253="","",AO253+AP253+AO253+AQ253+AR253)</f>
        <v/>
      </c>
      <c r="AK253" s="4" t="str">
        <f t="shared" ref="AK253:AK316" si="172">IF(X253="","",AK252+AJ253)</f>
        <v/>
      </c>
      <c r="AL253" s="2" t="str">
        <f t="shared" ref="AL253:AL316" si="173">IF(X253="","",0.18%)</f>
        <v/>
      </c>
      <c r="AM253" s="6" t="str">
        <f t="shared" ref="AM253:AM316" si="174">IF(X253="","",IF(Z253="",AC253,""))</f>
        <v/>
      </c>
      <c r="AN253" s="4" t="str">
        <f t="shared" ref="AN253:AN316" si="175">IF(X253="","",IF(Z253="",AH253,""))</f>
        <v/>
      </c>
      <c r="AO253" s="4" t="str">
        <f t="shared" ref="AO253:AO316" si="176">IF(X253="","",IF(LEFT(A253,2)="sh",IF(Y253*100/1000&lt;=1,1,Y253*100/1000),0))</f>
        <v/>
      </c>
      <c r="AP253" s="4" t="str">
        <f t="shared" ref="AP253:AP316" si="177">IF(X253="","",IF(X253*Y253*100*AL253&lt;=5,5,X253*Y253*100*AL253))</f>
        <v/>
      </c>
      <c r="AQ253" s="4" t="str">
        <f t="shared" ref="AQ253:AQ316" si="178">IF(X253="","",IF(AA253="",IF(C253*Y253*100*AL253&lt;=5,5,C253*Y253*100*AL253),IF(AA253*Y253*100*AL253&lt;=5,5,AA253*Y253*100*AL253)))</f>
        <v/>
      </c>
      <c r="AR253" s="4" t="str">
        <f t="shared" ref="AR253:AR316" si="179">IF(X253="","",IF(AA253="",C253*Y253*100*0.001,AA253*Y253*100*0.001))</f>
        <v/>
      </c>
    </row>
    <row r="254" spans="8:44" s="1" customFormat="1" ht="14.25" x14ac:dyDescent="0.3">
      <c r="H254" s="50"/>
      <c r="J254" s="54"/>
      <c r="L254" s="54"/>
      <c r="R254" s="45"/>
      <c r="S254" s="54"/>
      <c r="T254" s="54"/>
      <c r="U254" s="54"/>
      <c r="V254" s="44"/>
      <c r="W254" s="27"/>
      <c r="Z254" s="27"/>
      <c r="AA254" s="8"/>
      <c r="AB254" s="81" t="str">
        <f t="shared" si="163"/>
        <v/>
      </c>
      <c r="AC254" s="6" t="str">
        <f t="shared" si="164"/>
        <v/>
      </c>
      <c r="AD254" s="1" t="str">
        <f t="shared" ca="1" si="165"/>
        <v/>
      </c>
      <c r="AE254" s="75" t="str">
        <f t="shared" si="166"/>
        <v/>
      </c>
      <c r="AF254" s="75" t="str">
        <f t="shared" si="167"/>
        <v/>
      </c>
      <c r="AG254" s="4" t="str">
        <f t="shared" si="168"/>
        <v/>
      </c>
      <c r="AH254" s="4" t="str">
        <f t="shared" si="169"/>
        <v/>
      </c>
      <c r="AI254" s="4" t="str">
        <f t="shared" si="170"/>
        <v/>
      </c>
      <c r="AJ254" s="4" t="str">
        <f t="shared" si="171"/>
        <v/>
      </c>
      <c r="AK254" s="4" t="str">
        <f t="shared" si="172"/>
        <v/>
      </c>
      <c r="AL254" s="2" t="str">
        <f t="shared" si="173"/>
        <v/>
      </c>
      <c r="AM254" s="6" t="str">
        <f t="shared" si="174"/>
        <v/>
      </c>
      <c r="AN254" s="4" t="str">
        <f t="shared" si="175"/>
        <v/>
      </c>
      <c r="AO254" s="4" t="str">
        <f t="shared" si="176"/>
        <v/>
      </c>
      <c r="AP254" s="4" t="str">
        <f t="shared" si="177"/>
        <v/>
      </c>
      <c r="AQ254" s="4" t="str">
        <f t="shared" si="178"/>
        <v/>
      </c>
      <c r="AR254" s="4" t="str">
        <f t="shared" si="179"/>
        <v/>
      </c>
    </row>
    <row r="255" spans="8:44" s="1" customFormat="1" ht="14.25" x14ac:dyDescent="0.3">
      <c r="H255" s="50"/>
      <c r="J255" s="54"/>
      <c r="L255" s="54"/>
      <c r="R255" s="45"/>
      <c r="S255" s="54"/>
      <c r="T255" s="54"/>
      <c r="U255" s="54"/>
      <c r="V255" s="44"/>
      <c r="W255" s="27"/>
      <c r="Z255" s="27"/>
      <c r="AA255" s="8"/>
      <c r="AB255" s="81" t="str">
        <f t="shared" si="163"/>
        <v/>
      </c>
      <c r="AC255" s="6" t="str">
        <f t="shared" si="164"/>
        <v/>
      </c>
      <c r="AD255" s="1" t="str">
        <f t="shared" ca="1" si="165"/>
        <v/>
      </c>
      <c r="AE255" s="75" t="str">
        <f t="shared" si="166"/>
        <v/>
      </c>
      <c r="AF255" s="75" t="str">
        <f t="shared" si="167"/>
        <v/>
      </c>
      <c r="AG255" s="4" t="str">
        <f t="shared" si="168"/>
        <v/>
      </c>
      <c r="AH255" s="4" t="str">
        <f t="shared" si="169"/>
        <v/>
      </c>
      <c r="AI255" s="4" t="str">
        <f t="shared" si="170"/>
        <v/>
      </c>
      <c r="AJ255" s="4" t="str">
        <f t="shared" si="171"/>
        <v/>
      </c>
      <c r="AK255" s="4" t="str">
        <f t="shared" si="172"/>
        <v/>
      </c>
      <c r="AL255" s="2" t="str">
        <f t="shared" si="173"/>
        <v/>
      </c>
      <c r="AM255" s="6" t="str">
        <f t="shared" si="174"/>
        <v/>
      </c>
      <c r="AN255" s="4" t="str">
        <f t="shared" si="175"/>
        <v/>
      </c>
      <c r="AO255" s="4" t="str">
        <f t="shared" si="176"/>
        <v/>
      </c>
      <c r="AP255" s="4" t="str">
        <f t="shared" si="177"/>
        <v/>
      </c>
      <c r="AQ255" s="4" t="str">
        <f t="shared" si="178"/>
        <v/>
      </c>
      <c r="AR255" s="4" t="str">
        <f t="shared" si="179"/>
        <v/>
      </c>
    </row>
    <row r="256" spans="8:44" s="1" customFormat="1" ht="14.25" x14ac:dyDescent="0.3">
      <c r="H256" s="50"/>
      <c r="J256" s="54"/>
      <c r="L256" s="54"/>
      <c r="R256" s="45"/>
      <c r="S256" s="54"/>
      <c r="T256" s="54"/>
      <c r="U256" s="54"/>
      <c r="V256" s="44"/>
      <c r="W256" s="27"/>
      <c r="Z256" s="27"/>
      <c r="AA256" s="8"/>
      <c r="AB256" s="81" t="str">
        <f t="shared" si="163"/>
        <v/>
      </c>
      <c r="AC256" s="6" t="str">
        <f t="shared" si="164"/>
        <v/>
      </c>
      <c r="AD256" s="1" t="str">
        <f t="shared" ca="1" si="165"/>
        <v/>
      </c>
      <c r="AE256" s="75" t="str">
        <f t="shared" si="166"/>
        <v/>
      </c>
      <c r="AF256" s="75" t="str">
        <f t="shared" si="167"/>
        <v/>
      </c>
      <c r="AG256" s="4" t="str">
        <f t="shared" si="168"/>
        <v/>
      </c>
      <c r="AH256" s="4" t="str">
        <f t="shared" si="169"/>
        <v/>
      </c>
      <c r="AI256" s="4" t="str">
        <f t="shared" si="170"/>
        <v/>
      </c>
      <c r="AJ256" s="4" t="str">
        <f t="shared" si="171"/>
        <v/>
      </c>
      <c r="AK256" s="4" t="str">
        <f t="shared" si="172"/>
        <v/>
      </c>
      <c r="AL256" s="2" t="str">
        <f t="shared" si="173"/>
        <v/>
      </c>
      <c r="AM256" s="6" t="str">
        <f t="shared" si="174"/>
        <v/>
      </c>
      <c r="AN256" s="4" t="str">
        <f t="shared" si="175"/>
        <v/>
      </c>
      <c r="AO256" s="4" t="str">
        <f t="shared" si="176"/>
        <v/>
      </c>
      <c r="AP256" s="4" t="str">
        <f t="shared" si="177"/>
        <v/>
      </c>
      <c r="AQ256" s="4" t="str">
        <f t="shared" si="178"/>
        <v/>
      </c>
      <c r="AR256" s="4" t="str">
        <f t="shared" si="179"/>
        <v/>
      </c>
    </row>
    <row r="257" spans="8:44" s="1" customFormat="1" ht="14.25" x14ac:dyDescent="0.3">
      <c r="H257" s="50"/>
      <c r="J257" s="54"/>
      <c r="L257" s="54"/>
      <c r="R257" s="45"/>
      <c r="S257" s="54"/>
      <c r="T257" s="54"/>
      <c r="U257" s="54"/>
      <c r="V257" s="44"/>
      <c r="W257" s="27"/>
      <c r="Z257" s="27"/>
      <c r="AA257" s="8"/>
      <c r="AB257" s="81" t="str">
        <f t="shared" si="163"/>
        <v/>
      </c>
      <c r="AC257" s="6" t="str">
        <f t="shared" si="164"/>
        <v/>
      </c>
      <c r="AD257" s="1" t="str">
        <f t="shared" ca="1" si="165"/>
        <v/>
      </c>
      <c r="AE257" s="75" t="str">
        <f t="shared" si="166"/>
        <v/>
      </c>
      <c r="AF257" s="75" t="str">
        <f t="shared" si="167"/>
        <v/>
      </c>
      <c r="AG257" s="4" t="str">
        <f t="shared" si="168"/>
        <v/>
      </c>
      <c r="AH257" s="4" t="str">
        <f t="shared" si="169"/>
        <v/>
      </c>
      <c r="AI257" s="4" t="str">
        <f t="shared" si="170"/>
        <v/>
      </c>
      <c r="AJ257" s="4" t="str">
        <f t="shared" si="171"/>
        <v/>
      </c>
      <c r="AK257" s="4" t="str">
        <f t="shared" si="172"/>
        <v/>
      </c>
      <c r="AL257" s="2" t="str">
        <f t="shared" si="173"/>
        <v/>
      </c>
      <c r="AM257" s="6" t="str">
        <f t="shared" si="174"/>
        <v/>
      </c>
      <c r="AN257" s="4" t="str">
        <f t="shared" si="175"/>
        <v/>
      </c>
      <c r="AO257" s="4" t="str">
        <f t="shared" si="176"/>
        <v/>
      </c>
      <c r="AP257" s="4" t="str">
        <f t="shared" si="177"/>
        <v/>
      </c>
      <c r="AQ257" s="4" t="str">
        <f t="shared" si="178"/>
        <v/>
      </c>
      <c r="AR257" s="4" t="str">
        <f t="shared" si="179"/>
        <v/>
      </c>
    </row>
    <row r="258" spans="8:44" s="1" customFormat="1" ht="14.25" x14ac:dyDescent="0.3">
      <c r="H258" s="50"/>
      <c r="J258" s="54"/>
      <c r="L258" s="54"/>
      <c r="R258" s="45"/>
      <c r="S258" s="54"/>
      <c r="T258" s="54"/>
      <c r="U258" s="54"/>
      <c r="V258" s="44"/>
      <c r="W258" s="27"/>
      <c r="Z258" s="27"/>
      <c r="AA258" s="8"/>
      <c r="AB258" s="81" t="str">
        <f t="shared" si="163"/>
        <v/>
      </c>
      <c r="AC258" s="6" t="str">
        <f t="shared" si="164"/>
        <v/>
      </c>
      <c r="AD258" s="1" t="str">
        <f t="shared" ca="1" si="165"/>
        <v/>
      </c>
      <c r="AE258" s="75" t="str">
        <f t="shared" si="166"/>
        <v/>
      </c>
      <c r="AF258" s="75" t="str">
        <f t="shared" si="167"/>
        <v/>
      </c>
      <c r="AG258" s="4" t="str">
        <f t="shared" si="168"/>
        <v/>
      </c>
      <c r="AH258" s="4" t="str">
        <f t="shared" si="169"/>
        <v/>
      </c>
      <c r="AI258" s="4" t="str">
        <f t="shared" si="170"/>
        <v/>
      </c>
      <c r="AJ258" s="4" t="str">
        <f t="shared" si="171"/>
        <v/>
      </c>
      <c r="AK258" s="4" t="str">
        <f t="shared" si="172"/>
        <v/>
      </c>
      <c r="AL258" s="2" t="str">
        <f t="shared" si="173"/>
        <v/>
      </c>
      <c r="AM258" s="6" t="str">
        <f t="shared" si="174"/>
        <v/>
      </c>
      <c r="AN258" s="4" t="str">
        <f t="shared" si="175"/>
        <v/>
      </c>
      <c r="AO258" s="4" t="str">
        <f t="shared" si="176"/>
        <v/>
      </c>
      <c r="AP258" s="4" t="str">
        <f t="shared" si="177"/>
        <v/>
      </c>
      <c r="AQ258" s="4" t="str">
        <f t="shared" si="178"/>
        <v/>
      </c>
      <c r="AR258" s="4" t="str">
        <f t="shared" si="179"/>
        <v/>
      </c>
    </row>
    <row r="259" spans="8:44" s="1" customFormat="1" ht="14.25" x14ac:dyDescent="0.3">
      <c r="H259" s="50"/>
      <c r="J259" s="54"/>
      <c r="L259" s="54"/>
      <c r="R259" s="45"/>
      <c r="S259" s="54"/>
      <c r="T259" s="54"/>
      <c r="U259" s="54"/>
      <c r="V259" s="44"/>
      <c r="W259" s="27"/>
      <c r="Z259" s="27"/>
      <c r="AA259" s="8"/>
      <c r="AB259" s="81" t="str">
        <f t="shared" si="163"/>
        <v/>
      </c>
      <c r="AC259" s="6" t="str">
        <f t="shared" si="164"/>
        <v/>
      </c>
      <c r="AD259" s="1" t="str">
        <f t="shared" ca="1" si="165"/>
        <v/>
      </c>
      <c r="AE259" s="75" t="str">
        <f t="shared" si="166"/>
        <v/>
      </c>
      <c r="AF259" s="75" t="str">
        <f t="shared" si="167"/>
        <v/>
      </c>
      <c r="AG259" s="4" t="str">
        <f t="shared" si="168"/>
        <v/>
      </c>
      <c r="AH259" s="4" t="str">
        <f t="shared" si="169"/>
        <v/>
      </c>
      <c r="AI259" s="4" t="str">
        <f t="shared" si="170"/>
        <v/>
      </c>
      <c r="AJ259" s="4" t="str">
        <f t="shared" si="171"/>
        <v/>
      </c>
      <c r="AK259" s="4" t="str">
        <f t="shared" si="172"/>
        <v/>
      </c>
      <c r="AL259" s="2" t="str">
        <f t="shared" si="173"/>
        <v/>
      </c>
      <c r="AM259" s="6" t="str">
        <f t="shared" si="174"/>
        <v/>
      </c>
      <c r="AN259" s="4" t="str">
        <f t="shared" si="175"/>
        <v/>
      </c>
      <c r="AO259" s="4" t="str">
        <f t="shared" si="176"/>
        <v/>
      </c>
      <c r="AP259" s="4" t="str">
        <f t="shared" si="177"/>
        <v/>
      </c>
      <c r="AQ259" s="4" t="str">
        <f t="shared" si="178"/>
        <v/>
      </c>
      <c r="AR259" s="4" t="str">
        <f t="shared" si="179"/>
        <v/>
      </c>
    </row>
    <row r="260" spans="8:44" s="1" customFormat="1" ht="14.25" x14ac:dyDescent="0.3">
      <c r="H260" s="50"/>
      <c r="J260" s="54"/>
      <c r="L260" s="54"/>
      <c r="R260" s="45"/>
      <c r="S260" s="54"/>
      <c r="T260" s="54"/>
      <c r="U260" s="54"/>
      <c r="V260" s="44"/>
      <c r="W260" s="27"/>
      <c r="Z260" s="27"/>
      <c r="AA260" s="8"/>
      <c r="AB260" s="81" t="str">
        <f t="shared" si="163"/>
        <v/>
      </c>
      <c r="AC260" s="6" t="str">
        <f t="shared" si="164"/>
        <v/>
      </c>
      <c r="AD260" s="1" t="str">
        <f t="shared" ca="1" si="165"/>
        <v/>
      </c>
      <c r="AE260" s="75" t="str">
        <f t="shared" si="166"/>
        <v/>
      </c>
      <c r="AF260" s="75" t="str">
        <f t="shared" si="167"/>
        <v/>
      </c>
      <c r="AG260" s="4" t="str">
        <f t="shared" si="168"/>
        <v/>
      </c>
      <c r="AH260" s="4" t="str">
        <f t="shared" si="169"/>
        <v/>
      </c>
      <c r="AI260" s="4" t="str">
        <f t="shared" si="170"/>
        <v/>
      </c>
      <c r="AJ260" s="4" t="str">
        <f t="shared" si="171"/>
        <v/>
      </c>
      <c r="AK260" s="4" t="str">
        <f t="shared" si="172"/>
        <v/>
      </c>
      <c r="AL260" s="2" t="str">
        <f t="shared" si="173"/>
        <v/>
      </c>
      <c r="AM260" s="6" t="str">
        <f t="shared" si="174"/>
        <v/>
      </c>
      <c r="AN260" s="4" t="str">
        <f t="shared" si="175"/>
        <v/>
      </c>
      <c r="AO260" s="4" t="str">
        <f t="shared" si="176"/>
        <v/>
      </c>
      <c r="AP260" s="4" t="str">
        <f t="shared" si="177"/>
        <v/>
      </c>
      <c r="AQ260" s="4" t="str">
        <f t="shared" si="178"/>
        <v/>
      </c>
      <c r="AR260" s="4" t="str">
        <f t="shared" si="179"/>
        <v/>
      </c>
    </row>
    <row r="261" spans="8:44" s="1" customFormat="1" ht="14.25" x14ac:dyDescent="0.3">
      <c r="H261" s="50"/>
      <c r="J261" s="54"/>
      <c r="L261" s="54"/>
      <c r="R261" s="45"/>
      <c r="S261" s="54"/>
      <c r="T261" s="54"/>
      <c r="U261" s="54"/>
      <c r="V261" s="44"/>
      <c r="W261" s="27"/>
      <c r="Z261" s="27"/>
      <c r="AA261" s="8"/>
      <c r="AB261" s="81" t="str">
        <f t="shared" si="163"/>
        <v/>
      </c>
      <c r="AC261" s="6" t="str">
        <f t="shared" si="164"/>
        <v/>
      </c>
      <c r="AD261" s="1" t="str">
        <f t="shared" ca="1" si="165"/>
        <v/>
      </c>
      <c r="AE261" s="75" t="str">
        <f t="shared" si="166"/>
        <v/>
      </c>
      <c r="AF261" s="75" t="str">
        <f t="shared" si="167"/>
        <v/>
      </c>
      <c r="AG261" s="4" t="str">
        <f t="shared" si="168"/>
        <v/>
      </c>
      <c r="AH261" s="4" t="str">
        <f t="shared" si="169"/>
        <v/>
      </c>
      <c r="AI261" s="4" t="str">
        <f t="shared" si="170"/>
        <v/>
      </c>
      <c r="AJ261" s="4" t="str">
        <f t="shared" si="171"/>
        <v/>
      </c>
      <c r="AK261" s="4" t="str">
        <f t="shared" si="172"/>
        <v/>
      </c>
      <c r="AL261" s="2" t="str">
        <f t="shared" si="173"/>
        <v/>
      </c>
      <c r="AM261" s="6" t="str">
        <f t="shared" si="174"/>
        <v/>
      </c>
      <c r="AN261" s="4" t="str">
        <f t="shared" si="175"/>
        <v/>
      </c>
      <c r="AO261" s="4" t="str">
        <f t="shared" si="176"/>
        <v/>
      </c>
      <c r="AP261" s="4" t="str">
        <f t="shared" si="177"/>
        <v/>
      </c>
      <c r="AQ261" s="4" t="str">
        <f t="shared" si="178"/>
        <v/>
      </c>
      <c r="AR261" s="4" t="str">
        <f t="shared" si="179"/>
        <v/>
      </c>
    </row>
    <row r="262" spans="8:44" s="1" customFormat="1" ht="14.25" x14ac:dyDescent="0.3">
      <c r="H262" s="50"/>
      <c r="J262" s="54"/>
      <c r="L262" s="54"/>
      <c r="R262" s="45"/>
      <c r="S262" s="54"/>
      <c r="T262" s="54"/>
      <c r="U262" s="54"/>
      <c r="V262" s="44"/>
      <c r="W262" s="27"/>
      <c r="Z262" s="27"/>
      <c r="AA262" s="8"/>
      <c r="AB262" s="81" t="str">
        <f t="shared" si="163"/>
        <v/>
      </c>
      <c r="AC262" s="6" t="str">
        <f t="shared" si="164"/>
        <v/>
      </c>
      <c r="AD262" s="1" t="str">
        <f t="shared" ca="1" si="165"/>
        <v/>
      </c>
      <c r="AE262" s="75" t="str">
        <f t="shared" si="166"/>
        <v/>
      </c>
      <c r="AF262" s="75" t="str">
        <f t="shared" si="167"/>
        <v/>
      </c>
      <c r="AG262" s="4" t="str">
        <f t="shared" si="168"/>
        <v/>
      </c>
      <c r="AH262" s="4" t="str">
        <f t="shared" si="169"/>
        <v/>
      </c>
      <c r="AI262" s="4" t="str">
        <f t="shared" si="170"/>
        <v/>
      </c>
      <c r="AJ262" s="4" t="str">
        <f t="shared" si="171"/>
        <v/>
      </c>
      <c r="AK262" s="4" t="str">
        <f t="shared" si="172"/>
        <v/>
      </c>
      <c r="AL262" s="2" t="str">
        <f t="shared" si="173"/>
        <v/>
      </c>
      <c r="AM262" s="6" t="str">
        <f t="shared" si="174"/>
        <v/>
      </c>
      <c r="AN262" s="4" t="str">
        <f t="shared" si="175"/>
        <v/>
      </c>
      <c r="AO262" s="4" t="str">
        <f t="shared" si="176"/>
        <v/>
      </c>
      <c r="AP262" s="4" t="str">
        <f t="shared" si="177"/>
        <v/>
      </c>
      <c r="AQ262" s="4" t="str">
        <f t="shared" si="178"/>
        <v/>
      </c>
      <c r="AR262" s="4" t="str">
        <f t="shared" si="179"/>
        <v/>
      </c>
    </row>
    <row r="263" spans="8:44" s="1" customFormat="1" ht="14.25" x14ac:dyDescent="0.3">
      <c r="H263" s="50"/>
      <c r="J263" s="54"/>
      <c r="L263" s="54"/>
      <c r="R263" s="45"/>
      <c r="S263" s="54"/>
      <c r="T263" s="54"/>
      <c r="U263" s="54"/>
      <c r="V263" s="44"/>
      <c r="W263" s="27"/>
      <c r="Z263" s="27"/>
      <c r="AA263" s="8"/>
      <c r="AB263" s="81" t="str">
        <f t="shared" si="163"/>
        <v/>
      </c>
      <c r="AC263" s="6" t="str">
        <f t="shared" si="164"/>
        <v/>
      </c>
      <c r="AD263" s="1" t="str">
        <f t="shared" ca="1" si="165"/>
        <v/>
      </c>
      <c r="AE263" s="75" t="str">
        <f t="shared" si="166"/>
        <v/>
      </c>
      <c r="AF263" s="75" t="str">
        <f t="shared" si="167"/>
        <v/>
      </c>
      <c r="AG263" s="4" t="str">
        <f t="shared" si="168"/>
        <v/>
      </c>
      <c r="AH263" s="4" t="str">
        <f t="shared" si="169"/>
        <v/>
      </c>
      <c r="AI263" s="4" t="str">
        <f t="shared" si="170"/>
        <v/>
      </c>
      <c r="AJ263" s="4" t="str">
        <f t="shared" si="171"/>
        <v/>
      </c>
      <c r="AK263" s="4" t="str">
        <f t="shared" si="172"/>
        <v/>
      </c>
      <c r="AL263" s="2" t="str">
        <f t="shared" si="173"/>
        <v/>
      </c>
      <c r="AM263" s="6" t="str">
        <f t="shared" si="174"/>
        <v/>
      </c>
      <c r="AN263" s="4" t="str">
        <f t="shared" si="175"/>
        <v/>
      </c>
      <c r="AO263" s="4" t="str">
        <f t="shared" si="176"/>
        <v/>
      </c>
      <c r="AP263" s="4" t="str">
        <f t="shared" si="177"/>
        <v/>
      </c>
      <c r="AQ263" s="4" t="str">
        <f t="shared" si="178"/>
        <v/>
      </c>
      <c r="AR263" s="4" t="str">
        <f t="shared" si="179"/>
        <v/>
      </c>
    </row>
    <row r="264" spans="8:44" s="1" customFormat="1" ht="14.25" x14ac:dyDescent="0.3">
      <c r="H264" s="50"/>
      <c r="J264" s="54"/>
      <c r="L264" s="54"/>
      <c r="R264" s="45"/>
      <c r="S264" s="54"/>
      <c r="T264" s="54"/>
      <c r="U264" s="54"/>
      <c r="V264" s="44"/>
      <c r="W264" s="27"/>
      <c r="Z264" s="27"/>
      <c r="AA264" s="8"/>
      <c r="AB264" s="81" t="str">
        <f t="shared" si="163"/>
        <v/>
      </c>
      <c r="AC264" s="6" t="str">
        <f t="shared" si="164"/>
        <v/>
      </c>
      <c r="AD264" s="1" t="str">
        <f t="shared" ca="1" si="165"/>
        <v/>
      </c>
      <c r="AE264" s="75" t="str">
        <f t="shared" si="166"/>
        <v/>
      </c>
      <c r="AF264" s="75" t="str">
        <f t="shared" si="167"/>
        <v/>
      </c>
      <c r="AG264" s="4" t="str">
        <f t="shared" si="168"/>
        <v/>
      </c>
      <c r="AH264" s="4" t="str">
        <f t="shared" si="169"/>
        <v/>
      </c>
      <c r="AI264" s="4" t="str">
        <f t="shared" si="170"/>
        <v/>
      </c>
      <c r="AJ264" s="4" t="str">
        <f t="shared" si="171"/>
        <v/>
      </c>
      <c r="AK264" s="4" t="str">
        <f t="shared" si="172"/>
        <v/>
      </c>
      <c r="AL264" s="2" t="str">
        <f t="shared" si="173"/>
        <v/>
      </c>
      <c r="AM264" s="6" t="str">
        <f t="shared" si="174"/>
        <v/>
      </c>
      <c r="AN264" s="4" t="str">
        <f t="shared" si="175"/>
        <v/>
      </c>
      <c r="AO264" s="4" t="str">
        <f t="shared" si="176"/>
        <v/>
      </c>
      <c r="AP264" s="4" t="str">
        <f t="shared" si="177"/>
        <v/>
      </c>
      <c r="AQ264" s="4" t="str">
        <f t="shared" si="178"/>
        <v/>
      </c>
      <c r="AR264" s="4" t="str">
        <f t="shared" si="179"/>
        <v/>
      </c>
    </row>
    <row r="265" spans="8:44" s="1" customFormat="1" ht="14.25" x14ac:dyDescent="0.3">
      <c r="H265" s="50"/>
      <c r="J265" s="54"/>
      <c r="L265" s="54"/>
      <c r="R265" s="45"/>
      <c r="S265" s="54"/>
      <c r="T265" s="54"/>
      <c r="U265" s="54"/>
      <c r="V265" s="44"/>
      <c r="W265" s="27"/>
      <c r="Z265" s="27"/>
      <c r="AA265" s="8"/>
      <c r="AB265" s="81" t="str">
        <f t="shared" si="163"/>
        <v/>
      </c>
      <c r="AC265" s="6" t="str">
        <f t="shared" si="164"/>
        <v/>
      </c>
      <c r="AD265" s="1" t="str">
        <f t="shared" ca="1" si="165"/>
        <v/>
      </c>
      <c r="AE265" s="75" t="str">
        <f t="shared" si="166"/>
        <v/>
      </c>
      <c r="AF265" s="75" t="str">
        <f t="shared" si="167"/>
        <v/>
      </c>
      <c r="AG265" s="4" t="str">
        <f t="shared" si="168"/>
        <v/>
      </c>
      <c r="AH265" s="4" t="str">
        <f t="shared" si="169"/>
        <v/>
      </c>
      <c r="AI265" s="4" t="str">
        <f t="shared" si="170"/>
        <v/>
      </c>
      <c r="AJ265" s="4" t="str">
        <f t="shared" si="171"/>
        <v/>
      </c>
      <c r="AK265" s="4" t="str">
        <f t="shared" si="172"/>
        <v/>
      </c>
      <c r="AL265" s="2" t="str">
        <f t="shared" si="173"/>
        <v/>
      </c>
      <c r="AM265" s="6" t="str">
        <f t="shared" si="174"/>
        <v/>
      </c>
      <c r="AN265" s="4" t="str">
        <f t="shared" si="175"/>
        <v/>
      </c>
      <c r="AO265" s="4" t="str">
        <f t="shared" si="176"/>
        <v/>
      </c>
      <c r="AP265" s="4" t="str">
        <f t="shared" si="177"/>
        <v/>
      </c>
      <c r="AQ265" s="4" t="str">
        <f t="shared" si="178"/>
        <v/>
      </c>
      <c r="AR265" s="4" t="str">
        <f t="shared" si="179"/>
        <v/>
      </c>
    </row>
    <row r="266" spans="8:44" s="1" customFormat="1" ht="14.25" x14ac:dyDescent="0.3">
      <c r="H266" s="50"/>
      <c r="J266" s="54"/>
      <c r="L266" s="54"/>
      <c r="R266" s="45"/>
      <c r="S266" s="54"/>
      <c r="T266" s="54"/>
      <c r="U266" s="54"/>
      <c r="V266" s="44"/>
      <c r="W266" s="27"/>
      <c r="Z266" s="27"/>
      <c r="AA266" s="8"/>
      <c r="AB266" s="81" t="str">
        <f t="shared" si="163"/>
        <v/>
      </c>
      <c r="AC266" s="6" t="str">
        <f t="shared" si="164"/>
        <v/>
      </c>
      <c r="AD266" s="1" t="str">
        <f t="shared" ca="1" si="165"/>
        <v/>
      </c>
      <c r="AE266" s="75" t="str">
        <f t="shared" si="166"/>
        <v/>
      </c>
      <c r="AF266" s="75" t="str">
        <f t="shared" si="167"/>
        <v/>
      </c>
      <c r="AG266" s="4" t="str">
        <f t="shared" si="168"/>
        <v/>
      </c>
      <c r="AH266" s="4" t="str">
        <f t="shared" si="169"/>
        <v/>
      </c>
      <c r="AI266" s="4" t="str">
        <f t="shared" si="170"/>
        <v/>
      </c>
      <c r="AJ266" s="4" t="str">
        <f t="shared" si="171"/>
        <v/>
      </c>
      <c r="AK266" s="4" t="str">
        <f t="shared" si="172"/>
        <v/>
      </c>
      <c r="AL266" s="2" t="str">
        <f t="shared" si="173"/>
        <v/>
      </c>
      <c r="AM266" s="6" t="str">
        <f t="shared" si="174"/>
        <v/>
      </c>
      <c r="AN266" s="4" t="str">
        <f t="shared" si="175"/>
        <v/>
      </c>
      <c r="AO266" s="4" t="str">
        <f t="shared" si="176"/>
        <v/>
      </c>
      <c r="AP266" s="4" t="str">
        <f t="shared" si="177"/>
        <v/>
      </c>
      <c r="AQ266" s="4" t="str">
        <f t="shared" si="178"/>
        <v/>
      </c>
      <c r="AR266" s="4" t="str">
        <f t="shared" si="179"/>
        <v/>
      </c>
    </row>
    <row r="267" spans="8:44" s="1" customFormat="1" ht="14.25" x14ac:dyDescent="0.3">
      <c r="H267" s="50"/>
      <c r="J267" s="54"/>
      <c r="L267" s="54"/>
      <c r="R267" s="45"/>
      <c r="S267" s="54"/>
      <c r="T267" s="54"/>
      <c r="U267" s="54"/>
      <c r="V267" s="44"/>
      <c r="W267" s="27"/>
      <c r="Z267" s="27"/>
      <c r="AA267" s="8"/>
      <c r="AB267" s="81" t="str">
        <f t="shared" si="163"/>
        <v/>
      </c>
      <c r="AC267" s="6" t="str">
        <f t="shared" si="164"/>
        <v/>
      </c>
      <c r="AD267" s="1" t="str">
        <f t="shared" ca="1" si="165"/>
        <v/>
      </c>
      <c r="AE267" s="75" t="str">
        <f t="shared" si="166"/>
        <v/>
      </c>
      <c r="AF267" s="75" t="str">
        <f t="shared" si="167"/>
        <v/>
      </c>
      <c r="AG267" s="4" t="str">
        <f t="shared" si="168"/>
        <v/>
      </c>
      <c r="AH267" s="4" t="str">
        <f t="shared" si="169"/>
        <v/>
      </c>
      <c r="AI267" s="4" t="str">
        <f t="shared" si="170"/>
        <v/>
      </c>
      <c r="AJ267" s="4" t="str">
        <f t="shared" si="171"/>
        <v/>
      </c>
      <c r="AK267" s="4" t="str">
        <f t="shared" si="172"/>
        <v/>
      </c>
      <c r="AL267" s="2" t="str">
        <f t="shared" si="173"/>
        <v/>
      </c>
      <c r="AM267" s="6" t="str">
        <f t="shared" si="174"/>
        <v/>
      </c>
      <c r="AN267" s="4" t="str">
        <f t="shared" si="175"/>
        <v/>
      </c>
      <c r="AO267" s="4" t="str">
        <f t="shared" si="176"/>
        <v/>
      </c>
      <c r="AP267" s="4" t="str">
        <f t="shared" si="177"/>
        <v/>
      </c>
      <c r="AQ267" s="4" t="str">
        <f t="shared" si="178"/>
        <v/>
      </c>
      <c r="AR267" s="4" t="str">
        <f t="shared" si="179"/>
        <v/>
      </c>
    </row>
    <row r="268" spans="8:44" s="1" customFormat="1" ht="14.25" x14ac:dyDescent="0.3">
      <c r="H268" s="50"/>
      <c r="J268" s="54"/>
      <c r="L268" s="54"/>
      <c r="R268" s="45"/>
      <c r="S268" s="54"/>
      <c r="T268" s="54"/>
      <c r="U268" s="54"/>
      <c r="V268" s="44"/>
      <c r="W268" s="27"/>
      <c r="Z268" s="27"/>
      <c r="AA268" s="8"/>
      <c r="AB268" s="81" t="str">
        <f t="shared" si="163"/>
        <v/>
      </c>
      <c r="AC268" s="6" t="str">
        <f t="shared" si="164"/>
        <v/>
      </c>
      <c r="AD268" s="1" t="str">
        <f t="shared" ca="1" si="165"/>
        <v/>
      </c>
      <c r="AE268" s="75" t="str">
        <f t="shared" si="166"/>
        <v/>
      </c>
      <c r="AF268" s="75" t="str">
        <f t="shared" si="167"/>
        <v/>
      </c>
      <c r="AG268" s="4" t="str">
        <f t="shared" si="168"/>
        <v/>
      </c>
      <c r="AH268" s="4" t="str">
        <f t="shared" si="169"/>
        <v/>
      </c>
      <c r="AI268" s="4" t="str">
        <f t="shared" si="170"/>
        <v/>
      </c>
      <c r="AJ268" s="4" t="str">
        <f t="shared" si="171"/>
        <v/>
      </c>
      <c r="AK268" s="4" t="str">
        <f t="shared" si="172"/>
        <v/>
      </c>
      <c r="AL268" s="2" t="str">
        <f t="shared" si="173"/>
        <v/>
      </c>
      <c r="AM268" s="6" t="str">
        <f t="shared" si="174"/>
        <v/>
      </c>
      <c r="AN268" s="4" t="str">
        <f t="shared" si="175"/>
        <v/>
      </c>
      <c r="AO268" s="4" t="str">
        <f t="shared" si="176"/>
        <v/>
      </c>
      <c r="AP268" s="4" t="str">
        <f t="shared" si="177"/>
        <v/>
      </c>
      <c r="AQ268" s="4" t="str">
        <f t="shared" si="178"/>
        <v/>
      </c>
      <c r="AR268" s="4" t="str">
        <f t="shared" si="179"/>
        <v/>
      </c>
    </row>
    <row r="269" spans="8:44" s="1" customFormat="1" ht="14.25" x14ac:dyDescent="0.3">
      <c r="H269" s="50"/>
      <c r="J269" s="54"/>
      <c r="L269" s="54"/>
      <c r="R269" s="45"/>
      <c r="S269" s="54"/>
      <c r="T269" s="54"/>
      <c r="U269" s="54"/>
      <c r="V269" s="44"/>
      <c r="W269" s="27"/>
      <c r="Z269" s="27"/>
      <c r="AA269" s="8"/>
      <c r="AB269" s="81" t="str">
        <f t="shared" si="163"/>
        <v/>
      </c>
      <c r="AC269" s="6" t="str">
        <f t="shared" si="164"/>
        <v/>
      </c>
      <c r="AD269" s="1" t="str">
        <f t="shared" ca="1" si="165"/>
        <v/>
      </c>
      <c r="AE269" s="75" t="str">
        <f t="shared" si="166"/>
        <v/>
      </c>
      <c r="AF269" s="75" t="str">
        <f t="shared" si="167"/>
        <v/>
      </c>
      <c r="AG269" s="4" t="str">
        <f t="shared" si="168"/>
        <v/>
      </c>
      <c r="AH269" s="4" t="str">
        <f t="shared" si="169"/>
        <v/>
      </c>
      <c r="AI269" s="4" t="str">
        <f t="shared" si="170"/>
        <v/>
      </c>
      <c r="AJ269" s="4" t="str">
        <f t="shared" si="171"/>
        <v/>
      </c>
      <c r="AK269" s="4" t="str">
        <f t="shared" si="172"/>
        <v/>
      </c>
      <c r="AL269" s="2" t="str">
        <f t="shared" si="173"/>
        <v/>
      </c>
      <c r="AM269" s="6" t="str">
        <f t="shared" si="174"/>
        <v/>
      </c>
      <c r="AN269" s="4" t="str">
        <f t="shared" si="175"/>
        <v/>
      </c>
      <c r="AO269" s="4" t="str">
        <f t="shared" si="176"/>
        <v/>
      </c>
      <c r="AP269" s="4" t="str">
        <f t="shared" si="177"/>
        <v/>
      </c>
      <c r="AQ269" s="4" t="str">
        <f t="shared" si="178"/>
        <v/>
      </c>
      <c r="AR269" s="4" t="str">
        <f t="shared" si="179"/>
        <v/>
      </c>
    </row>
    <row r="270" spans="8:44" s="1" customFormat="1" ht="14.25" x14ac:dyDescent="0.3">
      <c r="H270" s="50"/>
      <c r="J270" s="54"/>
      <c r="L270" s="54"/>
      <c r="R270" s="45"/>
      <c r="S270" s="54"/>
      <c r="T270" s="54"/>
      <c r="U270" s="54"/>
      <c r="V270" s="44"/>
      <c r="W270" s="27"/>
      <c r="Z270" s="27"/>
      <c r="AA270" s="8"/>
      <c r="AB270" s="81" t="str">
        <f t="shared" si="163"/>
        <v/>
      </c>
      <c r="AC270" s="6" t="str">
        <f t="shared" si="164"/>
        <v/>
      </c>
      <c r="AD270" s="1" t="str">
        <f t="shared" ca="1" si="165"/>
        <v/>
      </c>
      <c r="AE270" s="75" t="str">
        <f t="shared" si="166"/>
        <v/>
      </c>
      <c r="AF270" s="75" t="str">
        <f t="shared" si="167"/>
        <v/>
      </c>
      <c r="AG270" s="4" t="str">
        <f t="shared" si="168"/>
        <v/>
      </c>
      <c r="AH270" s="4" t="str">
        <f t="shared" si="169"/>
        <v/>
      </c>
      <c r="AI270" s="4" t="str">
        <f t="shared" si="170"/>
        <v/>
      </c>
      <c r="AJ270" s="4" t="str">
        <f t="shared" si="171"/>
        <v/>
      </c>
      <c r="AK270" s="4" t="str">
        <f t="shared" si="172"/>
        <v/>
      </c>
      <c r="AL270" s="2" t="str">
        <f t="shared" si="173"/>
        <v/>
      </c>
      <c r="AM270" s="6" t="str">
        <f t="shared" si="174"/>
        <v/>
      </c>
      <c r="AN270" s="4" t="str">
        <f t="shared" si="175"/>
        <v/>
      </c>
      <c r="AO270" s="4" t="str">
        <f t="shared" si="176"/>
        <v/>
      </c>
      <c r="AP270" s="4" t="str">
        <f t="shared" si="177"/>
        <v/>
      </c>
      <c r="AQ270" s="4" t="str">
        <f t="shared" si="178"/>
        <v/>
      </c>
      <c r="AR270" s="4" t="str">
        <f t="shared" si="179"/>
        <v/>
      </c>
    </row>
    <row r="271" spans="8:44" s="1" customFormat="1" ht="14.25" x14ac:dyDescent="0.3">
      <c r="H271" s="50"/>
      <c r="J271" s="54"/>
      <c r="L271" s="54"/>
      <c r="R271" s="45"/>
      <c r="S271" s="54"/>
      <c r="T271" s="54"/>
      <c r="U271" s="54"/>
      <c r="V271" s="44"/>
      <c r="W271" s="27"/>
      <c r="Z271" s="27"/>
      <c r="AA271" s="8"/>
      <c r="AB271" s="81" t="str">
        <f t="shared" si="163"/>
        <v/>
      </c>
      <c r="AC271" s="6" t="str">
        <f t="shared" si="164"/>
        <v/>
      </c>
      <c r="AD271" s="1" t="str">
        <f t="shared" ca="1" si="165"/>
        <v/>
      </c>
      <c r="AE271" s="75" t="str">
        <f t="shared" si="166"/>
        <v/>
      </c>
      <c r="AF271" s="75" t="str">
        <f t="shared" si="167"/>
        <v/>
      </c>
      <c r="AG271" s="4" t="str">
        <f t="shared" si="168"/>
        <v/>
      </c>
      <c r="AH271" s="4" t="str">
        <f t="shared" si="169"/>
        <v/>
      </c>
      <c r="AI271" s="4" t="str">
        <f t="shared" si="170"/>
        <v/>
      </c>
      <c r="AJ271" s="4" t="str">
        <f t="shared" si="171"/>
        <v/>
      </c>
      <c r="AK271" s="4" t="str">
        <f t="shared" si="172"/>
        <v/>
      </c>
      <c r="AL271" s="2" t="str">
        <f t="shared" si="173"/>
        <v/>
      </c>
      <c r="AM271" s="6" t="str">
        <f t="shared" si="174"/>
        <v/>
      </c>
      <c r="AN271" s="4" t="str">
        <f t="shared" si="175"/>
        <v/>
      </c>
      <c r="AO271" s="4" t="str">
        <f t="shared" si="176"/>
        <v/>
      </c>
      <c r="AP271" s="4" t="str">
        <f t="shared" si="177"/>
        <v/>
      </c>
      <c r="AQ271" s="4" t="str">
        <f t="shared" si="178"/>
        <v/>
      </c>
      <c r="AR271" s="4" t="str">
        <f t="shared" si="179"/>
        <v/>
      </c>
    </row>
    <row r="272" spans="8:44" s="1" customFormat="1" ht="14.25" x14ac:dyDescent="0.3">
      <c r="H272" s="50"/>
      <c r="J272" s="54"/>
      <c r="L272" s="54"/>
      <c r="R272" s="45"/>
      <c r="S272" s="54"/>
      <c r="T272" s="54"/>
      <c r="U272" s="54"/>
      <c r="V272" s="44"/>
      <c r="W272" s="27"/>
      <c r="Z272" s="27"/>
      <c r="AA272" s="8"/>
      <c r="AB272" s="81" t="str">
        <f t="shared" si="163"/>
        <v/>
      </c>
      <c r="AC272" s="6" t="str">
        <f t="shared" si="164"/>
        <v/>
      </c>
      <c r="AD272" s="1" t="str">
        <f t="shared" ca="1" si="165"/>
        <v/>
      </c>
      <c r="AE272" s="75" t="str">
        <f t="shared" si="166"/>
        <v/>
      </c>
      <c r="AF272" s="75" t="str">
        <f t="shared" si="167"/>
        <v/>
      </c>
      <c r="AG272" s="4" t="str">
        <f t="shared" si="168"/>
        <v/>
      </c>
      <c r="AH272" s="4" t="str">
        <f t="shared" si="169"/>
        <v/>
      </c>
      <c r="AI272" s="4" t="str">
        <f t="shared" si="170"/>
        <v/>
      </c>
      <c r="AJ272" s="4" t="str">
        <f t="shared" si="171"/>
        <v/>
      </c>
      <c r="AK272" s="4" t="str">
        <f t="shared" si="172"/>
        <v/>
      </c>
      <c r="AL272" s="2" t="str">
        <f t="shared" si="173"/>
        <v/>
      </c>
      <c r="AM272" s="6" t="str">
        <f t="shared" si="174"/>
        <v/>
      </c>
      <c r="AN272" s="4" t="str">
        <f t="shared" si="175"/>
        <v/>
      </c>
      <c r="AO272" s="4" t="str">
        <f t="shared" si="176"/>
        <v/>
      </c>
      <c r="AP272" s="4" t="str">
        <f t="shared" si="177"/>
        <v/>
      </c>
      <c r="AQ272" s="4" t="str">
        <f t="shared" si="178"/>
        <v/>
      </c>
      <c r="AR272" s="4" t="str">
        <f t="shared" si="179"/>
        <v/>
      </c>
    </row>
    <row r="273" spans="8:44" s="1" customFormat="1" ht="14.25" x14ac:dyDescent="0.3">
      <c r="H273" s="50"/>
      <c r="J273" s="54"/>
      <c r="L273" s="54"/>
      <c r="R273" s="45"/>
      <c r="S273" s="54"/>
      <c r="T273" s="54"/>
      <c r="U273" s="54"/>
      <c r="V273" s="44"/>
      <c r="W273" s="27"/>
      <c r="Z273" s="27"/>
      <c r="AA273" s="8"/>
      <c r="AB273" s="81" t="str">
        <f t="shared" si="163"/>
        <v/>
      </c>
      <c r="AC273" s="6" t="str">
        <f t="shared" si="164"/>
        <v/>
      </c>
      <c r="AD273" s="1" t="str">
        <f t="shared" ca="1" si="165"/>
        <v/>
      </c>
      <c r="AE273" s="75" t="str">
        <f t="shared" si="166"/>
        <v/>
      </c>
      <c r="AF273" s="75" t="str">
        <f t="shared" si="167"/>
        <v/>
      </c>
      <c r="AG273" s="4" t="str">
        <f t="shared" si="168"/>
        <v/>
      </c>
      <c r="AH273" s="4" t="str">
        <f t="shared" si="169"/>
        <v/>
      </c>
      <c r="AI273" s="4" t="str">
        <f t="shared" si="170"/>
        <v/>
      </c>
      <c r="AJ273" s="4" t="str">
        <f t="shared" si="171"/>
        <v/>
      </c>
      <c r="AK273" s="4" t="str">
        <f t="shared" si="172"/>
        <v/>
      </c>
      <c r="AL273" s="2" t="str">
        <f t="shared" si="173"/>
        <v/>
      </c>
      <c r="AM273" s="6" t="str">
        <f t="shared" si="174"/>
        <v/>
      </c>
      <c r="AN273" s="4" t="str">
        <f t="shared" si="175"/>
        <v/>
      </c>
      <c r="AO273" s="4" t="str">
        <f t="shared" si="176"/>
        <v/>
      </c>
      <c r="AP273" s="4" t="str">
        <f t="shared" si="177"/>
        <v/>
      </c>
      <c r="AQ273" s="4" t="str">
        <f t="shared" si="178"/>
        <v/>
      </c>
      <c r="AR273" s="4" t="str">
        <f t="shared" si="179"/>
        <v/>
      </c>
    </row>
    <row r="274" spans="8:44" s="1" customFormat="1" ht="14.25" x14ac:dyDescent="0.3">
      <c r="H274" s="50"/>
      <c r="J274" s="54"/>
      <c r="L274" s="54"/>
      <c r="R274" s="45"/>
      <c r="S274" s="54"/>
      <c r="T274" s="54"/>
      <c r="U274" s="54"/>
      <c r="V274" s="44"/>
      <c r="W274" s="27"/>
      <c r="Z274" s="27"/>
      <c r="AA274" s="8"/>
      <c r="AB274" s="81" t="str">
        <f t="shared" si="163"/>
        <v/>
      </c>
      <c r="AC274" s="6" t="str">
        <f t="shared" si="164"/>
        <v/>
      </c>
      <c r="AD274" s="1" t="str">
        <f t="shared" ca="1" si="165"/>
        <v/>
      </c>
      <c r="AE274" s="75" t="str">
        <f t="shared" si="166"/>
        <v/>
      </c>
      <c r="AF274" s="75" t="str">
        <f t="shared" si="167"/>
        <v/>
      </c>
      <c r="AG274" s="4" t="str">
        <f t="shared" si="168"/>
        <v/>
      </c>
      <c r="AH274" s="4" t="str">
        <f t="shared" si="169"/>
        <v/>
      </c>
      <c r="AI274" s="4" t="str">
        <f t="shared" si="170"/>
        <v/>
      </c>
      <c r="AJ274" s="4" t="str">
        <f t="shared" si="171"/>
        <v/>
      </c>
      <c r="AK274" s="4" t="str">
        <f t="shared" si="172"/>
        <v/>
      </c>
      <c r="AL274" s="2" t="str">
        <f t="shared" si="173"/>
        <v/>
      </c>
      <c r="AM274" s="6" t="str">
        <f t="shared" si="174"/>
        <v/>
      </c>
      <c r="AN274" s="4" t="str">
        <f t="shared" si="175"/>
        <v/>
      </c>
      <c r="AO274" s="4" t="str">
        <f t="shared" si="176"/>
        <v/>
      </c>
      <c r="AP274" s="4" t="str">
        <f t="shared" si="177"/>
        <v/>
      </c>
      <c r="AQ274" s="4" t="str">
        <f t="shared" si="178"/>
        <v/>
      </c>
      <c r="AR274" s="4" t="str">
        <f t="shared" si="179"/>
        <v/>
      </c>
    </row>
    <row r="275" spans="8:44" s="1" customFormat="1" ht="14.25" x14ac:dyDescent="0.3">
      <c r="H275" s="50"/>
      <c r="J275" s="54"/>
      <c r="L275" s="54"/>
      <c r="R275" s="45"/>
      <c r="S275" s="54"/>
      <c r="T275" s="54"/>
      <c r="U275" s="54"/>
      <c r="V275" s="44"/>
      <c r="W275" s="27"/>
      <c r="Z275" s="27"/>
      <c r="AA275" s="8"/>
      <c r="AB275" s="81" t="str">
        <f t="shared" si="163"/>
        <v/>
      </c>
      <c r="AC275" s="6" t="str">
        <f t="shared" si="164"/>
        <v/>
      </c>
      <c r="AD275" s="1" t="str">
        <f t="shared" ca="1" si="165"/>
        <v/>
      </c>
      <c r="AE275" s="75" t="str">
        <f t="shared" si="166"/>
        <v/>
      </c>
      <c r="AF275" s="75" t="str">
        <f t="shared" si="167"/>
        <v/>
      </c>
      <c r="AG275" s="4" t="str">
        <f t="shared" si="168"/>
        <v/>
      </c>
      <c r="AH275" s="4" t="str">
        <f t="shared" si="169"/>
        <v/>
      </c>
      <c r="AI275" s="4" t="str">
        <f t="shared" si="170"/>
        <v/>
      </c>
      <c r="AJ275" s="4" t="str">
        <f t="shared" si="171"/>
        <v/>
      </c>
      <c r="AK275" s="4" t="str">
        <f t="shared" si="172"/>
        <v/>
      </c>
      <c r="AL275" s="2" t="str">
        <f t="shared" si="173"/>
        <v/>
      </c>
      <c r="AM275" s="6" t="str">
        <f t="shared" si="174"/>
        <v/>
      </c>
      <c r="AN275" s="4" t="str">
        <f t="shared" si="175"/>
        <v/>
      </c>
      <c r="AO275" s="4" t="str">
        <f t="shared" si="176"/>
        <v/>
      </c>
      <c r="AP275" s="4" t="str">
        <f t="shared" si="177"/>
        <v/>
      </c>
      <c r="AQ275" s="4" t="str">
        <f t="shared" si="178"/>
        <v/>
      </c>
      <c r="AR275" s="4" t="str">
        <f t="shared" si="179"/>
        <v/>
      </c>
    </row>
    <row r="276" spans="8:44" s="1" customFormat="1" ht="14.25" x14ac:dyDescent="0.3">
      <c r="H276" s="50"/>
      <c r="J276" s="54"/>
      <c r="L276" s="54"/>
      <c r="R276" s="45"/>
      <c r="S276" s="54"/>
      <c r="T276" s="54"/>
      <c r="U276" s="54"/>
      <c r="V276" s="44"/>
      <c r="W276" s="27"/>
      <c r="Z276" s="27"/>
      <c r="AA276" s="8"/>
      <c r="AB276" s="81" t="str">
        <f t="shared" si="163"/>
        <v/>
      </c>
      <c r="AC276" s="6" t="str">
        <f t="shared" si="164"/>
        <v/>
      </c>
      <c r="AD276" s="1" t="str">
        <f t="shared" ca="1" si="165"/>
        <v/>
      </c>
      <c r="AE276" s="75" t="str">
        <f t="shared" si="166"/>
        <v/>
      </c>
      <c r="AF276" s="75" t="str">
        <f t="shared" si="167"/>
        <v/>
      </c>
      <c r="AG276" s="4" t="str">
        <f t="shared" si="168"/>
        <v/>
      </c>
      <c r="AH276" s="4" t="str">
        <f t="shared" si="169"/>
        <v/>
      </c>
      <c r="AI276" s="4" t="str">
        <f t="shared" si="170"/>
        <v/>
      </c>
      <c r="AJ276" s="4" t="str">
        <f t="shared" si="171"/>
        <v/>
      </c>
      <c r="AK276" s="4" t="str">
        <f t="shared" si="172"/>
        <v/>
      </c>
      <c r="AL276" s="2" t="str">
        <f t="shared" si="173"/>
        <v/>
      </c>
      <c r="AM276" s="6" t="str">
        <f t="shared" si="174"/>
        <v/>
      </c>
      <c r="AN276" s="4" t="str">
        <f t="shared" si="175"/>
        <v/>
      </c>
      <c r="AO276" s="4" t="str">
        <f t="shared" si="176"/>
        <v/>
      </c>
      <c r="AP276" s="4" t="str">
        <f t="shared" si="177"/>
        <v/>
      </c>
      <c r="AQ276" s="4" t="str">
        <f t="shared" si="178"/>
        <v/>
      </c>
      <c r="AR276" s="4" t="str">
        <f t="shared" si="179"/>
        <v/>
      </c>
    </row>
    <row r="277" spans="8:44" s="1" customFormat="1" ht="14.25" x14ac:dyDescent="0.3">
      <c r="H277" s="50"/>
      <c r="J277" s="54"/>
      <c r="L277" s="54"/>
      <c r="R277" s="45"/>
      <c r="S277" s="54"/>
      <c r="T277" s="54"/>
      <c r="U277" s="54"/>
      <c r="V277" s="44"/>
      <c r="W277" s="27"/>
      <c r="Z277" s="27"/>
      <c r="AA277" s="8"/>
      <c r="AB277" s="81" t="str">
        <f t="shared" si="163"/>
        <v/>
      </c>
      <c r="AC277" s="6" t="str">
        <f t="shared" si="164"/>
        <v/>
      </c>
      <c r="AD277" s="1" t="str">
        <f t="shared" ca="1" si="165"/>
        <v/>
      </c>
      <c r="AE277" s="75" t="str">
        <f t="shared" si="166"/>
        <v/>
      </c>
      <c r="AF277" s="75" t="str">
        <f t="shared" si="167"/>
        <v/>
      </c>
      <c r="AG277" s="4" t="str">
        <f t="shared" si="168"/>
        <v/>
      </c>
      <c r="AH277" s="4" t="str">
        <f t="shared" si="169"/>
        <v/>
      </c>
      <c r="AI277" s="4" t="str">
        <f t="shared" si="170"/>
        <v/>
      </c>
      <c r="AJ277" s="4" t="str">
        <f t="shared" si="171"/>
        <v/>
      </c>
      <c r="AK277" s="4" t="str">
        <f t="shared" si="172"/>
        <v/>
      </c>
      <c r="AL277" s="2" t="str">
        <f t="shared" si="173"/>
        <v/>
      </c>
      <c r="AM277" s="6" t="str">
        <f t="shared" si="174"/>
        <v/>
      </c>
      <c r="AN277" s="4" t="str">
        <f t="shared" si="175"/>
        <v/>
      </c>
      <c r="AO277" s="4" t="str">
        <f t="shared" si="176"/>
        <v/>
      </c>
      <c r="AP277" s="4" t="str">
        <f t="shared" si="177"/>
        <v/>
      </c>
      <c r="AQ277" s="4" t="str">
        <f t="shared" si="178"/>
        <v/>
      </c>
      <c r="AR277" s="4" t="str">
        <f t="shared" si="179"/>
        <v/>
      </c>
    </row>
    <row r="278" spans="8:44" s="1" customFormat="1" ht="14.25" x14ac:dyDescent="0.3">
      <c r="H278" s="50"/>
      <c r="J278" s="54"/>
      <c r="L278" s="54"/>
      <c r="R278" s="45"/>
      <c r="S278" s="54"/>
      <c r="T278" s="54"/>
      <c r="U278" s="54"/>
      <c r="V278" s="44"/>
      <c r="W278" s="27"/>
      <c r="Z278" s="27"/>
      <c r="AA278" s="8"/>
      <c r="AB278" s="81" t="str">
        <f t="shared" si="163"/>
        <v/>
      </c>
      <c r="AC278" s="6" t="str">
        <f t="shared" si="164"/>
        <v/>
      </c>
      <c r="AD278" s="1" t="str">
        <f t="shared" ca="1" si="165"/>
        <v/>
      </c>
      <c r="AE278" s="75" t="str">
        <f t="shared" si="166"/>
        <v/>
      </c>
      <c r="AF278" s="75" t="str">
        <f t="shared" si="167"/>
        <v/>
      </c>
      <c r="AG278" s="4" t="str">
        <f t="shared" si="168"/>
        <v/>
      </c>
      <c r="AH278" s="4" t="str">
        <f t="shared" si="169"/>
        <v/>
      </c>
      <c r="AI278" s="4" t="str">
        <f t="shared" si="170"/>
        <v/>
      </c>
      <c r="AJ278" s="4" t="str">
        <f t="shared" si="171"/>
        <v/>
      </c>
      <c r="AK278" s="4" t="str">
        <f t="shared" si="172"/>
        <v/>
      </c>
      <c r="AL278" s="2" t="str">
        <f t="shared" si="173"/>
        <v/>
      </c>
      <c r="AM278" s="6" t="str">
        <f t="shared" si="174"/>
        <v/>
      </c>
      <c r="AN278" s="4" t="str">
        <f t="shared" si="175"/>
        <v/>
      </c>
      <c r="AO278" s="4" t="str">
        <f t="shared" si="176"/>
        <v/>
      </c>
      <c r="AP278" s="4" t="str">
        <f t="shared" si="177"/>
        <v/>
      </c>
      <c r="AQ278" s="4" t="str">
        <f t="shared" si="178"/>
        <v/>
      </c>
      <c r="AR278" s="4" t="str">
        <f t="shared" si="179"/>
        <v/>
      </c>
    </row>
    <row r="279" spans="8:44" s="1" customFormat="1" ht="14.25" x14ac:dyDescent="0.3">
      <c r="H279" s="50"/>
      <c r="J279" s="54"/>
      <c r="L279" s="54"/>
      <c r="R279" s="45"/>
      <c r="S279" s="54"/>
      <c r="T279" s="54"/>
      <c r="U279" s="54"/>
      <c r="V279" s="44"/>
      <c r="W279" s="27"/>
      <c r="Z279" s="27"/>
      <c r="AA279" s="8"/>
      <c r="AB279" s="81" t="str">
        <f t="shared" si="163"/>
        <v/>
      </c>
      <c r="AC279" s="6" t="str">
        <f t="shared" si="164"/>
        <v/>
      </c>
      <c r="AD279" s="1" t="str">
        <f t="shared" ca="1" si="165"/>
        <v/>
      </c>
      <c r="AE279" s="75" t="str">
        <f t="shared" si="166"/>
        <v/>
      </c>
      <c r="AF279" s="75" t="str">
        <f t="shared" si="167"/>
        <v/>
      </c>
      <c r="AG279" s="4" t="str">
        <f t="shared" si="168"/>
        <v/>
      </c>
      <c r="AH279" s="4" t="str">
        <f t="shared" si="169"/>
        <v/>
      </c>
      <c r="AI279" s="4" t="str">
        <f t="shared" si="170"/>
        <v/>
      </c>
      <c r="AJ279" s="4" t="str">
        <f t="shared" si="171"/>
        <v/>
      </c>
      <c r="AK279" s="4" t="str">
        <f t="shared" si="172"/>
        <v/>
      </c>
      <c r="AL279" s="2" t="str">
        <f t="shared" si="173"/>
        <v/>
      </c>
      <c r="AM279" s="6" t="str">
        <f t="shared" si="174"/>
        <v/>
      </c>
      <c r="AN279" s="4" t="str">
        <f t="shared" si="175"/>
        <v/>
      </c>
      <c r="AO279" s="4" t="str">
        <f t="shared" si="176"/>
        <v/>
      </c>
      <c r="AP279" s="4" t="str">
        <f t="shared" si="177"/>
        <v/>
      </c>
      <c r="AQ279" s="4" t="str">
        <f t="shared" si="178"/>
        <v/>
      </c>
      <c r="AR279" s="4" t="str">
        <f t="shared" si="179"/>
        <v/>
      </c>
    </row>
    <row r="280" spans="8:44" s="1" customFormat="1" ht="14.25" x14ac:dyDescent="0.3">
      <c r="H280" s="50"/>
      <c r="J280" s="54"/>
      <c r="L280" s="54"/>
      <c r="R280" s="45"/>
      <c r="S280" s="54"/>
      <c r="T280" s="54"/>
      <c r="U280" s="54"/>
      <c r="V280" s="44"/>
      <c r="W280" s="27"/>
      <c r="Z280" s="27"/>
      <c r="AA280" s="8"/>
      <c r="AB280" s="81" t="str">
        <f t="shared" si="163"/>
        <v/>
      </c>
      <c r="AC280" s="6" t="str">
        <f t="shared" si="164"/>
        <v/>
      </c>
      <c r="AD280" s="1" t="str">
        <f t="shared" ca="1" si="165"/>
        <v/>
      </c>
      <c r="AE280" s="75" t="str">
        <f t="shared" si="166"/>
        <v/>
      </c>
      <c r="AF280" s="75" t="str">
        <f t="shared" si="167"/>
        <v/>
      </c>
      <c r="AG280" s="4" t="str">
        <f t="shared" si="168"/>
        <v/>
      </c>
      <c r="AH280" s="4" t="str">
        <f t="shared" si="169"/>
        <v/>
      </c>
      <c r="AI280" s="4" t="str">
        <f t="shared" si="170"/>
        <v/>
      </c>
      <c r="AJ280" s="4" t="str">
        <f t="shared" si="171"/>
        <v/>
      </c>
      <c r="AK280" s="4" t="str">
        <f t="shared" si="172"/>
        <v/>
      </c>
      <c r="AL280" s="2" t="str">
        <f t="shared" si="173"/>
        <v/>
      </c>
      <c r="AM280" s="6" t="str">
        <f t="shared" si="174"/>
        <v/>
      </c>
      <c r="AN280" s="4" t="str">
        <f t="shared" si="175"/>
        <v/>
      </c>
      <c r="AO280" s="4" t="str">
        <f t="shared" si="176"/>
        <v/>
      </c>
      <c r="AP280" s="4" t="str">
        <f t="shared" si="177"/>
        <v/>
      </c>
      <c r="AQ280" s="4" t="str">
        <f t="shared" si="178"/>
        <v/>
      </c>
      <c r="AR280" s="4" t="str">
        <f t="shared" si="179"/>
        <v/>
      </c>
    </row>
    <row r="281" spans="8:44" s="1" customFormat="1" ht="14.25" x14ac:dyDescent="0.3">
      <c r="H281" s="50"/>
      <c r="J281" s="54"/>
      <c r="L281" s="54"/>
      <c r="R281" s="45"/>
      <c r="S281" s="54"/>
      <c r="T281" s="54"/>
      <c r="U281" s="54"/>
      <c r="V281" s="44"/>
      <c r="W281" s="27"/>
      <c r="Z281" s="27"/>
      <c r="AA281" s="8"/>
      <c r="AB281" s="81" t="str">
        <f t="shared" si="163"/>
        <v/>
      </c>
      <c r="AC281" s="6" t="str">
        <f t="shared" si="164"/>
        <v/>
      </c>
      <c r="AD281" s="1" t="str">
        <f t="shared" ca="1" si="165"/>
        <v/>
      </c>
      <c r="AE281" s="75" t="str">
        <f t="shared" si="166"/>
        <v/>
      </c>
      <c r="AF281" s="75" t="str">
        <f t="shared" si="167"/>
        <v/>
      </c>
      <c r="AG281" s="4" t="str">
        <f t="shared" si="168"/>
        <v/>
      </c>
      <c r="AH281" s="4" t="str">
        <f t="shared" si="169"/>
        <v/>
      </c>
      <c r="AI281" s="4" t="str">
        <f t="shared" si="170"/>
        <v/>
      </c>
      <c r="AJ281" s="4" t="str">
        <f t="shared" si="171"/>
        <v/>
      </c>
      <c r="AK281" s="4" t="str">
        <f t="shared" si="172"/>
        <v/>
      </c>
      <c r="AL281" s="2" t="str">
        <f t="shared" si="173"/>
        <v/>
      </c>
      <c r="AM281" s="6" t="str">
        <f t="shared" si="174"/>
        <v/>
      </c>
      <c r="AN281" s="4" t="str">
        <f t="shared" si="175"/>
        <v/>
      </c>
      <c r="AO281" s="4" t="str">
        <f t="shared" si="176"/>
        <v/>
      </c>
      <c r="AP281" s="4" t="str">
        <f t="shared" si="177"/>
        <v/>
      </c>
      <c r="AQ281" s="4" t="str">
        <f t="shared" si="178"/>
        <v/>
      </c>
      <c r="AR281" s="4" t="str">
        <f t="shared" si="179"/>
        <v/>
      </c>
    </row>
    <row r="282" spans="8:44" s="1" customFormat="1" ht="14.25" x14ac:dyDescent="0.3">
      <c r="H282" s="50"/>
      <c r="J282" s="54"/>
      <c r="L282" s="54"/>
      <c r="R282" s="45"/>
      <c r="S282" s="54"/>
      <c r="T282" s="54"/>
      <c r="U282" s="54"/>
      <c r="V282" s="44"/>
      <c r="W282" s="27"/>
      <c r="Z282" s="27"/>
      <c r="AA282" s="8"/>
      <c r="AB282" s="81" t="str">
        <f t="shared" si="163"/>
        <v/>
      </c>
      <c r="AC282" s="6" t="str">
        <f t="shared" si="164"/>
        <v/>
      </c>
      <c r="AD282" s="1" t="str">
        <f t="shared" ca="1" si="165"/>
        <v/>
      </c>
      <c r="AE282" s="75" t="str">
        <f t="shared" si="166"/>
        <v/>
      </c>
      <c r="AF282" s="75" t="str">
        <f t="shared" si="167"/>
        <v/>
      </c>
      <c r="AG282" s="4" t="str">
        <f t="shared" si="168"/>
        <v/>
      </c>
      <c r="AH282" s="4" t="str">
        <f t="shared" si="169"/>
        <v/>
      </c>
      <c r="AI282" s="4" t="str">
        <f t="shared" si="170"/>
        <v/>
      </c>
      <c r="AJ282" s="4" t="str">
        <f t="shared" si="171"/>
        <v/>
      </c>
      <c r="AK282" s="4" t="str">
        <f t="shared" si="172"/>
        <v/>
      </c>
      <c r="AL282" s="2" t="str">
        <f t="shared" si="173"/>
        <v/>
      </c>
      <c r="AM282" s="6" t="str">
        <f t="shared" si="174"/>
        <v/>
      </c>
      <c r="AN282" s="4" t="str">
        <f t="shared" si="175"/>
        <v/>
      </c>
      <c r="AO282" s="4" t="str">
        <f t="shared" si="176"/>
        <v/>
      </c>
      <c r="AP282" s="4" t="str">
        <f t="shared" si="177"/>
        <v/>
      </c>
      <c r="AQ282" s="4" t="str">
        <f t="shared" si="178"/>
        <v/>
      </c>
      <c r="AR282" s="4" t="str">
        <f t="shared" si="179"/>
        <v/>
      </c>
    </row>
    <row r="283" spans="8:44" s="1" customFormat="1" ht="14.25" x14ac:dyDescent="0.3">
      <c r="H283" s="50"/>
      <c r="J283" s="54"/>
      <c r="L283" s="54"/>
      <c r="R283" s="45"/>
      <c r="S283" s="54"/>
      <c r="T283" s="54"/>
      <c r="U283" s="54"/>
      <c r="V283" s="44"/>
      <c r="W283" s="27"/>
      <c r="Z283" s="27"/>
      <c r="AA283" s="8"/>
      <c r="AB283" s="81" t="str">
        <f t="shared" si="163"/>
        <v/>
      </c>
      <c r="AC283" s="6" t="str">
        <f t="shared" si="164"/>
        <v/>
      </c>
      <c r="AD283" s="1" t="str">
        <f t="shared" ca="1" si="165"/>
        <v/>
      </c>
      <c r="AE283" s="75" t="str">
        <f t="shared" si="166"/>
        <v/>
      </c>
      <c r="AF283" s="75" t="str">
        <f t="shared" si="167"/>
        <v/>
      </c>
      <c r="AG283" s="4" t="str">
        <f t="shared" si="168"/>
        <v/>
      </c>
      <c r="AH283" s="4" t="str">
        <f t="shared" si="169"/>
        <v/>
      </c>
      <c r="AI283" s="4" t="str">
        <f t="shared" si="170"/>
        <v/>
      </c>
      <c r="AJ283" s="4" t="str">
        <f t="shared" si="171"/>
        <v/>
      </c>
      <c r="AK283" s="4" t="str">
        <f t="shared" si="172"/>
        <v/>
      </c>
      <c r="AL283" s="2" t="str">
        <f t="shared" si="173"/>
        <v/>
      </c>
      <c r="AM283" s="6" t="str">
        <f t="shared" si="174"/>
        <v/>
      </c>
      <c r="AN283" s="4" t="str">
        <f t="shared" si="175"/>
        <v/>
      </c>
      <c r="AO283" s="4" t="str">
        <f t="shared" si="176"/>
        <v/>
      </c>
      <c r="AP283" s="4" t="str">
        <f t="shared" si="177"/>
        <v/>
      </c>
      <c r="AQ283" s="4" t="str">
        <f t="shared" si="178"/>
        <v/>
      </c>
      <c r="AR283" s="4" t="str">
        <f t="shared" si="179"/>
        <v/>
      </c>
    </row>
    <row r="284" spans="8:44" s="1" customFormat="1" ht="14.25" x14ac:dyDescent="0.3">
      <c r="H284" s="50"/>
      <c r="J284" s="54"/>
      <c r="L284" s="54"/>
      <c r="R284" s="45"/>
      <c r="S284" s="54"/>
      <c r="T284" s="54"/>
      <c r="U284" s="54"/>
      <c r="V284" s="44"/>
      <c r="W284" s="27"/>
      <c r="Z284" s="27"/>
      <c r="AA284" s="8"/>
      <c r="AB284" s="81" t="str">
        <f t="shared" si="163"/>
        <v/>
      </c>
      <c r="AC284" s="6" t="str">
        <f t="shared" si="164"/>
        <v/>
      </c>
      <c r="AD284" s="1" t="str">
        <f t="shared" ca="1" si="165"/>
        <v/>
      </c>
      <c r="AE284" s="75" t="str">
        <f t="shared" si="166"/>
        <v/>
      </c>
      <c r="AF284" s="75" t="str">
        <f t="shared" si="167"/>
        <v/>
      </c>
      <c r="AG284" s="4" t="str">
        <f t="shared" si="168"/>
        <v/>
      </c>
      <c r="AH284" s="4" t="str">
        <f t="shared" si="169"/>
        <v/>
      </c>
      <c r="AI284" s="4" t="str">
        <f t="shared" si="170"/>
        <v/>
      </c>
      <c r="AJ284" s="4" t="str">
        <f t="shared" si="171"/>
        <v/>
      </c>
      <c r="AK284" s="4" t="str">
        <f t="shared" si="172"/>
        <v/>
      </c>
      <c r="AL284" s="2" t="str">
        <f t="shared" si="173"/>
        <v/>
      </c>
      <c r="AM284" s="6" t="str">
        <f t="shared" si="174"/>
        <v/>
      </c>
      <c r="AN284" s="4" t="str">
        <f t="shared" si="175"/>
        <v/>
      </c>
      <c r="AO284" s="4" t="str">
        <f t="shared" si="176"/>
        <v/>
      </c>
      <c r="AP284" s="4" t="str">
        <f t="shared" si="177"/>
        <v/>
      </c>
      <c r="AQ284" s="4" t="str">
        <f t="shared" si="178"/>
        <v/>
      </c>
      <c r="AR284" s="4" t="str">
        <f t="shared" si="179"/>
        <v/>
      </c>
    </row>
    <row r="285" spans="8:44" s="1" customFormat="1" ht="14.25" x14ac:dyDescent="0.3">
      <c r="H285" s="50"/>
      <c r="J285" s="54"/>
      <c r="L285" s="54"/>
      <c r="R285" s="45"/>
      <c r="S285" s="54"/>
      <c r="T285" s="54"/>
      <c r="U285" s="54"/>
      <c r="V285" s="44"/>
      <c r="W285" s="27"/>
      <c r="Z285" s="27"/>
      <c r="AA285" s="8"/>
      <c r="AB285" s="81" t="str">
        <f t="shared" si="163"/>
        <v/>
      </c>
      <c r="AC285" s="6" t="str">
        <f t="shared" si="164"/>
        <v/>
      </c>
      <c r="AD285" s="1" t="str">
        <f t="shared" ca="1" si="165"/>
        <v/>
      </c>
      <c r="AE285" s="75" t="str">
        <f t="shared" si="166"/>
        <v/>
      </c>
      <c r="AF285" s="75" t="str">
        <f t="shared" si="167"/>
        <v/>
      </c>
      <c r="AG285" s="4" t="str">
        <f t="shared" si="168"/>
        <v/>
      </c>
      <c r="AH285" s="4" t="str">
        <f t="shared" si="169"/>
        <v/>
      </c>
      <c r="AI285" s="4" t="str">
        <f t="shared" si="170"/>
        <v/>
      </c>
      <c r="AJ285" s="4" t="str">
        <f t="shared" si="171"/>
        <v/>
      </c>
      <c r="AK285" s="4" t="str">
        <f t="shared" si="172"/>
        <v/>
      </c>
      <c r="AL285" s="2" t="str">
        <f t="shared" si="173"/>
        <v/>
      </c>
      <c r="AM285" s="6" t="str">
        <f t="shared" si="174"/>
        <v/>
      </c>
      <c r="AN285" s="4" t="str">
        <f t="shared" si="175"/>
        <v/>
      </c>
      <c r="AO285" s="4" t="str">
        <f t="shared" si="176"/>
        <v/>
      </c>
      <c r="AP285" s="4" t="str">
        <f t="shared" si="177"/>
        <v/>
      </c>
      <c r="AQ285" s="4" t="str">
        <f t="shared" si="178"/>
        <v/>
      </c>
      <c r="AR285" s="4" t="str">
        <f t="shared" si="179"/>
        <v/>
      </c>
    </row>
    <row r="286" spans="8:44" s="1" customFormat="1" ht="14.25" x14ac:dyDescent="0.3">
      <c r="H286" s="50"/>
      <c r="J286" s="54"/>
      <c r="L286" s="54"/>
      <c r="R286" s="45"/>
      <c r="S286" s="54"/>
      <c r="T286" s="54"/>
      <c r="U286" s="54"/>
      <c r="V286" s="44"/>
      <c r="W286" s="27"/>
      <c r="Z286" s="27"/>
      <c r="AA286" s="8"/>
      <c r="AB286" s="81" t="str">
        <f t="shared" si="163"/>
        <v/>
      </c>
      <c r="AC286" s="6" t="str">
        <f t="shared" si="164"/>
        <v/>
      </c>
      <c r="AD286" s="1" t="str">
        <f t="shared" ca="1" si="165"/>
        <v/>
      </c>
      <c r="AE286" s="75" t="str">
        <f t="shared" si="166"/>
        <v/>
      </c>
      <c r="AF286" s="75" t="str">
        <f t="shared" si="167"/>
        <v/>
      </c>
      <c r="AG286" s="4" t="str">
        <f t="shared" si="168"/>
        <v/>
      </c>
      <c r="AH286" s="4" t="str">
        <f t="shared" si="169"/>
        <v/>
      </c>
      <c r="AI286" s="4" t="str">
        <f t="shared" si="170"/>
        <v/>
      </c>
      <c r="AJ286" s="4" t="str">
        <f t="shared" si="171"/>
        <v/>
      </c>
      <c r="AK286" s="4" t="str">
        <f t="shared" si="172"/>
        <v/>
      </c>
      <c r="AL286" s="2" t="str">
        <f t="shared" si="173"/>
        <v/>
      </c>
      <c r="AM286" s="6" t="str">
        <f t="shared" si="174"/>
        <v/>
      </c>
      <c r="AN286" s="4" t="str">
        <f t="shared" si="175"/>
        <v/>
      </c>
      <c r="AO286" s="4" t="str">
        <f t="shared" si="176"/>
        <v/>
      </c>
      <c r="AP286" s="4" t="str">
        <f t="shared" si="177"/>
        <v/>
      </c>
      <c r="AQ286" s="4" t="str">
        <f t="shared" si="178"/>
        <v/>
      </c>
      <c r="AR286" s="4" t="str">
        <f t="shared" si="179"/>
        <v/>
      </c>
    </row>
    <row r="287" spans="8:44" s="1" customFormat="1" ht="14.25" x14ac:dyDescent="0.3">
      <c r="H287" s="50"/>
      <c r="J287" s="54"/>
      <c r="L287" s="54"/>
      <c r="R287" s="45"/>
      <c r="S287" s="54"/>
      <c r="T287" s="54"/>
      <c r="U287" s="54"/>
      <c r="V287" s="44"/>
      <c r="W287" s="27"/>
      <c r="Z287" s="27"/>
      <c r="AA287" s="8"/>
      <c r="AB287" s="81" t="str">
        <f t="shared" si="163"/>
        <v/>
      </c>
      <c r="AC287" s="6" t="str">
        <f t="shared" si="164"/>
        <v/>
      </c>
      <c r="AD287" s="1" t="str">
        <f t="shared" ca="1" si="165"/>
        <v/>
      </c>
      <c r="AE287" s="75" t="str">
        <f t="shared" si="166"/>
        <v/>
      </c>
      <c r="AF287" s="75" t="str">
        <f t="shared" si="167"/>
        <v/>
      </c>
      <c r="AG287" s="4" t="str">
        <f t="shared" si="168"/>
        <v/>
      </c>
      <c r="AH287" s="4" t="str">
        <f t="shared" si="169"/>
        <v/>
      </c>
      <c r="AI287" s="4" t="str">
        <f t="shared" si="170"/>
        <v/>
      </c>
      <c r="AJ287" s="4" t="str">
        <f t="shared" si="171"/>
        <v/>
      </c>
      <c r="AK287" s="4" t="str">
        <f t="shared" si="172"/>
        <v/>
      </c>
      <c r="AL287" s="2" t="str">
        <f t="shared" si="173"/>
        <v/>
      </c>
      <c r="AM287" s="6" t="str">
        <f t="shared" si="174"/>
        <v/>
      </c>
      <c r="AN287" s="4" t="str">
        <f t="shared" si="175"/>
        <v/>
      </c>
      <c r="AO287" s="4" t="str">
        <f t="shared" si="176"/>
        <v/>
      </c>
      <c r="AP287" s="4" t="str">
        <f t="shared" si="177"/>
        <v/>
      </c>
      <c r="AQ287" s="4" t="str">
        <f t="shared" si="178"/>
        <v/>
      </c>
      <c r="AR287" s="4" t="str">
        <f t="shared" si="179"/>
        <v/>
      </c>
    </row>
    <row r="288" spans="8:44" s="1" customFormat="1" ht="14.25" x14ac:dyDescent="0.3">
      <c r="H288" s="50"/>
      <c r="J288" s="54"/>
      <c r="L288" s="54"/>
      <c r="R288" s="45"/>
      <c r="S288" s="54"/>
      <c r="T288" s="54"/>
      <c r="U288" s="54"/>
      <c r="V288" s="44"/>
      <c r="W288" s="27"/>
      <c r="Z288" s="27"/>
      <c r="AA288" s="8"/>
      <c r="AB288" s="81" t="str">
        <f t="shared" si="163"/>
        <v/>
      </c>
      <c r="AC288" s="6" t="str">
        <f t="shared" si="164"/>
        <v/>
      </c>
      <c r="AD288" s="1" t="str">
        <f t="shared" ca="1" si="165"/>
        <v/>
      </c>
      <c r="AE288" s="75" t="str">
        <f t="shared" si="166"/>
        <v/>
      </c>
      <c r="AF288" s="75" t="str">
        <f t="shared" si="167"/>
        <v/>
      </c>
      <c r="AG288" s="4" t="str">
        <f t="shared" si="168"/>
        <v/>
      </c>
      <c r="AH288" s="4" t="str">
        <f t="shared" si="169"/>
        <v/>
      </c>
      <c r="AI288" s="4" t="str">
        <f t="shared" si="170"/>
        <v/>
      </c>
      <c r="AJ288" s="4" t="str">
        <f t="shared" si="171"/>
        <v/>
      </c>
      <c r="AK288" s="4" t="str">
        <f t="shared" si="172"/>
        <v/>
      </c>
      <c r="AL288" s="2" t="str">
        <f t="shared" si="173"/>
        <v/>
      </c>
      <c r="AM288" s="6" t="str">
        <f t="shared" si="174"/>
        <v/>
      </c>
      <c r="AN288" s="4" t="str">
        <f t="shared" si="175"/>
        <v/>
      </c>
      <c r="AO288" s="4" t="str">
        <f t="shared" si="176"/>
        <v/>
      </c>
      <c r="AP288" s="4" t="str">
        <f t="shared" si="177"/>
        <v/>
      </c>
      <c r="AQ288" s="4" t="str">
        <f t="shared" si="178"/>
        <v/>
      </c>
      <c r="AR288" s="4" t="str">
        <f t="shared" si="179"/>
        <v/>
      </c>
    </row>
    <row r="289" spans="8:44" s="1" customFormat="1" ht="14.25" x14ac:dyDescent="0.3">
      <c r="H289" s="50"/>
      <c r="J289" s="54"/>
      <c r="L289" s="54"/>
      <c r="R289" s="45"/>
      <c r="S289" s="54"/>
      <c r="T289" s="54"/>
      <c r="U289" s="54"/>
      <c r="V289" s="44"/>
      <c r="W289" s="27"/>
      <c r="Z289" s="27"/>
      <c r="AA289" s="8"/>
      <c r="AB289" s="81" t="str">
        <f t="shared" si="163"/>
        <v/>
      </c>
      <c r="AC289" s="6" t="str">
        <f t="shared" si="164"/>
        <v/>
      </c>
      <c r="AD289" s="1" t="str">
        <f t="shared" ca="1" si="165"/>
        <v/>
      </c>
      <c r="AE289" s="75" t="str">
        <f t="shared" si="166"/>
        <v/>
      </c>
      <c r="AF289" s="75" t="str">
        <f t="shared" si="167"/>
        <v/>
      </c>
      <c r="AG289" s="4" t="str">
        <f t="shared" si="168"/>
        <v/>
      </c>
      <c r="AH289" s="4" t="str">
        <f t="shared" si="169"/>
        <v/>
      </c>
      <c r="AI289" s="4" t="str">
        <f t="shared" si="170"/>
        <v/>
      </c>
      <c r="AJ289" s="4" t="str">
        <f t="shared" si="171"/>
        <v/>
      </c>
      <c r="AK289" s="4" t="str">
        <f t="shared" si="172"/>
        <v/>
      </c>
      <c r="AL289" s="2" t="str">
        <f t="shared" si="173"/>
        <v/>
      </c>
      <c r="AM289" s="6" t="str">
        <f t="shared" si="174"/>
        <v/>
      </c>
      <c r="AN289" s="4" t="str">
        <f t="shared" si="175"/>
        <v/>
      </c>
      <c r="AO289" s="4" t="str">
        <f t="shared" si="176"/>
        <v/>
      </c>
      <c r="AP289" s="4" t="str">
        <f t="shared" si="177"/>
        <v/>
      </c>
      <c r="AQ289" s="4" t="str">
        <f t="shared" si="178"/>
        <v/>
      </c>
      <c r="AR289" s="4" t="str">
        <f t="shared" si="179"/>
        <v/>
      </c>
    </row>
    <row r="290" spans="8:44" s="1" customFormat="1" ht="14.25" x14ac:dyDescent="0.3">
      <c r="H290" s="50"/>
      <c r="J290" s="54"/>
      <c r="L290" s="54"/>
      <c r="R290" s="45"/>
      <c r="S290" s="54"/>
      <c r="T290" s="54"/>
      <c r="U290" s="54"/>
      <c r="V290" s="44"/>
      <c r="W290" s="27"/>
      <c r="Z290" s="27"/>
      <c r="AA290" s="8"/>
      <c r="AB290" s="81" t="str">
        <f t="shared" si="163"/>
        <v/>
      </c>
      <c r="AC290" s="6" t="str">
        <f t="shared" si="164"/>
        <v/>
      </c>
      <c r="AD290" s="1" t="str">
        <f t="shared" ca="1" si="165"/>
        <v/>
      </c>
      <c r="AE290" s="75" t="str">
        <f t="shared" si="166"/>
        <v/>
      </c>
      <c r="AF290" s="75" t="str">
        <f t="shared" si="167"/>
        <v/>
      </c>
      <c r="AG290" s="4" t="str">
        <f t="shared" si="168"/>
        <v/>
      </c>
      <c r="AH290" s="4" t="str">
        <f t="shared" si="169"/>
        <v/>
      </c>
      <c r="AI290" s="4" t="str">
        <f t="shared" si="170"/>
        <v/>
      </c>
      <c r="AJ290" s="4" t="str">
        <f t="shared" si="171"/>
        <v/>
      </c>
      <c r="AK290" s="4" t="str">
        <f t="shared" si="172"/>
        <v/>
      </c>
      <c r="AL290" s="2" t="str">
        <f t="shared" si="173"/>
        <v/>
      </c>
      <c r="AM290" s="6" t="str">
        <f t="shared" si="174"/>
        <v/>
      </c>
      <c r="AN290" s="4" t="str">
        <f t="shared" si="175"/>
        <v/>
      </c>
      <c r="AO290" s="4" t="str">
        <f t="shared" si="176"/>
        <v/>
      </c>
      <c r="AP290" s="4" t="str">
        <f t="shared" si="177"/>
        <v/>
      </c>
      <c r="AQ290" s="4" t="str">
        <f t="shared" si="178"/>
        <v/>
      </c>
      <c r="AR290" s="4" t="str">
        <f t="shared" si="179"/>
        <v/>
      </c>
    </row>
    <row r="291" spans="8:44" s="1" customFormat="1" ht="14.25" x14ac:dyDescent="0.3">
      <c r="H291" s="50"/>
      <c r="J291" s="54"/>
      <c r="L291" s="54"/>
      <c r="R291" s="45"/>
      <c r="S291" s="54"/>
      <c r="T291" s="54"/>
      <c r="U291" s="54"/>
      <c r="V291" s="44"/>
      <c r="W291" s="27"/>
      <c r="Z291" s="27"/>
      <c r="AA291" s="8"/>
      <c r="AB291" s="81" t="str">
        <f t="shared" si="163"/>
        <v/>
      </c>
      <c r="AC291" s="6" t="str">
        <f t="shared" si="164"/>
        <v/>
      </c>
      <c r="AD291" s="1" t="str">
        <f t="shared" ca="1" si="165"/>
        <v/>
      </c>
      <c r="AE291" s="75" t="str">
        <f t="shared" si="166"/>
        <v/>
      </c>
      <c r="AF291" s="75" t="str">
        <f t="shared" si="167"/>
        <v/>
      </c>
      <c r="AG291" s="4" t="str">
        <f t="shared" si="168"/>
        <v/>
      </c>
      <c r="AH291" s="4" t="str">
        <f t="shared" si="169"/>
        <v/>
      </c>
      <c r="AI291" s="4" t="str">
        <f t="shared" si="170"/>
        <v/>
      </c>
      <c r="AJ291" s="4" t="str">
        <f t="shared" si="171"/>
        <v/>
      </c>
      <c r="AK291" s="4" t="str">
        <f t="shared" si="172"/>
        <v/>
      </c>
      <c r="AL291" s="2" t="str">
        <f t="shared" si="173"/>
        <v/>
      </c>
      <c r="AM291" s="6" t="str">
        <f t="shared" si="174"/>
        <v/>
      </c>
      <c r="AN291" s="4" t="str">
        <f t="shared" si="175"/>
        <v/>
      </c>
      <c r="AO291" s="4" t="str">
        <f t="shared" si="176"/>
        <v/>
      </c>
      <c r="AP291" s="4" t="str">
        <f t="shared" si="177"/>
        <v/>
      </c>
      <c r="AQ291" s="4" t="str">
        <f t="shared" si="178"/>
        <v/>
      </c>
      <c r="AR291" s="4" t="str">
        <f t="shared" si="179"/>
        <v/>
      </c>
    </row>
    <row r="292" spans="8:44" s="1" customFormat="1" ht="14.25" x14ac:dyDescent="0.3">
      <c r="H292" s="50"/>
      <c r="J292" s="54"/>
      <c r="L292" s="54"/>
      <c r="R292" s="45"/>
      <c r="S292" s="54"/>
      <c r="T292" s="54"/>
      <c r="U292" s="54"/>
      <c r="V292" s="44"/>
      <c r="W292" s="27"/>
      <c r="Z292" s="27"/>
      <c r="AA292" s="8"/>
      <c r="AB292" s="81" t="str">
        <f t="shared" si="163"/>
        <v/>
      </c>
      <c r="AC292" s="6" t="str">
        <f t="shared" si="164"/>
        <v/>
      </c>
      <c r="AD292" s="1" t="str">
        <f t="shared" ca="1" si="165"/>
        <v/>
      </c>
      <c r="AE292" s="75" t="str">
        <f t="shared" si="166"/>
        <v/>
      </c>
      <c r="AF292" s="75" t="str">
        <f t="shared" si="167"/>
        <v/>
      </c>
      <c r="AG292" s="4" t="str">
        <f t="shared" si="168"/>
        <v/>
      </c>
      <c r="AH292" s="4" t="str">
        <f t="shared" si="169"/>
        <v/>
      </c>
      <c r="AI292" s="4" t="str">
        <f t="shared" si="170"/>
        <v/>
      </c>
      <c r="AJ292" s="4" t="str">
        <f t="shared" si="171"/>
        <v/>
      </c>
      <c r="AK292" s="4" t="str">
        <f t="shared" si="172"/>
        <v/>
      </c>
      <c r="AL292" s="2" t="str">
        <f t="shared" si="173"/>
        <v/>
      </c>
      <c r="AM292" s="6" t="str">
        <f t="shared" si="174"/>
        <v/>
      </c>
      <c r="AN292" s="4" t="str">
        <f t="shared" si="175"/>
        <v/>
      </c>
      <c r="AO292" s="4" t="str">
        <f t="shared" si="176"/>
        <v/>
      </c>
      <c r="AP292" s="4" t="str">
        <f t="shared" si="177"/>
        <v/>
      </c>
      <c r="AQ292" s="4" t="str">
        <f t="shared" si="178"/>
        <v/>
      </c>
      <c r="AR292" s="4" t="str">
        <f t="shared" si="179"/>
        <v/>
      </c>
    </row>
    <row r="293" spans="8:44" s="1" customFormat="1" ht="14.25" x14ac:dyDescent="0.3">
      <c r="H293" s="50"/>
      <c r="J293" s="54"/>
      <c r="L293" s="54"/>
      <c r="R293" s="45"/>
      <c r="S293" s="54"/>
      <c r="T293" s="54"/>
      <c r="U293" s="54"/>
      <c r="V293" s="44"/>
      <c r="W293" s="27"/>
      <c r="Z293" s="27"/>
      <c r="AA293" s="8"/>
      <c r="AB293" s="81" t="str">
        <f t="shared" si="163"/>
        <v/>
      </c>
      <c r="AC293" s="6" t="str">
        <f t="shared" si="164"/>
        <v/>
      </c>
      <c r="AD293" s="1" t="str">
        <f t="shared" ca="1" si="165"/>
        <v/>
      </c>
      <c r="AE293" s="75" t="str">
        <f t="shared" si="166"/>
        <v/>
      </c>
      <c r="AF293" s="75" t="str">
        <f t="shared" si="167"/>
        <v/>
      </c>
      <c r="AG293" s="4" t="str">
        <f t="shared" si="168"/>
        <v/>
      </c>
      <c r="AH293" s="4" t="str">
        <f t="shared" si="169"/>
        <v/>
      </c>
      <c r="AI293" s="4" t="str">
        <f t="shared" si="170"/>
        <v/>
      </c>
      <c r="AJ293" s="4" t="str">
        <f t="shared" si="171"/>
        <v/>
      </c>
      <c r="AK293" s="4" t="str">
        <f t="shared" si="172"/>
        <v/>
      </c>
      <c r="AL293" s="2" t="str">
        <f t="shared" si="173"/>
        <v/>
      </c>
      <c r="AM293" s="6" t="str">
        <f t="shared" si="174"/>
        <v/>
      </c>
      <c r="AN293" s="4" t="str">
        <f t="shared" si="175"/>
        <v/>
      </c>
      <c r="AO293" s="4" t="str">
        <f t="shared" si="176"/>
        <v/>
      </c>
      <c r="AP293" s="4" t="str">
        <f t="shared" si="177"/>
        <v/>
      </c>
      <c r="AQ293" s="4" t="str">
        <f t="shared" si="178"/>
        <v/>
      </c>
      <c r="AR293" s="4" t="str">
        <f t="shared" si="179"/>
        <v/>
      </c>
    </row>
    <row r="294" spans="8:44" s="1" customFormat="1" ht="14.25" x14ac:dyDescent="0.3">
      <c r="H294" s="50"/>
      <c r="J294" s="54"/>
      <c r="L294" s="54"/>
      <c r="R294" s="45"/>
      <c r="S294" s="54"/>
      <c r="T294" s="54"/>
      <c r="U294" s="54"/>
      <c r="V294" s="44"/>
      <c r="W294" s="27"/>
      <c r="Z294" s="27"/>
      <c r="AA294" s="8"/>
      <c r="AB294" s="81" t="str">
        <f t="shared" si="163"/>
        <v/>
      </c>
      <c r="AC294" s="6" t="str">
        <f t="shared" si="164"/>
        <v/>
      </c>
      <c r="AD294" s="1" t="str">
        <f t="shared" ca="1" si="165"/>
        <v/>
      </c>
      <c r="AE294" s="75" t="str">
        <f t="shared" si="166"/>
        <v/>
      </c>
      <c r="AF294" s="75" t="str">
        <f t="shared" si="167"/>
        <v/>
      </c>
      <c r="AG294" s="4" t="str">
        <f t="shared" si="168"/>
        <v/>
      </c>
      <c r="AH294" s="4" t="str">
        <f t="shared" si="169"/>
        <v/>
      </c>
      <c r="AI294" s="4" t="str">
        <f t="shared" si="170"/>
        <v/>
      </c>
      <c r="AJ294" s="4" t="str">
        <f t="shared" si="171"/>
        <v/>
      </c>
      <c r="AK294" s="4" t="str">
        <f t="shared" si="172"/>
        <v/>
      </c>
      <c r="AL294" s="2" t="str">
        <f t="shared" si="173"/>
        <v/>
      </c>
      <c r="AM294" s="6" t="str">
        <f t="shared" si="174"/>
        <v/>
      </c>
      <c r="AN294" s="4" t="str">
        <f t="shared" si="175"/>
        <v/>
      </c>
      <c r="AO294" s="4" t="str">
        <f t="shared" si="176"/>
        <v/>
      </c>
      <c r="AP294" s="4" t="str">
        <f t="shared" si="177"/>
        <v/>
      </c>
      <c r="AQ294" s="4" t="str">
        <f t="shared" si="178"/>
        <v/>
      </c>
      <c r="AR294" s="4" t="str">
        <f t="shared" si="179"/>
        <v/>
      </c>
    </row>
    <row r="295" spans="8:44" s="1" customFormat="1" ht="14.25" x14ac:dyDescent="0.3">
      <c r="H295" s="50"/>
      <c r="J295" s="54"/>
      <c r="L295" s="54"/>
      <c r="R295" s="45"/>
      <c r="S295" s="54"/>
      <c r="T295" s="54"/>
      <c r="U295" s="54"/>
      <c r="V295" s="44"/>
      <c r="W295" s="27"/>
      <c r="Z295" s="27"/>
      <c r="AA295" s="8"/>
      <c r="AB295" s="81" t="str">
        <f t="shared" si="163"/>
        <v/>
      </c>
      <c r="AC295" s="6" t="str">
        <f t="shared" si="164"/>
        <v/>
      </c>
      <c r="AD295" s="1" t="str">
        <f t="shared" ca="1" si="165"/>
        <v/>
      </c>
      <c r="AE295" s="75" t="str">
        <f t="shared" si="166"/>
        <v/>
      </c>
      <c r="AF295" s="75" t="str">
        <f t="shared" si="167"/>
        <v/>
      </c>
      <c r="AG295" s="4" t="str">
        <f t="shared" si="168"/>
        <v/>
      </c>
      <c r="AH295" s="4" t="str">
        <f t="shared" si="169"/>
        <v/>
      </c>
      <c r="AI295" s="4" t="str">
        <f t="shared" si="170"/>
        <v/>
      </c>
      <c r="AJ295" s="4" t="str">
        <f t="shared" si="171"/>
        <v/>
      </c>
      <c r="AK295" s="4" t="str">
        <f t="shared" si="172"/>
        <v/>
      </c>
      <c r="AL295" s="2" t="str">
        <f t="shared" si="173"/>
        <v/>
      </c>
      <c r="AM295" s="6" t="str">
        <f t="shared" si="174"/>
        <v/>
      </c>
      <c r="AN295" s="4" t="str">
        <f t="shared" si="175"/>
        <v/>
      </c>
      <c r="AO295" s="4" t="str">
        <f t="shared" si="176"/>
        <v/>
      </c>
      <c r="AP295" s="4" t="str">
        <f t="shared" si="177"/>
        <v/>
      </c>
      <c r="AQ295" s="4" t="str">
        <f t="shared" si="178"/>
        <v/>
      </c>
      <c r="AR295" s="4" t="str">
        <f t="shared" si="179"/>
        <v/>
      </c>
    </row>
    <row r="296" spans="8:44" s="1" customFormat="1" ht="14.25" x14ac:dyDescent="0.3">
      <c r="H296" s="50"/>
      <c r="J296" s="54"/>
      <c r="L296" s="54"/>
      <c r="R296" s="45"/>
      <c r="S296" s="54"/>
      <c r="T296" s="54"/>
      <c r="U296" s="54"/>
      <c r="V296" s="44"/>
      <c r="W296" s="27"/>
      <c r="Z296" s="27"/>
      <c r="AA296" s="8"/>
      <c r="AB296" s="81" t="str">
        <f t="shared" si="163"/>
        <v/>
      </c>
      <c r="AC296" s="6" t="str">
        <f t="shared" si="164"/>
        <v/>
      </c>
      <c r="AD296" s="1" t="str">
        <f t="shared" ca="1" si="165"/>
        <v/>
      </c>
      <c r="AE296" s="75" t="str">
        <f t="shared" si="166"/>
        <v/>
      </c>
      <c r="AF296" s="75" t="str">
        <f t="shared" si="167"/>
        <v/>
      </c>
      <c r="AG296" s="4" t="str">
        <f t="shared" si="168"/>
        <v/>
      </c>
      <c r="AH296" s="4" t="str">
        <f t="shared" si="169"/>
        <v/>
      </c>
      <c r="AI296" s="4" t="str">
        <f t="shared" si="170"/>
        <v/>
      </c>
      <c r="AJ296" s="4" t="str">
        <f t="shared" si="171"/>
        <v/>
      </c>
      <c r="AK296" s="4" t="str">
        <f t="shared" si="172"/>
        <v/>
      </c>
      <c r="AL296" s="2" t="str">
        <f t="shared" si="173"/>
        <v/>
      </c>
      <c r="AM296" s="6" t="str">
        <f t="shared" si="174"/>
        <v/>
      </c>
      <c r="AN296" s="4" t="str">
        <f t="shared" si="175"/>
        <v/>
      </c>
      <c r="AO296" s="4" t="str">
        <f t="shared" si="176"/>
        <v/>
      </c>
      <c r="AP296" s="4" t="str">
        <f t="shared" si="177"/>
        <v/>
      </c>
      <c r="AQ296" s="4" t="str">
        <f t="shared" si="178"/>
        <v/>
      </c>
      <c r="AR296" s="4" t="str">
        <f t="shared" si="179"/>
        <v/>
      </c>
    </row>
    <row r="297" spans="8:44" s="1" customFormat="1" ht="14.25" x14ac:dyDescent="0.3">
      <c r="H297" s="50"/>
      <c r="J297" s="54"/>
      <c r="L297" s="54"/>
      <c r="R297" s="45"/>
      <c r="S297" s="54"/>
      <c r="T297" s="54"/>
      <c r="U297" s="54"/>
      <c r="V297" s="44"/>
      <c r="W297" s="27"/>
      <c r="Z297" s="27"/>
      <c r="AA297" s="8"/>
      <c r="AB297" s="81" t="str">
        <f t="shared" si="163"/>
        <v/>
      </c>
      <c r="AC297" s="6" t="str">
        <f t="shared" si="164"/>
        <v/>
      </c>
      <c r="AD297" s="1" t="str">
        <f t="shared" ca="1" si="165"/>
        <v/>
      </c>
      <c r="AE297" s="75" t="str">
        <f t="shared" si="166"/>
        <v/>
      </c>
      <c r="AF297" s="75" t="str">
        <f t="shared" si="167"/>
        <v/>
      </c>
      <c r="AG297" s="4" t="str">
        <f t="shared" si="168"/>
        <v/>
      </c>
      <c r="AH297" s="4" t="str">
        <f t="shared" si="169"/>
        <v/>
      </c>
      <c r="AI297" s="4" t="str">
        <f t="shared" si="170"/>
        <v/>
      </c>
      <c r="AJ297" s="4" t="str">
        <f t="shared" si="171"/>
        <v/>
      </c>
      <c r="AK297" s="4" t="str">
        <f t="shared" si="172"/>
        <v/>
      </c>
      <c r="AL297" s="2" t="str">
        <f t="shared" si="173"/>
        <v/>
      </c>
      <c r="AM297" s="6" t="str">
        <f t="shared" si="174"/>
        <v/>
      </c>
      <c r="AN297" s="4" t="str">
        <f t="shared" si="175"/>
        <v/>
      </c>
      <c r="AO297" s="4" t="str">
        <f t="shared" si="176"/>
        <v/>
      </c>
      <c r="AP297" s="4" t="str">
        <f t="shared" si="177"/>
        <v/>
      </c>
      <c r="AQ297" s="4" t="str">
        <f t="shared" si="178"/>
        <v/>
      </c>
      <c r="AR297" s="4" t="str">
        <f t="shared" si="179"/>
        <v/>
      </c>
    </row>
    <row r="298" spans="8:44" s="1" customFormat="1" ht="14.25" x14ac:dyDescent="0.3">
      <c r="H298" s="50"/>
      <c r="J298" s="54"/>
      <c r="L298" s="54"/>
      <c r="R298" s="45"/>
      <c r="S298" s="54"/>
      <c r="T298" s="54"/>
      <c r="U298" s="54"/>
      <c r="V298" s="44"/>
      <c r="W298" s="27"/>
      <c r="Z298" s="27"/>
      <c r="AA298" s="8"/>
      <c r="AB298" s="81" t="str">
        <f t="shared" si="163"/>
        <v/>
      </c>
      <c r="AC298" s="6" t="str">
        <f t="shared" si="164"/>
        <v/>
      </c>
      <c r="AD298" s="1" t="str">
        <f t="shared" ca="1" si="165"/>
        <v/>
      </c>
      <c r="AE298" s="75" t="str">
        <f t="shared" si="166"/>
        <v/>
      </c>
      <c r="AF298" s="75" t="str">
        <f t="shared" si="167"/>
        <v/>
      </c>
      <c r="AG298" s="4" t="str">
        <f t="shared" si="168"/>
        <v/>
      </c>
      <c r="AH298" s="4" t="str">
        <f t="shared" si="169"/>
        <v/>
      </c>
      <c r="AI298" s="4" t="str">
        <f t="shared" si="170"/>
        <v/>
      </c>
      <c r="AJ298" s="4" t="str">
        <f t="shared" si="171"/>
        <v/>
      </c>
      <c r="AK298" s="4" t="str">
        <f t="shared" si="172"/>
        <v/>
      </c>
      <c r="AL298" s="2" t="str">
        <f t="shared" si="173"/>
        <v/>
      </c>
      <c r="AM298" s="6" t="str">
        <f t="shared" si="174"/>
        <v/>
      </c>
      <c r="AN298" s="4" t="str">
        <f t="shared" si="175"/>
        <v/>
      </c>
      <c r="AO298" s="4" t="str">
        <f t="shared" si="176"/>
        <v/>
      </c>
      <c r="AP298" s="4" t="str">
        <f t="shared" si="177"/>
        <v/>
      </c>
      <c r="AQ298" s="4" t="str">
        <f t="shared" si="178"/>
        <v/>
      </c>
      <c r="AR298" s="4" t="str">
        <f t="shared" si="179"/>
        <v/>
      </c>
    </row>
    <row r="299" spans="8:44" s="1" customFormat="1" ht="14.25" x14ac:dyDescent="0.3">
      <c r="H299" s="50"/>
      <c r="J299" s="54"/>
      <c r="L299" s="54"/>
      <c r="R299" s="45"/>
      <c r="S299" s="54"/>
      <c r="T299" s="54"/>
      <c r="U299" s="54"/>
      <c r="V299" s="44"/>
      <c r="W299" s="27"/>
      <c r="Z299" s="27"/>
      <c r="AA299" s="8"/>
      <c r="AB299" s="81" t="str">
        <f t="shared" si="163"/>
        <v/>
      </c>
      <c r="AC299" s="6" t="str">
        <f t="shared" si="164"/>
        <v/>
      </c>
      <c r="AD299" s="1" t="str">
        <f t="shared" ca="1" si="165"/>
        <v/>
      </c>
      <c r="AE299" s="75" t="str">
        <f t="shared" si="166"/>
        <v/>
      </c>
      <c r="AF299" s="75" t="str">
        <f t="shared" si="167"/>
        <v/>
      </c>
      <c r="AG299" s="4" t="str">
        <f t="shared" si="168"/>
        <v/>
      </c>
      <c r="AH299" s="4" t="str">
        <f t="shared" si="169"/>
        <v/>
      </c>
      <c r="AI299" s="4" t="str">
        <f t="shared" si="170"/>
        <v/>
      </c>
      <c r="AJ299" s="4" t="str">
        <f t="shared" si="171"/>
        <v/>
      </c>
      <c r="AK299" s="4" t="str">
        <f t="shared" si="172"/>
        <v/>
      </c>
      <c r="AL299" s="2" t="str">
        <f t="shared" si="173"/>
        <v/>
      </c>
      <c r="AM299" s="6" t="str">
        <f t="shared" si="174"/>
        <v/>
      </c>
      <c r="AN299" s="4" t="str">
        <f t="shared" si="175"/>
        <v/>
      </c>
      <c r="AO299" s="4" t="str">
        <f t="shared" si="176"/>
        <v/>
      </c>
      <c r="AP299" s="4" t="str">
        <f t="shared" si="177"/>
        <v/>
      </c>
      <c r="AQ299" s="4" t="str">
        <f t="shared" si="178"/>
        <v/>
      </c>
      <c r="AR299" s="4" t="str">
        <f t="shared" si="179"/>
        <v/>
      </c>
    </row>
    <row r="300" spans="8:44" s="1" customFormat="1" ht="14.25" x14ac:dyDescent="0.3">
      <c r="H300" s="50"/>
      <c r="J300" s="54"/>
      <c r="L300" s="54"/>
      <c r="R300" s="45"/>
      <c r="S300" s="54"/>
      <c r="T300" s="54"/>
      <c r="U300" s="54"/>
      <c r="V300" s="44"/>
      <c r="W300" s="27"/>
      <c r="Z300" s="27"/>
      <c r="AA300" s="8"/>
      <c r="AB300" s="81" t="str">
        <f t="shared" si="163"/>
        <v/>
      </c>
      <c r="AC300" s="6" t="str">
        <f t="shared" si="164"/>
        <v/>
      </c>
      <c r="AD300" s="1" t="str">
        <f t="shared" ca="1" si="165"/>
        <v/>
      </c>
      <c r="AE300" s="75" t="str">
        <f t="shared" si="166"/>
        <v/>
      </c>
      <c r="AF300" s="75" t="str">
        <f t="shared" si="167"/>
        <v/>
      </c>
      <c r="AG300" s="4" t="str">
        <f t="shared" si="168"/>
        <v/>
      </c>
      <c r="AH300" s="4" t="str">
        <f t="shared" si="169"/>
        <v/>
      </c>
      <c r="AI300" s="4" t="str">
        <f t="shared" si="170"/>
        <v/>
      </c>
      <c r="AJ300" s="4" t="str">
        <f t="shared" si="171"/>
        <v/>
      </c>
      <c r="AK300" s="4" t="str">
        <f t="shared" si="172"/>
        <v/>
      </c>
      <c r="AL300" s="2" t="str">
        <f t="shared" si="173"/>
        <v/>
      </c>
      <c r="AM300" s="6" t="str">
        <f t="shared" si="174"/>
        <v/>
      </c>
      <c r="AN300" s="4" t="str">
        <f t="shared" si="175"/>
        <v/>
      </c>
      <c r="AO300" s="4" t="str">
        <f t="shared" si="176"/>
        <v/>
      </c>
      <c r="AP300" s="4" t="str">
        <f t="shared" si="177"/>
        <v/>
      </c>
      <c r="AQ300" s="4" t="str">
        <f t="shared" si="178"/>
        <v/>
      </c>
      <c r="AR300" s="4" t="str">
        <f t="shared" si="179"/>
        <v/>
      </c>
    </row>
    <row r="301" spans="8:44" s="1" customFormat="1" ht="14.25" x14ac:dyDescent="0.3">
      <c r="H301" s="50"/>
      <c r="J301" s="54"/>
      <c r="L301" s="54"/>
      <c r="R301" s="45"/>
      <c r="S301" s="54"/>
      <c r="T301" s="54"/>
      <c r="U301" s="54"/>
      <c r="V301" s="44"/>
      <c r="W301" s="27"/>
      <c r="Z301" s="27"/>
      <c r="AA301" s="8"/>
      <c r="AB301" s="81" t="str">
        <f t="shared" si="163"/>
        <v/>
      </c>
      <c r="AC301" s="6" t="str">
        <f t="shared" si="164"/>
        <v/>
      </c>
      <c r="AD301" s="1" t="str">
        <f t="shared" ca="1" si="165"/>
        <v/>
      </c>
      <c r="AE301" s="75" t="str">
        <f t="shared" si="166"/>
        <v/>
      </c>
      <c r="AF301" s="75" t="str">
        <f t="shared" si="167"/>
        <v/>
      </c>
      <c r="AG301" s="4" t="str">
        <f t="shared" si="168"/>
        <v/>
      </c>
      <c r="AH301" s="4" t="str">
        <f t="shared" si="169"/>
        <v/>
      </c>
      <c r="AI301" s="4" t="str">
        <f t="shared" si="170"/>
        <v/>
      </c>
      <c r="AJ301" s="4" t="str">
        <f t="shared" si="171"/>
        <v/>
      </c>
      <c r="AK301" s="4" t="str">
        <f t="shared" si="172"/>
        <v/>
      </c>
      <c r="AL301" s="2" t="str">
        <f t="shared" si="173"/>
        <v/>
      </c>
      <c r="AM301" s="6" t="str">
        <f t="shared" si="174"/>
        <v/>
      </c>
      <c r="AN301" s="4" t="str">
        <f t="shared" si="175"/>
        <v/>
      </c>
      <c r="AO301" s="4" t="str">
        <f t="shared" si="176"/>
        <v/>
      </c>
      <c r="AP301" s="4" t="str">
        <f t="shared" si="177"/>
        <v/>
      </c>
      <c r="AQ301" s="4" t="str">
        <f t="shared" si="178"/>
        <v/>
      </c>
      <c r="AR301" s="4" t="str">
        <f t="shared" si="179"/>
        <v/>
      </c>
    </row>
    <row r="302" spans="8:44" s="1" customFormat="1" ht="14.25" x14ac:dyDescent="0.3">
      <c r="H302" s="50"/>
      <c r="J302" s="54"/>
      <c r="L302" s="54"/>
      <c r="R302" s="45"/>
      <c r="S302" s="54"/>
      <c r="T302" s="54"/>
      <c r="U302" s="54"/>
      <c r="V302" s="44"/>
      <c r="W302" s="27"/>
      <c r="Z302" s="27"/>
      <c r="AA302" s="8"/>
      <c r="AB302" s="81" t="str">
        <f t="shared" si="163"/>
        <v/>
      </c>
      <c r="AC302" s="6" t="str">
        <f t="shared" si="164"/>
        <v/>
      </c>
      <c r="AD302" s="1" t="str">
        <f t="shared" ca="1" si="165"/>
        <v/>
      </c>
      <c r="AE302" s="75" t="str">
        <f t="shared" si="166"/>
        <v/>
      </c>
      <c r="AF302" s="75" t="str">
        <f t="shared" si="167"/>
        <v/>
      </c>
      <c r="AG302" s="4" t="str">
        <f t="shared" si="168"/>
        <v/>
      </c>
      <c r="AH302" s="4" t="str">
        <f t="shared" si="169"/>
        <v/>
      </c>
      <c r="AI302" s="4" t="str">
        <f t="shared" si="170"/>
        <v/>
      </c>
      <c r="AJ302" s="4" t="str">
        <f t="shared" si="171"/>
        <v/>
      </c>
      <c r="AK302" s="4" t="str">
        <f t="shared" si="172"/>
        <v/>
      </c>
      <c r="AL302" s="2" t="str">
        <f t="shared" si="173"/>
        <v/>
      </c>
      <c r="AM302" s="6" t="str">
        <f t="shared" si="174"/>
        <v/>
      </c>
      <c r="AN302" s="4" t="str">
        <f t="shared" si="175"/>
        <v/>
      </c>
      <c r="AO302" s="4" t="str">
        <f t="shared" si="176"/>
        <v/>
      </c>
      <c r="AP302" s="4" t="str">
        <f t="shared" si="177"/>
        <v/>
      </c>
      <c r="AQ302" s="4" t="str">
        <f t="shared" si="178"/>
        <v/>
      </c>
      <c r="AR302" s="4" t="str">
        <f t="shared" si="179"/>
        <v/>
      </c>
    </row>
    <row r="303" spans="8:44" s="1" customFormat="1" ht="14.25" x14ac:dyDescent="0.3">
      <c r="H303" s="50"/>
      <c r="J303" s="54"/>
      <c r="L303" s="54"/>
      <c r="R303" s="45"/>
      <c r="S303" s="54"/>
      <c r="T303" s="54"/>
      <c r="U303" s="54"/>
      <c r="V303" s="44"/>
      <c r="W303" s="27"/>
      <c r="Z303" s="27"/>
      <c r="AA303" s="8"/>
      <c r="AB303" s="81" t="str">
        <f t="shared" si="163"/>
        <v/>
      </c>
      <c r="AC303" s="6" t="str">
        <f t="shared" si="164"/>
        <v/>
      </c>
      <c r="AD303" s="1" t="str">
        <f t="shared" ca="1" si="165"/>
        <v/>
      </c>
      <c r="AE303" s="75" t="str">
        <f t="shared" si="166"/>
        <v/>
      </c>
      <c r="AF303" s="75" t="str">
        <f t="shared" si="167"/>
        <v/>
      </c>
      <c r="AG303" s="4" t="str">
        <f t="shared" si="168"/>
        <v/>
      </c>
      <c r="AH303" s="4" t="str">
        <f t="shared" si="169"/>
        <v/>
      </c>
      <c r="AI303" s="4" t="str">
        <f t="shared" si="170"/>
        <v/>
      </c>
      <c r="AJ303" s="4" t="str">
        <f t="shared" si="171"/>
        <v/>
      </c>
      <c r="AK303" s="4" t="str">
        <f t="shared" si="172"/>
        <v/>
      </c>
      <c r="AL303" s="2" t="str">
        <f t="shared" si="173"/>
        <v/>
      </c>
      <c r="AM303" s="6" t="str">
        <f t="shared" si="174"/>
        <v/>
      </c>
      <c r="AN303" s="4" t="str">
        <f t="shared" si="175"/>
        <v/>
      </c>
      <c r="AO303" s="4" t="str">
        <f t="shared" si="176"/>
        <v/>
      </c>
      <c r="AP303" s="4" t="str">
        <f t="shared" si="177"/>
        <v/>
      </c>
      <c r="AQ303" s="4" t="str">
        <f t="shared" si="178"/>
        <v/>
      </c>
      <c r="AR303" s="4" t="str">
        <f t="shared" si="179"/>
        <v/>
      </c>
    </row>
    <row r="304" spans="8:44" s="1" customFormat="1" ht="14.25" x14ac:dyDescent="0.3">
      <c r="H304" s="50"/>
      <c r="J304" s="54"/>
      <c r="L304" s="54"/>
      <c r="R304" s="45"/>
      <c r="S304" s="54"/>
      <c r="T304" s="54"/>
      <c r="U304" s="54"/>
      <c r="V304" s="44"/>
      <c r="W304" s="27"/>
      <c r="Z304" s="27"/>
      <c r="AA304" s="8"/>
      <c r="AB304" s="81" t="str">
        <f t="shared" si="163"/>
        <v/>
      </c>
      <c r="AC304" s="6" t="str">
        <f t="shared" si="164"/>
        <v/>
      </c>
      <c r="AD304" s="1" t="str">
        <f t="shared" ca="1" si="165"/>
        <v/>
      </c>
      <c r="AE304" s="75" t="str">
        <f t="shared" si="166"/>
        <v/>
      </c>
      <c r="AF304" s="75" t="str">
        <f t="shared" si="167"/>
        <v/>
      </c>
      <c r="AG304" s="4" t="str">
        <f t="shared" si="168"/>
        <v/>
      </c>
      <c r="AH304" s="4" t="str">
        <f t="shared" si="169"/>
        <v/>
      </c>
      <c r="AI304" s="4" t="str">
        <f t="shared" si="170"/>
        <v/>
      </c>
      <c r="AJ304" s="4" t="str">
        <f t="shared" si="171"/>
        <v/>
      </c>
      <c r="AK304" s="4" t="str">
        <f t="shared" si="172"/>
        <v/>
      </c>
      <c r="AL304" s="2" t="str">
        <f t="shared" si="173"/>
        <v/>
      </c>
      <c r="AM304" s="6" t="str">
        <f t="shared" si="174"/>
        <v/>
      </c>
      <c r="AN304" s="4" t="str">
        <f t="shared" si="175"/>
        <v/>
      </c>
      <c r="AO304" s="4" t="str">
        <f t="shared" si="176"/>
        <v/>
      </c>
      <c r="AP304" s="4" t="str">
        <f t="shared" si="177"/>
        <v/>
      </c>
      <c r="AQ304" s="4" t="str">
        <f t="shared" si="178"/>
        <v/>
      </c>
      <c r="AR304" s="4" t="str">
        <f t="shared" si="179"/>
        <v/>
      </c>
    </row>
    <row r="305" spans="8:44" s="1" customFormat="1" ht="14.25" x14ac:dyDescent="0.3">
      <c r="H305" s="50"/>
      <c r="J305" s="54"/>
      <c r="L305" s="54"/>
      <c r="R305" s="45"/>
      <c r="S305" s="54"/>
      <c r="T305" s="54"/>
      <c r="U305" s="54"/>
      <c r="V305" s="44"/>
      <c r="W305" s="27"/>
      <c r="Z305" s="27"/>
      <c r="AA305" s="8"/>
      <c r="AB305" s="81" t="str">
        <f t="shared" si="163"/>
        <v/>
      </c>
      <c r="AC305" s="6" t="str">
        <f t="shared" si="164"/>
        <v/>
      </c>
      <c r="AD305" s="1" t="str">
        <f t="shared" ca="1" si="165"/>
        <v/>
      </c>
      <c r="AE305" s="75" t="str">
        <f t="shared" si="166"/>
        <v/>
      </c>
      <c r="AF305" s="75" t="str">
        <f t="shared" si="167"/>
        <v/>
      </c>
      <c r="AG305" s="4" t="str">
        <f t="shared" si="168"/>
        <v/>
      </c>
      <c r="AH305" s="4" t="str">
        <f t="shared" si="169"/>
        <v/>
      </c>
      <c r="AI305" s="4" t="str">
        <f t="shared" si="170"/>
        <v/>
      </c>
      <c r="AJ305" s="4" t="str">
        <f t="shared" si="171"/>
        <v/>
      </c>
      <c r="AK305" s="4" t="str">
        <f t="shared" si="172"/>
        <v/>
      </c>
      <c r="AL305" s="2" t="str">
        <f t="shared" si="173"/>
        <v/>
      </c>
      <c r="AM305" s="6" t="str">
        <f t="shared" si="174"/>
        <v/>
      </c>
      <c r="AN305" s="4" t="str">
        <f t="shared" si="175"/>
        <v/>
      </c>
      <c r="AO305" s="4" t="str">
        <f t="shared" si="176"/>
        <v/>
      </c>
      <c r="AP305" s="4" t="str">
        <f t="shared" si="177"/>
        <v/>
      </c>
      <c r="AQ305" s="4" t="str">
        <f t="shared" si="178"/>
        <v/>
      </c>
      <c r="AR305" s="4" t="str">
        <f t="shared" si="179"/>
        <v/>
      </c>
    </row>
    <row r="306" spans="8:44" s="1" customFormat="1" ht="14.25" x14ac:dyDescent="0.3">
      <c r="H306" s="50"/>
      <c r="J306" s="54"/>
      <c r="L306" s="54"/>
      <c r="R306" s="45"/>
      <c r="S306" s="54"/>
      <c r="T306" s="54"/>
      <c r="U306" s="54"/>
      <c r="V306" s="44"/>
      <c r="W306" s="27"/>
      <c r="Z306" s="27"/>
      <c r="AA306" s="8"/>
      <c r="AB306" s="81" t="str">
        <f t="shared" si="163"/>
        <v/>
      </c>
      <c r="AC306" s="6" t="str">
        <f t="shared" si="164"/>
        <v/>
      </c>
      <c r="AD306" s="1" t="str">
        <f t="shared" ca="1" si="165"/>
        <v/>
      </c>
      <c r="AE306" s="75" t="str">
        <f t="shared" si="166"/>
        <v/>
      </c>
      <c r="AF306" s="75" t="str">
        <f t="shared" si="167"/>
        <v/>
      </c>
      <c r="AG306" s="4" t="str">
        <f t="shared" si="168"/>
        <v/>
      </c>
      <c r="AH306" s="4" t="str">
        <f t="shared" si="169"/>
        <v/>
      </c>
      <c r="AI306" s="4" t="str">
        <f t="shared" si="170"/>
        <v/>
      </c>
      <c r="AJ306" s="4" t="str">
        <f t="shared" si="171"/>
        <v/>
      </c>
      <c r="AK306" s="4" t="str">
        <f t="shared" si="172"/>
        <v/>
      </c>
      <c r="AL306" s="2" t="str">
        <f t="shared" si="173"/>
        <v/>
      </c>
      <c r="AM306" s="6" t="str">
        <f t="shared" si="174"/>
        <v/>
      </c>
      <c r="AN306" s="4" t="str">
        <f t="shared" si="175"/>
        <v/>
      </c>
      <c r="AO306" s="4" t="str">
        <f t="shared" si="176"/>
        <v/>
      </c>
      <c r="AP306" s="4" t="str">
        <f t="shared" si="177"/>
        <v/>
      </c>
      <c r="AQ306" s="4" t="str">
        <f t="shared" si="178"/>
        <v/>
      </c>
      <c r="AR306" s="4" t="str">
        <f t="shared" si="179"/>
        <v/>
      </c>
    </row>
    <row r="307" spans="8:44" s="1" customFormat="1" ht="14.25" x14ac:dyDescent="0.3">
      <c r="H307" s="50"/>
      <c r="J307" s="54"/>
      <c r="L307" s="54"/>
      <c r="R307" s="45"/>
      <c r="S307" s="54"/>
      <c r="T307" s="54"/>
      <c r="U307" s="54"/>
      <c r="V307" s="44"/>
      <c r="W307" s="27"/>
      <c r="Z307" s="27"/>
      <c r="AA307" s="8"/>
      <c r="AB307" s="81" t="str">
        <f t="shared" si="163"/>
        <v/>
      </c>
      <c r="AC307" s="6" t="str">
        <f t="shared" si="164"/>
        <v/>
      </c>
      <c r="AD307" s="1" t="str">
        <f t="shared" ca="1" si="165"/>
        <v/>
      </c>
      <c r="AE307" s="75" t="str">
        <f t="shared" si="166"/>
        <v/>
      </c>
      <c r="AF307" s="75" t="str">
        <f t="shared" si="167"/>
        <v/>
      </c>
      <c r="AG307" s="4" t="str">
        <f t="shared" si="168"/>
        <v/>
      </c>
      <c r="AH307" s="4" t="str">
        <f t="shared" si="169"/>
        <v/>
      </c>
      <c r="AI307" s="4" t="str">
        <f t="shared" si="170"/>
        <v/>
      </c>
      <c r="AJ307" s="4" t="str">
        <f t="shared" si="171"/>
        <v/>
      </c>
      <c r="AK307" s="4" t="str">
        <f t="shared" si="172"/>
        <v/>
      </c>
      <c r="AL307" s="2" t="str">
        <f t="shared" si="173"/>
        <v/>
      </c>
      <c r="AM307" s="6" t="str">
        <f t="shared" si="174"/>
        <v/>
      </c>
      <c r="AN307" s="4" t="str">
        <f t="shared" si="175"/>
        <v/>
      </c>
      <c r="AO307" s="4" t="str">
        <f t="shared" si="176"/>
        <v/>
      </c>
      <c r="AP307" s="4" t="str">
        <f t="shared" si="177"/>
        <v/>
      </c>
      <c r="AQ307" s="4" t="str">
        <f t="shared" si="178"/>
        <v/>
      </c>
      <c r="AR307" s="4" t="str">
        <f t="shared" si="179"/>
        <v/>
      </c>
    </row>
    <row r="308" spans="8:44" s="1" customFormat="1" ht="14.25" x14ac:dyDescent="0.3">
      <c r="H308" s="50"/>
      <c r="J308" s="54"/>
      <c r="L308" s="54"/>
      <c r="R308" s="45"/>
      <c r="S308" s="54"/>
      <c r="T308" s="54"/>
      <c r="U308" s="54"/>
      <c r="V308" s="44"/>
      <c r="W308" s="27"/>
      <c r="Z308" s="27"/>
      <c r="AA308" s="8"/>
      <c r="AB308" s="81" t="str">
        <f t="shared" si="163"/>
        <v/>
      </c>
      <c r="AC308" s="6" t="str">
        <f t="shared" si="164"/>
        <v/>
      </c>
      <c r="AD308" s="1" t="str">
        <f t="shared" ca="1" si="165"/>
        <v/>
      </c>
      <c r="AE308" s="75" t="str">
        <f t="shared" si="166"/>
        <v/>
      </c>
      <c r="AF308" s="75" t="str">
        <f t="shared" si="167"/>
        <v/>
      </c>
      <c r="AG308" s="4" t="str">
        <f t="shared" si="168"/>
        <v/>
      </c>
      <c r="AH308" s="4" t="str">
        <f t="shared" si="169"/>
        <v/>
      </c>
      <c r="AI308" s="4" t="str">
        <f t="shared" si="170"/>
        <v/>
      </c>
      <c r="AJ308" s="4" t="str">
        <f t="shared" si="171"/>
        <v/>
      </c>
      <c r="AK308" s="4" t="str">
        <f t="shared" si="172"/>
        <v/>
      </c>
      <c r="AL308" s="2" t="str">
        <f t="shared" si="173"/>
        <v/>
      </c>
      <c r="AM308" s="6" t="str">
        <f t="shared" si="174"/>
        <v/>
      </c>
      <c r="AN308" s="4" t="str">
        <f t="shared" si="175"/>
        <v/>
      </c>
      <c r="AO308" s="4" t="str">
        <f t="shared" si="176"/>
        <v/>
      </c>
      <c r="AP308" s="4" t="str">
        <f t="shared" si="177"/>
        <v/>
      </c>
      <c r="AQ308" s="4" t="str">
        <f t="shared" si="178"/>
        <v/>
      </c>
      <c r="AR308" s="4" t="str">
        <f t="shared" si="179"/>
        <v/>
      </c>
    </row>
    <row r="309" spans="8:44" s="1" customFormat="1" ht="14.25" x14ac:dyDescent="0.3">
      <c r="H309" s="50"/>
      <c r="J309" s="54"/>
      <c r="L309" s="54"/>
      <c r="R309" s="45"/>
      <c r="S309" s="54"/>
      <c r="T309" s="54"/>
      <c r="U309" s="54"/>
      <c r="V309" s="44"/>
      <c r="W309" s="27"/>
      <c r="Z309" s="27"/>
      <c r="AA309" s="8"/>
      <c r="AB309" s="81" t="str">
        <f t="shared" si="163"/>
        <v/>
      </c>
      <c r="AC309" s="6" t="str">
        <f t="shared" si="164"/>
        <v/>
      </c>
      <c r="AD309" s="1" t="str">
        <f t="shared" ca="1" si="165"/>
        <v/>
      </c>
      <c r="AE309" s="75" t="str">
        <f t="shared" si="166"/>
        <v/>
      </c>
      <c r="AF309" s="75" t="str">
        <f t="shared" si="167"/>
        <v/>
      </c>
      <c r="AG309" s="4" t="str">
        <f t="shared" si="168"/>
        <v/>
      </c>
      <c r="AH309" s="4" t="str">
        <f t="shared" si="169"/>
        <v/>
      </c>
      <c r="AI309" s="4" t="str">
        <f t="shared" si="170"/>
        <v/>
      </c>
      <c r="AJ309" s="4" t="str">
        <f t="shared" si="171"/>
        <v/>
      </c>
      <c r="AK309" s="4" t="str">
        <f t="shared" si="172"/>
        <v/>
      </c>
      <c r="AL309" s="2" t="str">
        <f t="shared" si="173"/>
        <v/>
      </c>
      <c r="AM309" s="6" t="str">
        <f t="shared" si="174"/>
        <v/>
      </c>
      <c r="AN309" s="4" t="str">
        <f t="shared" si="175"/>
        <v/>
      </c>
      <c r="AO309" s="4" t="str">
        <f t="shared" si="176"/>
        <v/>
      </c>
      <c r="AP309" s="4" t="str">
        <f t="shared" si="177"/>
        <v/>
      </c>
      <c r="AQ309" s="4" t="str">
        <f t="shared" si="178"/>
        <v/>
      </c>
      <c r="AR309" s="4" t="str">
        <f t="shared" si="179"/>
        <v/>
      </c>
    </row>
    <row r="310" spans="8:44" s="1" customFormat="1" ht="14.25" x14ac:dyDescent="0.3">
      <c r="H310" s="50"/>
      <c r="J310" s="54"/>
      <c r="L310" s="54"/>
      <c r="R310" s="45"/>
      <c r="S310" s="54"/>
      <c r="T310" s="54"/>
      <c r="U310" s="54"/>
      <c r="V310" s="44"/>
      <c r="W310" s="27"/>
      <c r="Z310" s="27"/>
      <c r="AA310" s="8"/>
      <c r="AB310" s="81" t="str">
        <f t="shared" si="163"/>
        <v/>
      </c>
      <c r="AC310" s="6" t="str">
        <f t="shared" si="164"/>
        <v/>
      </c>
      <c r="AD310" s="1" t="str">
        <f t="shared" ca="1" si="165"/>
        <v/>
      </c>
      <c r="AE310" s="75" t="str">
        <f t="shared" si="166"/>
        <v/>
      </c>
      <c r="AF310" s="75" t="str">
        <f t="shared" si="167"/>
        <v/>
      </c>
      <c r="AG310" s="4" t="str">
        <f t="shared" si="168"/>
        <v/>
      </c>
      <c r="AH310" s="4" t="str">
        <f t="shared" si="169"/>
        <v/>
      </c>
      <c r="AI310" s="4" t="str">
        <f t="shared" si="170"/>
        <v/>
      </c>
      <c r="AJ310" s="4" t="str">
        <f t="shared" si="171"/>
        <v/>
      </c>
      <c r="AK310" s="4" t="str">
        <f t="shared" si="172"/>
        <v/>
      </c>
      <c r="AL310" s="2" t="str">
        <f t="shared" si="173"/>
        <v/>
      </c>
      <c r="AM310" s="6" t="str">
        <f t="shared" si="174"/>
        <v/>
      </c>
      <c r="AN310" s="4" t="str">
        <f t="shared" si="175"/>
        <v/>
      </c>
      <c r="AO310" s="4" t="str">
        <f t="shared" si="176"/>
        <v/>
      </c>
      <c r="AP310" s="4" t="str">
        <f t="shared" si="177"/>
        <v/>
      </c>
      <c r="AQ310" s="4" t="str">
        <f t="shared" si="178"/>
        <v/>
      </c>
      <c r="AR310" s="4" t="str">
        <f t="shared" si="179"/>
        <v/>
      </c>
    </row>
    <row r="311" spans="8:44" s="1" customFormat="1" ht="14.25" x14ac:dyDescent="0.3">
      <c r="H311" s="50"/>
      <c r="J311" s="54"/>
      <c r="L311" s="54"/>
      <c r="R311" s="45"/>
      <c r="S311" s="54"/>
      <c r="T311" s="54"/>
      <c r="U311" s="54"/>
      <c r="V311" s="44"/>
      <c r="W311" s="27"/>
      <c r="Z311" s="27"/>
      <c r="AA311" s="8"/>
      <c r="AB311" s="81" t="str">
        <f t="shared" si="163"/>
        <v/>
      </c>
      <c r="AC311" s="6" t="str">
        <f t="shared" si="164"/>
        <v/>
      </c>
      <c r="AD311" s="1" t="str">
        <f t="shared" ca="1" si="165"/>
        <v/>
      </c>
      <c r="AE311" s="75" t="str">
        <f t="shared" si="166"/>
        <v/>
      </c>
      <c r="AF311" s="75" t="str">
        <f t="shared" si="167"/>
        <v/>
      </c>
      <c r="AG311" s="4" t="str">
        <f t="shared" si="168"/>
        <v/>
      </c>
      <c r="AH311" s="4" t="str">
        <f t="shared" si="169"/>
        <v/>
      </c>
      <c r="AI311" s="4" t="str">
        <f t="shared" si="170"/>
        <v/>
      </c>
      <c r="AJ311" s="4" t="str">
        <f t="shared" si="171"/>
        <v/>
      </c>
      <c r="AK311" s="4" t="str">
        <f t="shared" si="172"/>
        <v/>
      </c>
      <c r="AL311" s="2" t="str">
        <f t="shared" si="173"/>
        <v/>
      </c>
      <c r="AM311" s="6" t="str">
        <f t="shared" si="174"/>
        <v/>
      </c>
      <c r="AN311" s="4" t="str">
        <f t="shared" si="175"/>
        <v/>
      </c>
      <c r="AO311" s="4" t="str">
        <f t="shared" si="176"/>
        <v/>
      </c>
      <c r="AP311" s="4" t="str">
        <f t="shared" si="177"/>
        <v/>
      </c>
      <c r="AQ311" s="4" t="str">
        <f t="shared" si="178"/>
        <v/>
      </c>
      <c r="AR311" s="4" t="str">
        <f t="shared" si="179"/>
        <v/>
      </c>
    </row>
    <row r="312" spans="8:44" s="1" customFormat="1" ht="14.25" x14ac:dyDescent="0.3">
      <c r="H312" s="50"/>
      <c r="J312" s="54"/>
      <c r="L312" s="54"/>
      <c r="R312" s="45"/>
      <c r="S312" s="54"/>
      <c r="T312" s="54"/>
      <c r="U312" s="54"/>
      <c r="V312" s="44"/>
      <c r="W312" s="27"/>
      <c r="Z312" s="27"/>
      <c r="AA312" s="8"/>
      <c r="AB312" s="81" t="str">
        <f t="shared" si="163"/>
        <v/>
      </c>
      <c r="AC312" s="6" t="str">
        <f t="shared" si="164"/>
        <v/>
      </c>
      <c r="AD312" s="1" t="str">
        <f t="shared" ca="1" si="165"/>
        <v/>
      </c>
      <c r="AE312" s="75" t="str">
        <f t="shared" si="166"/>
        <v/>
      </c>
      <c r="AF312" s="75" t="str">
        <f t="shared" si="167"/>
        <v/>
      </c>
      <c r="AG312" s="4" t="str">
        <f t="shared" si="168"/>
        <v/>
      </c>
      <c r="AH312" s="4" t="str">
        <f t="shared" si="169"/>
        <v/>
      </c>
      <c r="AI312" s="4" t="str">
        <f t="shared" si="170"/>
        <v/>
      </c>
      <c r="AJ312" s="4" t="str">
        <f t="shared" si="171"/>
        <v/>
      </c>
      <c r="AK312" s="4" t="str">
        <f t="shared" si="172"/>
        <v/>
      </c>
      <c r="AL312" s="2" t="str">
        <f t="shared" si="173"/>
        <v/>
      </c>
      <c r="AM312" s="6" t="str">
        <f t="shared" si="174"/>
        <v/>
      </c>
      <c r="AN312" s="4" t="str">
        <f t="shared" si="175"/>
        <v/>
      </c>
      <c r="AO312" s="4" t="str">
        <f t="shared" si="176"/>
        <v/>
      </c>
      <c r="AP312" s="4" t="str">
        <f t="shared" si="177"/>
        <v/>
      </c>
      <c r="AQ312" s="4" t="str">
        <f t="shared" si="178"/>
        <v/>
      </c>
      <c r="AR312" s="4" t="str">
        <f t="shared" si="179"/>
        <v/>
      </c>
    </row>
    <row r="313" spans="8:44" s="1" customFormat="1" ht="14.25" x14ac:dyDescent="0.3">
      <c r="H313" s="50"/>
      <c r="J313" s="54"/>
      <c r="L313" s="54"/>
      <c r="R313" s="45"/>
      <c r="S313" s="54"/>
      <c r="T313" s="54"/>
      <c r="U313" s="54"/>
      <c r="V313" s="44"/>
      <c r="W313" s="27"/>
      <c r="Z313" s="27"/>
      <c r="AA313" s="8"/>
      <c r="AB313" s="81" t="str">
        <f t="shared" si="163"/>
        <v/>
      </c>
      <c r="AC313" s="6" t="str">
        <f t="shared" si="164"/>
        <v/>
      </c>
      <c r="AD313" s="1" t="str">
        <f t="shared" ca="1" si="165"/>
        <v/>
      </c>
      <c r="AE313" s="75" t="str">
        <f t="shared" si="166"/>
        <v/>
      </c>
      <c r="AF313" s="75" t="str">
        <f t="shared" si="167"/>
        <v/>
      </c>
      <c r="AG313" s="4" t="str">
        <f t="shared" si="168"/>
        <v/>
      </c>
      <c r="AH313" s="4" t="str">
        <f t="shared" si="169"/>
        <v/>
      </c>
      <c r="AI313" s="4" t="str">
        <f t="shared" si="170"/>
        <v/>
      </c>
      <c r="AJ313" s="4" t="str">
        <f t="shared" si="171"/>
        <v/>
      </c>
      <c r="AK313" s="4" t="str">
        <f t="shared" si="172"/>
        <v/>
      </c>
      <c r="AL313" s="2" t="str">
        <f t="shared" si="173"/>
        <v/>
      </c>
      <c r="AM313" s="6" t="str">
        <f t="shared" si="174"/>
        <v/>
      </c>
      <c r="AN313" s="4" t="str">
        <f t="shared" si="175"/>
        <v/>
      </c>
      <c r="AO313" s="4" t="str">
        <f t="shared" si="176"/>
        <v/>
      </c>
      <c r="AP313" s="4" t="str">
        <f t="shared" si="177"/>
        <v/>
      </c>
      <c r="AQ313" s="4" t="str">
        <f t="shared" si="178"/>
        <v/>
      </c>
      <c r="AR313" s="4" t="str">
        <f t="shared" si="179"/>
        <v/>
      </c>
    </row>
    <row r="314" spans="8:44" s="1" customFormat="1" ht="14.25" x14ac:dyDescent="0.3">
      <c r="H314" s="50"/>
      <c r="J314" s="54"/>
      <c r="L314" s="54"/>
      <c r="R314" s="45"/>
      <c r="S314" s="54"/>
      <c r="T314" s="54"/>
      <c r="U314" s="54"/>
      <c r="V314" s="44"/>
      <c r="W314" s="27"/>
      <c r="Z314" s="27"/>
      <c r="AA314" s="8"/>
      <c r="AB314" s="81" t="str">
        <f t="shared" si="163"/>
        <v/>
      </c>
      <c r="AC314" s="6" t="str">
        <f t="shared" si="164"/>
        <v/>
      </c>
      <c r="AD314" s="1" t="str">
        <f t="shared" ca="1" si="165"/>
        <v/>
      </c>
      <c r="AE314" s="75" t="str">
        <f t="shared" si="166"/>
        <v/>
      </c>
      <c r="AF314" s="75" t="str">
        <f t="shared" si="167"/>
        <v/>
      </c>
      <c r="AG314" s="4" t="str">
        <f t="shared" si="168"/>
        <v/>
      </c>
      <c r="AH314" s="4" t="str">
        <f t="shared" si="169"/>
        <v/>
      </c>
      <c r="AI314" s="4" t="str">
        <f t="shared" si="170"/>
        <v/>
      </c>
      <c r="AJ314" s="4" t="str">
        <f t="shared" si="171"/>
        <v/>
      </c>
      <c r="AK314" s="4" t="str">
        <f t="shared" si="172"/>
        <v/>
      </c>
      <c r="AL314" s="2" t="str">
        <f t="shared" si="173"/>
        <v/>
      </c>
      <c r="AM314" s="6" t="str">
        <f t="shared" si="174"/>
        <v/>
      </c>
      <c r="AN314" s="4" t="str">
        <f t="shared" si="175"/>
        <v/>
      </c>
      <c r="AO314" s="4" t="str">
        <f t="shared" si="176"/>
        <v/>
      </c>
      <c r="AP314" s="4" t="str">
        <f t="shared" si="177"/>
        <v/>
      </c>
      <c r="AQ314" s="4" t="str">
        <f t="shared" si="178"/>
        <v/>
      </c>
      <c r="AR314" s="4" t="str">
        <f t="shared" si="179"/>
        <v/>
      </c>
    </row>
    <row r="315" spans="8:44" s="1" customFormat="1" ht="14.25" x14ac:dyDescent="0.3">
      <c r="H315" s="50"/>
      <c r="J315" s="54"/>
      <c r="L315" s="54"/>
      <c r="R315" s="45"/>
      <c r="S315" s="54"/>
      <c r="T315" s="54"/>
      <c r="U315" s="54"/>
      <c r="V315" s="44"/>
      <c r="W315" s="27"/>
      <c r="Z315" s="27"/>
      <c r="AA315" s="8"/>
      <c r="AB315" s="81" t="str">
        <f t="shared" si="163"/>
        <v/>
      </c>
      <c r="AC315" s="6" t="str">
        <f t="shared" si="164"/>
        <v/>
      </c>
      <c r="AD315" s="1" t="str">
        <f t="shared" ca="1" si="165"/>
        <v/>
      </c>
      <c r="AE315" s="75" t="str">
        <f t="shared" si="166"/>
        <v/>
      </c>
      <c r="AF315" s="75" t="str">
        <f t="shared" si="167"/>
        <v/>
      </c>
      <c r="AG315" s="4" t="str">
        <f t="shared" si="168"/>
        <v/>
      </c>
      <c r="AH315" s="4" t="str">
        <f t="shared" si="169"/>
        <v/>
      </c>
      <c r="AI315" s="4" t="str">
        <f t="shared" si="170"/>
        <v/>
      </c>
      <c r="AJ315" s="4" t="str">
        <f t="shared" si="171"/>
        <v/>
      </c>
      <c r="AK315" s="4" t="str">
        <f t="shared" si="172"/>
        <v/>
      </c>
      <c r="AL315" s="2" t="str">
        <f t="shared" si="173"/>
        <v/>
      </c>
      <c r="AM315" s="6" t="str">
        <f t="shared" si="174"/>
        <v/>
      </c>
      <c r="AN315" s="4" t="str">
        <f t="shared" si="175"/>
        <v/>
      </c>
      <c r="AO315" s="4" t="str">
        <f t="shared" si="176"/>
        <v/>
      </c>
      <c r="AP315" s="4" t="str">
        <f t="shared" si="177"/>
        <v/>
      </c>
      <c r="AQ315" s="4" t="str">
        <f t="shared" si="178"/>
        <v/>
      </c>
      <c r="AR315" s="4" t="str">
        <f t="shared" si="179"/>
        <v/>
      </c>
    </row>
    <row r="316" spans="8:44" s="1" customFormat="1" ht="14.25" x14ac:dyDescent="0.3">
      <c r="H316" s="50"/>
      <c r="J316" s="54"/>
      <c r="L316" s="54"/>
      <c r="R316" s="45"/>
      <c r="S316" s="54"/>
      <c r="T316" s="54"/>
      <c r="U316" s="54"/>
      <c r="V316" s="44"/>
      <c r="W316" s="27"/>
      <c r="Z316" s="27"/>
      <c r="AA316" s="8"/>
      <c r="AB316" s="81" t="str">
        <f t="shared" si="163"/>
        <v/>
      </c>
      <c r="AC316" s="6" t="str">
        <f t="shared" si="164"/>
        <v/>
      </c>
      <c r="AD316" s="1" t="str">
        <f t="shared" ca="1" si="165"/>
        <v/>
      </c>
      <c r="AE316" s="75" t="str">
        <f t="shared" si="166"/>
        <v/>
      </c>
      <c r="AF316" s="75" t="str">
        <f t="shared" si="167"/>
        <v/>
      </c>
      <c r="AG316" s="4" t="str">
        <f t="shared" si="168"/>
        <v/>
      </c>
      <c r="AH316" s="4" t="str">
        <f t="shared" si="169"/>
        <v/>
      </c>
      <c r="AI316" s="4" t="str">
        <f t="shared" si="170"/>
        <v/>
      </c>
      <c r="AJ316" s="4" t="str">
        <f t="shared" si="171"/>
        <v/>
      </c>
      <c r="AK316" s="4" t="str">
        <f t="shared" si="172"/>
        <v/>
      </c>
      <c r="AL316" s="2" t="str">
        <f t="shared" si="173"/>
        <v/>
      </c>
      <c r="AM316" s="6" t="str">
        <f t="shared" si="174"/>
        <v/>
      </c>
      <c r="AN316" s="4" t="str">
        <f t="shared" si="175"/>
        <v/>
      </c>
      <c r="AO316" s="4" t="str">
        <f t="shared" si="176"/>
        <v/>
      </c>
      <c r="AP316" s="4" t="str">
        <f t="shared" si="177"/>
        <v/>
      </c>
      <c r="AQ316" s="4" t="str">
        <f t="shared" si="178"/>
        <v/>
      </c>
      <c r="AR316" s="4" t="str">
        <f t="shared" si="179"/>
        <v/>
      </c>
    </row>
    <row r="317" spans="8:44" s="1" customFormat="1" ht="14.25" x14ac:dyDescent="0.3">
      <c r="H317" s="50"/>
      <c r="J317" s="54"/>
      <c r="L317" s="54"/>
      <c r="R317" s="45"/>
      <c r="S317" s="54"/>
      <c r="T317" s="54"/>
      <c r="U317" s="54"/>
      <c r="V317" s="44"/>
      <c r="W317" s="27"/>
      <c r="Z317" s="27"/>
      <c r="AA317" s="8"/>
      <c r="AB317" s="81" t="str">
        <f t="shared" ref="AB317:AB380" si="180">IF(X317="","",(AH317-AG317)/AG317)</f>
        <v/>
      </c>
      <c r="AC317" s="6" t="str">
        <f t="shared" ref="AC317:AC380" si="181">IF(X317="","",AH317-AG317)</f>
        <v/>
      </c>
      <c r="AD317" s="1" t="str">
        <f t="shared" ref="AD317:AD380" ca="1" si="182">IF(X317="","",IF(W317="","",IF(Z317="",TODAY()-W317,Z317-W317)))</f>
        <v/>
      </c>
      <c r="AE317" s="75" t="str">
        <f t="shared" ref="AE317:AE380" si="183">IF(X317="","",IF(AE316="",IF(AM317="","",AM317),IF(AM317="",AE316,AE316+AM317)))</f>
        <v/>
      </c>
      <c r="AF317" s="75" t="str">
        <f t="shared" ref="AF317:AF380" si="184">IF(X317="","",IF(AF316="",IF(AN317="","",AN317),IF(AN317="",AF316,AF316+AN317)))</f>
        <v/>
      </c>
      <c r="AG317" s="4" t="str">
        <f t="shared" ref="AG317:AG380" si="185">IF(X317="","",X317*Y317*100+AO317+AP317)</f>
        <v/>
      </c>
      <c r="AH317" s="4" t="str">
        <f t="shared" ref="AH317:AH380" si="186">IF(X317="","",IF(AA317="",C317*Y317*100-AO317-AQ317-AR317,AA317*Y317*100-AO317-AQ317-AR317))</f>
        <v/>
      </c>
      <c r="AI317" s="4" t="str">
        <f t="shared" ref="AI317:AI380" si="187">IF(X317="","",AI316+AC317)</f>
        <v/>
      </c>
      <c r="AJ317" s="4" t="str">
        <f t="shared" ref="AJ317:AJ380" si="188">IF(X317="","",AO317+AP317+AO317+AQ317+AR317)</f>
        <v/>
      </c>
      <c r="AK317" s="4" t="str">
        <f t="shared" ref="AK317:AK380" si="189">IF(X317="","",AK316+AJ317)</f>
        <v/>
      </c>
      <c r="AL317" s="2" t="str">
        <f t="shared" ref="AL317:AL380" si="190">IF(X317="","",0.18%)</f>
        <v/>
      </c>
      <c r="AM317" s="6" t="str">
        <f t="shared" ref="AM317:AM380" si="191">IF(X317="","",IF(Z317="",AC317,""))</f>
        <v/>
      </c>
      <c r="AN317" s="4" t="str">
        <f t="shared" ref="AN317:AN380" si="192">IF(X317="","",IF(Z317="",AH317,""))</f>
        <v/>
      </c>
      <c r="AO317" s="4" t="str">
        <f t="shared" ref="AO317:AO380" si="193">IF(X317="","",IF(LEFT(A317,2)="sh",IF(Y317*100/1000&lt;=1,1,Y317*100/1000),0))</f>
        <v/>
      </c>
      <c r="AP317" s="4" t="str">
        <f t="shared" ref="AP317:AP380" si="194">IF(X317="","",IF(X317*Y317*100*AL317&lt;=5,5,X317*Y317*100*AL317))</f>
        <v/>
      </c>
      <c r="AQ317" s="4" t="str">
        <f t="shared" ref="AQ317:AQ380" si="195">IF(X317="","",IF(AA317="",IF(C317*Y317*100*AL317&lt;=5,5,C317*Y317*100*AL317),IF(AA317*Y317*100*AL317&lt;=5,5,AA317*Y317*100*AL317)))</f>
        <v/>
      </c>
      <c r="AR317" s="4" t="str">
        <f t="shared" ref="AR317:AR380" si="196">IF(X317="","",IF(AA317="",C317*Y317*100*0.001,AA317*Y317*100*0.001))</f>
        <v/>
      </c>
    </row>
    <row r="318" spans="8:44" s="1" customFormat="1" ht="14.25" x14ac:dyDescent="0.3">
      <c r="H318" s="50"/>
      <c r="J318" s="54"/>
      <c r="L318" s="54"/>
      <c r="R318" s="45"/>
      <c r="S318" s="54"/>
      <c r="T318" s="54"/>
      <c r="U318" s="54"/>
      <c r="V318" s="44"/>
      <c r="W318" s="27"/>
      <c r="Z318" s="27"/>
      <c r="AA318" s="8"/>
      <c r="AB318" s="81" t="str">
        <f t="shared" si="180"/>
        <v/>
      </c>
      <c r="AC318" s="6" t="str">
        <f t="shared" si="181"/>
        <v/>
      </c>
      <c r="AD318" s="1" t="str">
        <f t="shared" ca="1" si="182"/>
        <v/>
      </c>
      <c r="AE318" s="75" t="str">
        <f t="shared" si="183"/>
        <v/>
      </c>
      <c r="AF318" s="75" t="str">
        <f t="shared" si="184"/>
        <v/>
      </c>
      <c r="AG318" s="4" t="str">
        <f t="shared" si="185"/>
        <v/>
      </c>
      <c r="AH318" s="4" t="str">
        <f t="shared" si="186"/>
        <v/>
      </c>
      <c r="AI318" s="4" t="str">
        <f t="shared" si="187"/>
        <v/>
      </c>
      <c r="AJ318" s="4" t="str">
        <f t="shared" si="188"/>
        <v/>
      </c>
      <c r="AK318" s="4" t="str">
        <f t="shared" si="189"/>
        <v/>
      </c>
      <c r="AL318" s="2" t="str">
        <f t="shared" si="190"/>
        <v/>
      </c>
      <c r="AM318" s="6" t="str">
        <f t="shared" si="191"/>
        <v/>
      </c>
      <c r="AN318" s="4" t="str">
        <f t="shared" si="192"/>
        <v/>
      </c>
      <c r="AO318" s="4" t="str">
        <f t="shared" si="193"/>
        <v/>
      </c>
      <c r="AP318" s="4" t="str">
        <f t="shared" si="194"/>
        <v/>
      </c>
      <c r="AQ318" s="4" t="str">
        <f t="shared" si="195"/>
        <v/>
      </c>
      <c r="AR318" s="4" t="str">
        <f t="shared" si="196"/>
        <v/>
      </c>
    </row>
    <row r="319" spans="8:44" s="1" customFormat="1" ht="14.25" x14ac:dyDescent="0.3">
      <c r="H319" s="50"/>
      <c r="J319" s="54"/>
      <c r="L319" s="54"/>
      <c r="R319" s="45"/>
      <c r="S319" s="54"/>
      <c r="T319" s="54"/>
      <c r="U319" s="54"/>
      <c r="V319" s="44"/>
      <c r="W319" s="27"/>
      <c r="Z319" s="27"/>
      <c r="AA319" s="8"/>
      <c r="AB319" s="81" t="str">
        <f t="shared" si="180"/>
        <v/>
      </c>
      <c r="AC319" s="6" t="str">
        <f t="shared" si="181"/>
        <v/>
      </c>
      <c r="AD319" s="1" t="str">
        <f t="shared" ca="1" si="182"/>
        <v/>
      </c>
      <c r="AE319" s="75" t="str">
        <f t="shared" si="183"/>
        <v/>
      </c>
      <c r="AF319" s="75" t="str">
        <f t="shared" si="184"/>
        <v/>
      </c>
      <c r="AG319" s="4" t="str">
        <f t="shared" si="185"/>
        <v/>
      </c>
      <c r="AH319" s="4" t="str">
        <f t="shared" si="186"/>
        <v/>
      </c>
      <c r="AI319" s="4" t="str">
        <f t="shared" si="187"/>
        <v/>
      </c>
      <c r="AJ319" s="4" t="str">
        <f t="shared" si="188"/>
        <v/>
      </c>
      <c r="AK319" s="4" t="str">
        <f t="shared" si="189"/>
        <v/>
      </c>
      <c r="AL319" s="2" t="str">
        <f t="shared" si="190"/>
        <v/>
      </c>
      <c r="AM319" s="6" t="str">
        <f t="shared" si="191"/>
        <v/>
      </c>
      <c r="AN319" s="4" t="str">
        <f t="shared" si="192"/>
        <v/>
      </c>
      <c r="AO319" s="4" t="str">
        <f t="shared" si="193"/>
        <v/>
      </c>
      <c r="AP319" s="4" t="str">
        <f t="shared" si="194"/>
        <v/>
      </c>
      <c r="AQ319" s="4" t="str">
        <f t="shared" si="195"/>
        <v/>
      </c>
      <c r="AR319" s="4" t="str">
        <f t="shared" si="196"/>
        <v/>
      </c>
    </row>
    <row r="320" spans="8:44" s="1" customFormat="1" ht="14.25" x14ac:dyDescent="0.3">
      <c r="H320" s="50"/>
      <c r="J320" s="54"/>
      <c r="L320" s="54"/>
      <c r="R320" s="45"/>
      <c r="S320" s="54"/>
      <c r="T320" s="54"/>
      <c r="U320" s="54"/>
      <c r="V320" s="44"/>
      <c r="W320" s="27"/>
      <c r="Z320" s="27"/>
      <c r="AA320" s="8"/>
      <c r="AB320" s="81" t="str">
        <f t="shared" si="180"/>
        <v/>
      </c>
      <c r="AC320" s="6" t="str">
        <f t="shared" si="181"/>
        <v/>
      </c>
      <c r="AD320" s="1" t="str">
        <f t="shared" ca="1" si="182"/>
        <v/>
      </c>
      <c r="AE320" s="75" t="str">
        <f t="shared" si="183"/>
        <v/>
      </c>
      <c r="AF320" s="75" t="str">
        <f t="shared" si="184"/>
        <v/>
      </c>
      <c r="AG320" s="4" t="str">
        <f t="shared" si="185"/>
        <v/>
      </c>
      <c r="AH320" s="4" t="str">
        <f t="shared" si="186"/>
        <v/>
      </c>
      <c r="AI320" s="4" t="str">
        <f t="shared" si="187"/>
        <v/>
      </c>
      <c r="AJ320" s="4" t="str">
        <f t="shared" si="188"/>
        <v/>
      </c>
      <c r="AK320" s="4" t="str">
        <f t="shared" si="189"/>
        <v/>
      </c>
      <c r="AL320" s="2" t="str">
        <f t="shared" si="190"/>
        <v/>
      </c>
      <c r="AM320" s="6" t="str">
        <f t="shared" si="191"/>
        <v/>
      </c>
      <c r="AN320" s="4" t="str">
        <f t="shared" si="192"/>
        <v/>
      </c>
      <c r="AO320" s="4" t="str">
        <f t="shared" si="193"/>
        <v/>
      </c>
      <c r="AP320" s="4" t="str">
        <f t="shared" si="194"/>
        <v/>
      </c>
      <c r="AQ320" s="4" t="str">
        <f t="shared" si="195"/>
        <v/>
      </c>
      <c r="AR320" s="4" t="str">
        <f t="shared" si="196"/>
        <v/>
      </c>
    </row>
    <row r="321" spans="8:44" s="1" customFormat="1" ht="14.25" x14ac:dyDescent="0.3">
      <c r="H321" s="50"/>
      <c r="J321" s="54"/>
      <c r="L321" s="54"/>
      <c r="R321" s="45"/>
      <c r="S321" s="54"/>
      <c r="T321" s="54"/>
      <c r="U321" s="54"/>
      <c r="V321" s="44"/>
      <c r="W321" s="27"/>
      <c r="Z321" s="27"/>
      <c r="AA321" s="8"/>
      <c r="AB321" s="81" t="str">
        <f t="shared" si="180"/>
        <v/>
      </c>
      <c r="AC321" s="6" t="str">
        <f t="shared" si="181"/>
        <v/>
      </c>
      <c r="AD321" s="1" t="str">
        <f t="shared" ca="1" si="182"/>
        <v/>
      </c>
      <c r="AE321" s="75" t="str">
        <f t="shared" si="183"/>
        <v/>
      </c>
      <c r="AF321" s="75" t="str">
        <f t="shared" si="184"/>
        <v/>
      </c>
      <c r="AG321" s="4" t="str">
        <f t="shared" si="185"/>
        <v/>
      </c>
      <c r="AH321" s="4" t="str">
        <f t="shared" si="186"/>
        <v/>
      </c>
      <c r="AI321" s="4" t="str">
        <f t="shared" si="187"/>
        <v/>
      </c>
      <c r="AJ321" s="4" t="str">
        <f t="shared" si="188"/>
        <v/>
      </c>
      <c r="AK321" s="4" t="str">
        <f t="shared" si="189"/>
        <v/>
      </c>
      <c r="AL321" s="2" t="str">
        <f t="shared" si="190"/>
        <v/>
      </c>
      <c r="AM321" s="6" t="str">
        <f t="shared" si="191"/>
        <v/>
      </c>
      <c r="AN321" s="4" t="str">
        <f t="shared" si="192"/>
        <v/>
      </c>
      <c r="AO321" s="4" t="str">
        <f t="shared" si="193"/>
        <v/>
      </c>
      <c r="AP321" s="4" t="str">
        <f t="shared" si="194"/>
        <v/>
      </c>
      <c r="AQ321" s="4" t="str">
        <f t="shared" si="195"/>
        <v/>
      </c>
      <c r="AR321" s="4" t="str">
        <f t="shared" si="196"/>
        <v/>
      </c>
    </row>
    <row r="322" spans="8:44" s="1" customFormat="1" ht="14.25" x14ac:dyDescent="0.3">
      <c r="H322" s="50"/>
      <c r="J322" s="54"/>
      <c r="L322" s="54"/>
      <c r="R322" s="45"/>
      <c r="S322" s="54"/>
      <c r="T322" s="54"/>
      <c r="U322" s="54"/>
      <c r="V322" s="44"/>
      <c r="W322" s="27"/>
      <c r="Z322" s="27"/>
      <c r="AA322" s="8"/>
      <c r="AB322" s="81" t="str">
        <f t="shared" si="180"/>
        <v/>
      </c>
      <c r="AC322" s="6" t="str">
        <f t="shared" si="181"/>
        <v/>
      </c>
      <c r="AD322" s="1" t="str">
        <f t="shared" ca="1" si="182"/>
        <v/>
      </c>
      <c r="AE322" s="75" t="str">
        <f t="shared" si="183"/>
        <v/>
      </c>
      <c r="AF322" s="75" t="str">
        <f t="shared" si="184"/>
        <v/>
      </c>
      <c r="AG322" s="4" t="str">
        <f t="shared" si="185"/>
        <v/>
      </c>
      <c r="AH322" s="4" t="str">
        <f t="shared" si="186"/>
        <v/>
      </c>
      <c r="AI322" s="4" t="str">
        <f t="shared" si="187"/>
        <v/>
      </c>
      <c r="AJ322" s="4" t="str">
        <f t="shared" si="188"/>
        <v/>
      </c>
      <c r="AK322" s="4" t="str">
        <f t="shared" si="189"/>
        <v/>
      </c>
      <c r="AL322" s="2" t="str">
        <f t="shared" si="190"/>
        <v/>
      </c>
      <c r="AM322" s="6" t="str">
        <f t="shared" si="191"/>
        <v/>
      </c>
      <c r="AN322" s="4" t="str">
        <f t="shared" si="192"/>
        <v/>
      </c>
      <c r="AO322" s="4" t="str">
        <f t="shared" si="193"/>
        <v/>
      </c>
      <c r="AP322" s="4" t="str">
        <f t="shared" si="194"/>
        <v/>
      </c>
      <c r="AQ322" s="4" t="str">
        <f t="shared" si="195"/>
        <v/>
      </c>
      <c r="AR322" s="4" t="str">
        <f t="shared" si="196"/>
        <v/>
      </c>
    </row>
    <row r="323" spans="8:44" s="1" customFormat="1" ht="14.25" x14ac:dyDescent="0.3">
      <c r="H323" s="50"/>
      <c r="J323" s="54"/>
      <c r="L323" s="54"/>
      <c r="R323" s="45"/>
      <c r="S323" s="54"/>
      <c r="T323" s="54"/>
      <c r="U323" s="54"/>
      <c r="V323" s="44"/>
      <c r="W323" s="27"/>
      <c r="Z323" s="27"/>
      <c r="AA323" s="8"/>
      <c r="AB323" s="81" t="str">
        <f t="shared" si="180"/>
        <v/>
      </c>
      <c r="AC323" s="6" t="str">
        <f t="shared" si="181"/>
        <v/>
      </c>
      <c r="AD323" s="1" t="str">
        <f t="shared" ca="1" si="182"/>
        <v/>
      </c>
      <c r="AE323" s="75" t="str">
        <f t="shared" si="183"/>
        <v/>
      </c>
      <c r="AF323" s="75" t="str">
        <f t="shared" si="184"/>
        <v/>
      </c>
      <c r="AG323" s="4" t="str">
        <f t="shared" si="185"/>
        <v/>
      </c>
      <c r="AH323" s="4" t="str">
        <f t="shared" si="186"/>
        <v/>
      </c>
      <c r="AI323" s="4" t="str">
        <f t="shared" si="187"/>
        <v/>
      </c>
      <c r="AJ323" s="4" t="str">
        <f t="shared" si="188"/>
        <v/>
      </c>
      <c r="AK323" s="4" t="str">
        <f t="shared" si="189"/>
        <v/>
      </c>
      <c r="AL323" s="2" t="str">
        <f t="shared" si="190"/>
        <v/>
      </c>
      <c r="AM323" s="6" t="str">
        <f t="shared" si="191"/>
        <v/>
      </c>
      <c r="AN323" s="4" t="str">
        <f t="shared" si="192"/>
        <v/>
      </c>
      <c r="AO323" s="4" t="str">
        <f t="shared" si="193"/>
        <v/>
      </c>
      <c r="AP323" s="4" t="str">
        <f t="shared" si="194"/>
        <v/>
      </c>
      <c r="AQ323" s="4" t="str">
        <f t="shared" si="195"/>
        <v/>
      </c>
      <c r="AR323" s="4" t="str">
        <f t="shared" si="196"/>
        <v/>
      </c>
    </row>
    <row r="324" spans="8:44" s="1" customFormat="1" ht="14.25" x14ac:dyDescent="0.3">
      <c r="H324" s="50"/>
      <c r="J324" s="54"/>
      <c r="L324" s="54"/>
      <c r="R324" s="45"/>
      <c r="S324" s="54"/>
      <c r="T324" s="54"/>
      <c r="U324" s="54"/>
      <c r="V324" s="44"/>
      <c r="W324" s="27"/>
      <c r="Z324" s="27"/>
      <c r="AA324" s="8"/>
      <c r="AB324" s="81" t="str">
        <f t="shared" si="180"/>
        <v/>
      </c>
      <c r="AC324" s="6" t="str">
        <f t="shared" si="181"/>
        <v/>
      </c>
      <c r="AD324" s="1" t="str">
        <f t="shared" ca="1" si="182"/>
        <v/>
      </c>
      <c r="AE324" s="75" t="str">
        <f t="shared" si="183"/>
        <v/>
      </c>
      <c r="AF324" s="75" t="str">
        <f t="shared" si="184"/>
        <v/>
      </c>
      <c r="AG324" s="4" t="str">
        <f t="shared" si="185"/>
        <v/>
      </c>
      <c r="AH324" s="4" t="str">
        <f t="shared" si="186"/>
        <v/>
      </c>
      <c r="AI324" s="4" t="str">
        <f t="shared" si="187"/>
        <v/>
      </c>
      <c r="AJ324" s="4" t="str">
        <f t="shared" si="188"/>
        <v/>
      </c>
      <c r="AK324" s="4" t="str">
        <f t="shared" si="189"/>
        <v/>
      </c>
      <c r="AL324" s="2" t="str">
        <f t="shared" si="190"/>
        <v/>
      </c>
      <c r="AM324" s="6" t="str">
        <f t="shared" si="191"/>
        <v/>
      </c>
      <c r="AN324" s="4" t="str">
        <f t="shared" si="192"/>
        <v/>
      </c>
      <c r="AO324" s="4" t="str">
        <f t="shared" si="193"/>
        <v/>
      </c>
      <c r="AP324" s="4" t="str">
        <f t="shared" si="194"/>
        <v/>
      </c>
      <c r="AQ324" s="4" t="str">
        <f t="shared" si="195"/>
        <v/>
      </c>
      <c r="AR324" s="4" t="str">
        <f t="shared" si="196"/>
        <v/>
      </c>
    </row>
    <row r="325" spans="8:44" s="1" customFormat="1" ht="14.25" x14ac:dyDescent="0.3">
      <c r="H325" s="50"/>
      <c r="J325" s="54"/>
      <c r="L325" s="54"/>
      <c r="R325" s="45"/>
      <c r="S325" s="54"/>
      <c r="T325" s="54"/>
      <c r="U325" s="54"/>
      <c r="V325" s="44"/>
      <c r="W325" s="27"/>
      <c r="Z325" s="27"/>
      <c r="AA325" s="8"/>
      <c r="AB325" s="81" t="str">
        <f t="shared" si="180"/>
        <v/>
      </c>
      <c r="AC325" s="6" t="str">
        <f t="shared" si="181"/>
        <v/>
      </c>
      <c r="AD325" s="1" t="str">
        <f t="shared" ca="1" si="182"/>
        <v/>
      </c>
      <c r="AE325" s="75" t="str">
        <f t="shared" si="183"/>
        <v/>
      </c>
      <c r="AF325" s="75" t="str">
        <f t="shared" si="184"/>
        <v/>
      </c>
      <c r="AG325" s="4" t="str">
        <f t="shared" si="185"/>
        <v/>
      </c>
      <c r="AH325" s="4" t="str">
        <f t="shared" si="186"/>
        <v/>
      </c>
      <c r="AI325" s="4" t="str">
        <f t="shared" si="187"/>
        <v/>
      </c>
      <c r="AJ325" s="4" t="str">
        <f t="shared" si="188"/>
        <v/>
      </c>
      <c r="AK325" s="4" t="str">
        <f t="shared" si="189"/>
        <v/>
      </c>
      <c r="AL325" s="2" t="str">
        <f t="shared" si="190"/>
        <v/>
      </c>
      <c r="AM325" s="6" t="str">
        <f t="shared" si="191"/>
        <v/>
      </c>
      <c r="AN325" s="4" t="str">
        <f t="shared" si="192"/>
        <v/>
      </c>
      <c r="AO325" s="4" t="str">
        <f t="shared" si="193"/>
        <v/>
      </c>
      <c r="AP325" s="4" t="str">
        <f t="shared" si="194"/>
        <v/>
      </c>
      <c r="AQ325" s="4" t="str">
        <f t="shared" si="195"/>
        <v/>
      </c>
      <c r="AR325" s="4" t="str">
        <f t="shared" si="196"/>
        <v/>
      </c>
    </row>
    <row r="326" spans="8:44" s="1" customFormat="1" ht="14.25" x14ac:dyDescent="0.3">
      <c r="H326" s="50"/>
      <c r="J326" s="54"/>
      <c r="L326" s="54"/>
      <c r="R326" s="45"/>
      <c r="S326" s="54"/>
      <c r="T326" s="54"/>
      <c r="U326" s="54"/>
      <c r="V326" s="44"/>
      <c r="W326" s="27"/>
      <c r="Z326" s="27"/>
      <c r="AA326" s="8"/>
      <c r="AB326" s="81" t="str">
        <f t="shared" si="180"/>
        <v/>
      </c>
      <c r="AC326" s="6" t="str">
        <f t="shared" si="181"/>
        <v/>
      </c>
      <c r="AD326" s="1" t="str">
        <f t="shared" ca="1" si="182"/>
        <v/>
      </c>
      <c r="AE326" s="75" t="str">
        <f t="shared" si="183"/>
        <v/>
      </c>
      <c r="AF326" s="75" t="str">
        <f t="shared" si="184"/>
        <v/>
      </c>
      <c r="AG326" s="4" t="str">
        <f t="shared" si="185"/>
        <v/>
      </c>
      <c r="AH326" s="4" t="str">
        <f t="shared" si="186"/>
        <v/>
      </c>
      <c r="AI326" s="4" t="str">
        <f t="shared" si="187"/>
        <v/>
      </c>
      <c r="AJ326" s="4" t="str">
        <f t="shared" si="188"/>
        <v/>
      </c>
      <c r="AK326" s="4" t="str">
        <f t="shared" si="189"/>
        <v/>
      </c>
      <c r="AL326" s="2" t="str">
        <f t="shared" si="190"/>
        <v/>
      </c>
      <c r="AM326" s="6" t="str">
        <f t="shared" si="191"/>
        <v/>
      </c>
      <c r="AN326" s="4" t="str">
        <f t="shared" si="192"/>
        <v/>
      </c>
      <c r="AO326" s="4" t="str">
        <f t="shared" si="193"/>
        <v/>
      </c>
      <c r="AP326" s="4" t="str">
        <f t="shared" si="194"/>
        <v/>
      </c>
      <c r="AQ326" s="4" t="str">
        <f t="shared" si="195"/>
        <v/>
      </c>
      <c r="AR326" s="4" t="str">
        <f t="shared" si="196"/>
        <v/>
      </c>
    </row>
    <row r="327" spans="8:44" s="1" customFormat="1" ht="14.25" x14ac:dyDescent="0.3">
      <c r="H327" s="50"/>
      <c r="J327" s="54"/>
      <c r="L327" s="54"/>
      <c r="R327" s="45"/>
      <c r="S327" s="54"/>
      <c r="T327" s="54"/>
      <c r="U327" s="54"/>
      <c r="V327" s="44"/>
      <c r="W327" s="27"/>
      <c r="Z327" s="27"/>
      <c r="AA327" s="8"/>
      <c r="AB327" s="81" t="str">
        <f t="shared" si="180"/>
        <v/>
      </c>
      <c r="AC327" s="6" t="str">
        <f t="shared" si="181"/>
        <v/>
      </c>
      <c r="AD327" s="1" t="str">
        <f t="shared" ca="1" si="182"/>
        <v/>
      </c>
      <c r="AE327" s="75" t="str">
        <f t="shared" si="183"/>
        <v/>
      </c>
      <c r="AF327" s="75" t="str">
        <f t="shared" si="184"/>
        <v/>
      </c>
      <c r="AG327" s="4" t="str">
        <f t="shared" si="185"/>
        <v/>
      </c>
      <c r="AH327" s="4" t="str">
        <f t="shared" si="186"/>
        <v/>
      </c>
      <c r="AI327" s="4" t="str">
        <f t="shared" si="187"/>
        <v/>
      </c>
      <c r="AJ327" s="4" t="str">
        <f t="shared" si="188"/>
        <v/>
      </c>
      <c r="AK327" s="4" t="str">
        <f t="shared" si="189"/>
        <v/>
      </c>
      <c r="AL327" s="2" t="str">
        <f t="shared" si="190"/>
        <v/>
      </c>
      <c r="AM327" s="6" t="str">
        <f t="shared" si="191"/>
        <v/>
      </c>
      <c r="AN327" s="4" t="str">
        <f t="shared" si="192"/>
        <v/>
      </c>
      <c r="AO327" s="4" t="str">
        <f t="shared" si="193"/>
        <v/>
      </c>
      <c r="AP327" s="4" t="str">
        <f t="shared" si="194"/>
        <v/>
      </c>
      <c r="AQ327" s="4" t="str">
        <f t="shared" si="195"/>
        <v/>
      </c>
      <c r="AR327" s="4" t="str">
        <f t="shared" si="196"/>
        <v/>
      </c>
    </row>
    <row r="328" spans="8:44" s="1" customFormat="1" ht="14.25" x14ac:dyDescent="0.3">
      <c r="H328" s="50"/>
      <c r="J328" s="54"/>
      <c r="L328" s="54"/>
      <c r="R328" s="45"/>
      <c r="S328" s="54"/>
      <c r="T328" s="54"/>
      <c r="U328" s="54"/>
      <c r="V328" s="44"/>
      <c r="W328" s="27"/>
      <c r="Z328" s="27"/>
      <c r="AA328" s="8"/>
      <c r="AB328" s="81" t="str">
        <f t="shared" si="180"/>
        <v/>
      </c>
      <c r="AC328" s="6" t="str">
        <f t="shared" si="181"/>
        <v/>
      </c>
      <c r="AD328" s="1" t="str">
        <f t="shared" ca="1" si="182"/>
        <v/>
      </c>
      <c r="AE328" s="75" t="str">
        <f t="shared" si="183"/>
        <v/>
      </c>
      <c r="AF328" s="75" t="str">
        <f t="shared" si="184"/>
        <v/>
      </c>
      <c r="AG328" s="4" t="str">
        <f t="shared" si="185"/>
        <v/>
      </c>
      <c r="AH328" s="4" t="str">
        <f t="shared" si="186"/>
        <v/>
      </c>
      <c r="AI328" s="4" t="str">
        <f t="shared" si="187"/>
        <v/>
      </c>
      <c r="AJ328" s="4" t="str">
        <f t="shared" si="188"/>
        <v/>
      </c>
      <c r="AK328" s="4" t="str">
        <f t="shared" si="189"/>
        <v/>
      </c>
      <c r="AL328" s="2" t="str">
        <f t="shared" si="190"/>
        <v/>
      </c>
      <c r="AM328" s="6" t="str">
        <f t="shared" si="191"/>
        <v/>
      </c>
      <c r="AN328" s="4" t="str">
        <f t="shared" si="192"/>
        <v/>
      </c>
      <c r="AO328" s="4" t="str">
        <f t="shared" si="193"/>
        <v/>
      </c>
      <c r="AP328" s="4" t="str">
        <f t="shared" si="194"/>
        <v/>
      </c>
      <c r="AQ328" s="4" t="str">
        <f t="shared" si="195"/>
        <v/>
      </c>
      <c r="AR328" s="4" t="str">
        <f t="shared" si="196"/>
        <v/>
      </c>
    </row>
    <row r="329" spans="8:44" s="1" customFormat="1" ht="14.25" x14ac:dyDescent="0.3">
      <c r="H329" s="50"/>
      <c r="J329" s="54"/>
      <c r="L329" s="54"/>
      <c r="R329" s="45"/>
      <c r="S329" s="54"/>
      <c r="T329" s="54"/>
      <c r="U329" s="54"/>
      <c r="V329" s="44"/>
      <c r="W329" s="27"/>
      <c r="Z329" s="27"/>
      <c r="AA329" s="8"/>
      <c r="AB329" s="81" t="str">
        <f t="shared" si="180"/>
        <v/>
      </c>
      <c r="AC329" s="6" t="str">
        <f t="shared" si="181"/>
        <v/>
      </c>
      <c r="AD329" s="1" t="str">
        <f t="shared" ca="1" si="182"/>
        <v/>
      </c>
      <c r="AE329" s="75" t="str">
        <f t="shared" si="183"/>
        <v/>
      </c>
      <c r="AF329" s="75" t="str">
        <f t="shared" si="184"/>
        <v/>
      </c>
      <c r="AG329" s="4" t="str">
        <f t="shared" si="185"/>
        <v/>
      </c>
      <c r="AH329" s="4" t="str">
        <f t="shared" si="186"/>
        <v/>
      </c>
      <c r="AI329" s="4" t="str">
        <f t="shared" si="187"/>
        <v/>
      </c>
      <c r="AJ329" s="4" t="str">
        <f t="shared" si="188"/>
        <v/>
      </c>
      <c r="AK329" s="4" t="str">
        <f t="shared" si="189"/>
        <v/>
      </c>
      <c r="AL329" s="2" t="str">
        <f t="shared" si="190"/>
        <v/>
      </c>
      <c r="AM329" s="6" t="str">
        <f t="shared" si="191"/>
        <v/>
      </c>
      <c r="AN329" s="4" t="str">
        <f t="shared" si="192"/>
        <v/>
      </c>
      <c r="AO329" s="4" t="str">
        <f t="shared" si="193"/>
        <v/>
      </c>
      <c r="AP329" s="4" t="str">
        <f t="shared" si="194"/>
        <v/>
      </c>
      <c r="AQ329" s="4" t="str">
        <f t="shared" si="195"/>
        <v/>
      </c>
      <c r="AR329" s="4" t="str">
        <f t="shared" si="196"/>
        <v/>
      </c>
    </row>
    <row r="330" spans="8:44" s="1" customFormat="1" ht="14.25" x14ac:dyDescent="0.3">
      <c r="H330" s="50"/>
      <c r="J330" s="54"/>
      <c r="L330" s="54"/>
      <c r="R330" s="45"/>
      <c r="S330" s="54"/>
      <c r="T330" s="54"/>
      <c r="U330" s="54"/>
      <c r="V330" s="44"/>
      <c r="W330" s="27"/>
      <c r="Z330" s="27"/>
      <c r="AA330" s="8"/>
      <c r="AB330" s="81" t="str">
        <f t="shared" si="180"/>
        <v/>
      </c>
      <c r="AC330" s="6" t="str">
        <f t="shared" si="181"/>
        <v/>
      </c>
      <c r="AD330" s="1" t="str">
        <f t="shared" ca="1" si="182"/>
        <v/>
      </c>
      <c r="AE330" s="75" t="str">
        <f t="shared" si="183"/>
        <v/>
      </c>
      <c r="AF330" s="75" t="str">
        <f t="shared" si="184"/>
        <v/>
      </c>
      <c r="AG330" s="4" t="str">
        <f t="shared" si="185"/>
        <v/>
      </c>
      <c r="AH330" s="4" t="str">
        <f t="shared" si="186"/>
        <v/>
      </c>
      <c r="AI330" s="4" t="str">
        <f t="shared" si="187"/>
        <v/>
      </c>
      <c r="AJ330" s="4" t="str">
        <f t="shared" si="188"/>
        <v/>
      </c>
      <c r="AK330" s="4" t="str">
        <f t="shared" si="189"/>
        <v/>
      </c>
      <c r="AL330" s="2" t="str">
        <f t="shared" si="190"/>
        <v/>
      </c>
      <c r="AM330" s="6" t="str">
        <f t="shared" si="191"/>
        <v/>
      </c>
      <c r="AN330" s="4" t="str">
        <f t="shared" si="192"/>
        <v/>
      </c>
      <c r="AO330" s="4" t="str">
        <f t="shared" si="193"/>
        <v/>
      </c>
      <c r="AP330" s="4" t="str">
        <f t="shared" si="194"/>
        <v/>
      </c>
      <c r="AQ330" s="4" t="str">
        <f t="shared" si="195"/>
        <v/>
      </c>
      <c r="AR330" s="4" t="str">
        <f t="shared" si="196"/>
        <v/>
      </c>
    </row>
    <row r="331" spans="8:44" s="1" customFormat="1" ht="14.25" x14ac:dyDescent="0.3">
      <c r="H331" s="50"/>
      <c r="J331" s="54"/>
      <c r="L331" s="54"/>
      <c r="R331" s="45"/>
      <c r="S331" s="54"/>
      <c r="T331" s="54"/>
      <c r="U331" s="54"/>
      <c r="V331" s="44"/>
      <c r="W331" s="27"/>
      <c r="Z331" s="27"/>
      <c r="AA331" s="8"/>
      <c r="AB331" s="81" t="str">
        <f t="shared" si="180"/>
        <v/>
      </c>
      <c r="AC331" s="6" t="str">
        <f t="shared" si="181"/>
        <v/>
      </c>
      <c r="AD331" s="1" t="str">
        <f t="shared" ca="1" si="182"/>
        <v/>
      </c>
      <c r="AE331" s="75" t="str">
        <f t="shared" si="183"/>
        <v/>
      </c>
      <c r="AF331" s="75" t="str">
        <f t="shared" si="184"/>
        <v/>
      </c>
      <c r="AG331" s="4" t="str">
        <f t="shared" si="185"/>
        <v/>
      </c>
      <c r="AH331" s="4" t="str">
        <f t="shared" si="186"/>
        <v/>
      </c>
      <c r="AI331" s="4" t="str">
        <f t="shared" si="187"/>
        <v/>
      </c>
      <c r="AJ331" s="4" t="str">
        <f t="shared" si="188"/>
        <v/>
      </c>
      <c r="AK331" s="4" t="str">
        <f t="shared" si="189"/>
        <v/>
      </c>
      <c r="AL331" s="2" t="str">
        <f t="shared" si="190"/>
        <v/>
      </c>
      <c r="AM331" s="6" t="str">
        <f t="shared" si="191"/>
        <v/>
      </c>
      <c r="AN331" s="4" t="str">
        <f t="shared" si="192"/>
        <v/>
      </c>
      <c r="AO331" s="4" t="str">
        <f t="shared" si="193"/>
        <v/>
      </c>
      <c r="AP331" s="4" t="str">
        <f t="shared" si="194"/>
        <v/>
      </c>
      <c r="AQ331" s="4" t="str">
        <f t="shared" si="195"/>
        <v/>
      </c>
      <c r="AR331" s="4" t="str">
        <f t="shared" si="196"/>
        <v/>
      </c>
    </row>
    <row r="332" spans="8:44" s="1" customFormat="1" ht="14.25" x14ac:dyDescent="0.3">
      <c r="H332" s="50"/>
      <c r="J332" s="54"/>
      <c r="L332" s="54"/>
      <c r="R332" s="45"/>
      <c r="S332" s="54"/>
      <c r="T332" s="54"/>
      <c r="U332" s="54"/>
      <c r="V332" s="44"/>
      <c r="W332" s="27"/>
      <c r="Z332" s="27"/>
      <c r="AA332" s="8"/>
      <c r="AB332" s="81" t="str">
        <f t="shared" si="180"/>
        <v/>
      </c>
      <c r="AC332" s="6" t="str">
        <f t="shared" si="181"/>
        <v/>
      </c>
      <c r="AD332" s="1" t="str">
        <f t="shared" ca="1" si="182"/>
        <v/>
      </c>
      <c r="AE332" s="75" t="str">
        <f t="shared" si="183"/>
        <v/>
      </c>
      <c r="AF332" s="75" t="str">
        <f t="shared" si="184"/>
        <v/>
      </c>
      <c r="AG332" s="4" t="str">
        <f t="shared" si="185"/>
        <v/>
      </c>
      <c r="AH332" s="4" t="str">
        <f t="shared" si="186"/>
        <v/>
      </c>
      <c r="AI332" s="4" t="str">
        <f t="shared" si="187"/>
        <v/>
      </c>
      <c r="AJ332" s="4" t="str">
        <f t="shared" si="188"/>
        <v/>
      </c>
      <c r="AK332" s="4" t="str">
        <f t="shared" si="189"/>
        <v/>
      </c>
      <c r="AL332" s="2" t="str">
        <f t="shared" si="190"/>
        <v/>
      </c>
      <c r="AM332" s="6" t="str">
        <f t="shared" si="191"/>
        <v/>
      </c>
      <c r="AN332" s="4" t="str">
        <f t="shared" si="192"/>
        <v/>
      </c>
      <c r="AO332" s="4" t="str">
        <f t="shared" si="193"/>
        <v/>
      </c>
      <c r="AP332" s="4" t="str">
        <f t="shared" si="194"/>
        <v/>
      </c>
      <c r="AQ332" s="4" t="str">
        <f t="shared" si="195"/>
        <v/>
      </c>
      <c r="AR332" s="4" t="str">
        <f t="shared" si="196"/>
        <v/>
      </c>
    </row>
    <row r="333" spans="8:44" s="1" customFormat="1" ht="14.25" x14ac:dyDescent="0.3">
      <c r="H333" s="50"/>
      <c r="J333" s="54"/>
      <c r="L333" s="54"/>
      <c r="R333" s="45"/>
      <c r="S333" s="54"/>
      <c r="T333" s="54"/>
      <c r="U333" s="54"/>
      <c r="V333" s="44"/>
      <c r="W333" s="27"/>
      <c r="Z333" s="27"/>
      <c r="AA333" s="8"/>
      <c r="AB333" s="81" t="str">
        <f t="shared" si="180"/>
        <v/>
      </c>
      <c r="AC333" s="6" t="str">
        <f t="shared" si="181"/>
        <v/>
      </c>
      <c r="AD333" s="1" t="str">
        <f t="shared" ca="1" si="182"/>
        <v/>
      </c>
      <c r="AE333" s="75" t="str">
        <f t="shared" si="183"/>
        <v/>
      </c>
      <c r="AF333" s="75" t="str">
        <f t="shared" si="184"/>
        <v/>
      </c>
      <c r="AG333" s="4" t="str">
        <f t="shared" si="185"/>
        <v/>
      </c>
      <c r="AH333" s="4" t="str">
        <f t="shared" si="186"/>
        <v/>
      </c>
      <c r="AI333" s="4" t="str">
        <f t="shared" si="187"/>
        <v/>
      </c>
      <c r="AJ333" s="4" t="str">
        <f t="shared" si="188"/>
        <v/>
      </c>
      <c r="AK333" s="4" t="str">
        <f t="shared" si="189"/>
        <v/>
      </c>
      <c r="AL333" s="2" t="str">
        <f t="shared" si="190"/>
        <v/>
      </c>
      <c r="AM333" s="6" t="str">
        <f t="shared" si="191"/>
        <v/>
      </c>
      <c r="AN333" s="4" t="str">
        <f t="shared" si="192"/>
        <v/>
      </c>
      <c r="AO333" s="4" t="str">
        <f t="shared" si="193"/>
        <v/>
      </c>
      <c r="AP333" s="4" t="str">
        <f t="shared" si="194"/>
        <v/>
      </c>
      <c r="AQ333" s="4" t="str">
        <f t="shared" si="195"/>
        <v/>
      </c>
      <c r="AR333" s="4" t="str">
        <f t="shared" si="196"/>
        <v/>
      </c>
    </row>
    <row r="334" spans="8:44" s="1" customFormat="1" ht="14.25" x14ac:dyDescent="0.3">
      <c r="H334" s="50"/>
      <c r="J334" s="54"/>
      <c r="L334" s="54"/>
      <c r="R334" s="45"/>
      <c r="S334" s="54"/>
      <c r="T334" s="54"/>
      <c r="U334" s="54"/>
      <c r="V334" s="44"/>
      <c r="W334" s="27"/>
      <c r="Z334" s="27"/>
      <c r="AA334" s="8"/>
      <c r="AB334" s="81" t="str">
        <f t="shared" si="180"/>
        <v/>
      </c>
      <c r="AC334" s="6" t="str">
        <f t="shared" si="181"/>
        <v/>
      </c>
      <c r="AD334" s="1" t="str">
        <f t="shared" ca="1" si="182"/>
        <v/>
      </c>
      <c r="AE334" s="75" t="str">
        <f t="shared" si="183"/>
        <v/>
      </c>
      <c r="AF334" s="75" t="str">
        <f t="shared" si="184"/>
        <v/>
      </c>
      <c r="AG334" s="4" t="str">
        <f t="shared" si="185"/>
        <v/>
      </c>
      <c r="AH334" s="4" t="str">
        <f t="shared" si="186"/>
        <v/>
      </c>
      <c r="AI334" s="4" t="str">
        <f t="shared" si="187"/>
        <v/>
      </c>
      <c r="AJ334" s="4" t="str">
        <f t="shared" si="188"/>
        <v/>
      </c>
      <c r="AK334" s="4" t="str">
        <f t="shared" si="189"/>
        <v/>
      </c>
      <c r="AL334" s="2" t="str">
        <f t="shared" si="190"/>
        <v/>
      </c>
      <c r="AM334" s="6" t="str">
        <f t="shared" si="191"/>
        <v/>
      </c>
      <c r="AN334" s="4" t="str">
        <f t="shared" si="192"/>
        <v/>
      </c>
      <c r="AO334" s="4" t="str">
        <f t="shared" si="193"/>
        <v/>
      </c>
      <c r="AP334" s="4" t="str">
        <f t="shared" si="194"/>
        <v/>
      </c>
      <c r="AQ334" s="4" t="str">
        <f t="shared" si="195"/>
        <v/>
      </c>
      <c r="AR334" s="4" t="str">
        <f t="shared" si="196"/>
        <v/>
      </c>
    </row>
    <row r="335" spans="8:44" s="1" customFormat="1" ht="14.25" x14ac:dyDescent="0.3">
      <c r="H335" s="50"/>
      <c r="J335" s="54"/>
      <c r="L335" s="54"/>
      <c r="R335" s="45"/>
      <c r="S335" s="54"/>
      <c r="T335" s="54"/>
      <c r="U335" s="54"/>
      <c r="V335" s="44"/>
      <c r="W335" s="27"/>
      <c r="Z335" s="27"/>
      <c r="AA335" s="8"/>
      <c r="AB335" s="81" t="str">
        <f t="shared" si="180"/>
        <v/>
      </c>
      <c r="AC335" s="6" t="str">
        <f t="shared" si="181"/>
        <v/>
      </c>
      <c r="AD335" s="1" t="str">
        <f t="shared" ca="1" si="182"/>
        <v/>
      </c>
      <c r="AE335" s="75" t="str">
        <f t="shared" si="183"/>
        <v/>
      </c>
      <c r="AF335" s="75" t="str">
        <f t="shared" si="184"/>
        <v/>
      </c>
      <c r="AG335" s="4" t="str">
        <f t="shared" si="185"/>
        <v/>
      </c>
      <c r="AH335" s="4" t="str">
        <f t="shared" si="186"/>
        <v/>
      </c>
      <c r="AI335" s="4" t="str">
        <f t="shared" si="187"/>
        <v/>
      </c>
      <c r="AJ335" s="4" t="str">
        <f t="shared" si="188"/>
        <v/>
      </c>
      <c r="AK335" s="4" t="str">
        <f t="shared" si="189"/>
        <v/>
      </c>
      <c r="AL335" s="2" t="str">
        <f t="shared" si="190"/>
        <v/>
      </c>
      <c r="AM335" s="6" t="str">
        <f t="shared" si="191"/>
        <v/>
      </c>
      <c r="AN335" s="4" t="str">
        <f t="shared" si="192"/>
        <v/>
      </c>
      <c r="AO335" s="4" t="str">
        <f t="shared" si="193"/>
        <v/>
      </c>
      <c r="AP335" s="4" t="str">
        <f t="shared" si="194"/>
        <v/>
      </c>
      <c r="AQ335" s="4" t="str">
        <f t="shared" si="195"/>
        <v/>
      </c>
      <c r="AR335" s="4" t="str">
        <f t="shared" si="196"/>
        <v/>
      </c>
    </row>
    <row r="336" spans="8:44" s="1" customFormat="1" ht="14.25" x14ac:dyDescent="0.3">
      <c r="H336" s="50"/>
      <c r="J336" s="54"/>
      <c r="L336" s="54"/>
      <c r="R336" s="45"/>
      <c r="S336" s="54"/>
      <c r="T336" s="54"/>
      <c r="U336" s="54"/>
      <c r="V336" s="44"/>
      <c r="W336" s="27"/>
      <c r="Z336" s="27"/>
      <c r="AA336" s="8"/>
      <c r="AB336" s="81" t="str">
        <f t="shared" si="180"/>
        <v/>
      </c>
      <c r="AC336" s="6" t="str">
        <f t="shared" si="181"/>
        <v/>
      </c>
      <c r="AD336" s="1" t="str">
        <f t="shared" ca="1" si="182"/>
        <v/>
      </c>
      <c r="AE336" s="75" t="str">
        <f t="shared" si="183"/>
        <v/>
      </c>
      <c r="AF336" s="75" t="str">
        <f t="shared" si="184"/>
        <v/>
      </c>
      <c r="AG336" s="4" t="str">
        <f t="shared" si="185"/>
        <v/>
      </c>
      <c r="AH336" s="4" t="str">
        <f t="shared" si="186"/>
        <v/>
      </c>
      <c r="AI336" s="4" t="str">
        <f t="shared" si="187"/>
        <v/>
      </c>
      <c r="AJ336" s="4" t="str">
        <f t="shared" si="188"/>
        <v/>
      </c>
      <c r="AK336" s="4" t="str">
        <f t="shared" si="189"/>
        <v/>
      </c>
      <c r="AL336" s="2" t="str">
        <f t="shared" si="190"/>
        <v/>
      </c>
      <c r="AM336" s="6" t="str">
        <f t="shared" si="191"/>
        <v/>
      </c>
      <c r="AN336" s="4" t="str">
        <f t="shared" si="192"/>
        <v/>
      </c>
      <c r="AO336" s="4" t="str">
        <f t="shared" si="193"/>
        <v/>
      </c>
      <c r="AP336" s="4" t="str">
        <f t="shared" si="194"/>
        <v/>
      </c>
      <c r="AQ336" s="4" t="str">
        <f t="shared" si="195"/>
        <v/>
      </c>
      <c r="AR336" s="4" t="str">
        <f t="shared" si="196"/>
        <v/>
      </c>
    </row>
    <row r="337" spans="8:44" s="1" customFormat="1" ht="14.25" x14ac:dyDescent="0.3">
      <c r="H337" s="50"/>
      <c r="J337" s="54"/>
      <c r="L337" s="54"/>
      <c r="R337" s="45"/>
      <c r="S337" s="54"/>
      <c r="T337" s="54"/>
      <c r="U337" s="54"/>
      <c r="V337" s="44"/>
      <c r="W337" s="27"/>
      <c r="Z337" s="27"/>
      <c r="AA337" s="8"/>
      <c r="AB337" s="81" t="str">
        <f t="shared" si="180"/>
        <v/>
      </c>
      <c r="AC337" s="6" t="str">
        <f t="shared" si="181"/>
        <v/>
      </c>
      <c r="AD337" s="1" t="str">
        <f t="shared" ca="1" si="182"/>
        <v/>
      </c>
      <c r="AE337" s="75" t="str">
        <f t="shared" si="183"/>
        <v/>
      </c>
      <c r="AF337" s="75" t="str">
        <f t="shared" si="184"/>
        <v/>
      </c>
      <c r="AG337" s="4" t="str">
        <f t="shared" si="185"/>
        <v/>
      </c>
      <c r="AH337" s="4" t="str">
        <f t="shared" si="186"/>
        <v/>
      </c>
      <c r="AI337" s="4" t="str">
        <f t="shared" si="187"/>
        <v/>
      </c>
      <c r="AJ337" s="4" t="str">
        <f t="shared" si="188"/>
        <v/>
      </c>
      <c r="AK337" s="4" t="str">
        <f t="shared" si="189"/>
        <v/>
      </c>
      <c r="AL337" s="2" t="str">
        <f t="shared" si="190"/>
        <v/>
      </c>
      <c r="AM337" s="6" t="str">
        <f t="shared" si="191"/>
        <v/>
      </c>
      <c r="AN337" s="4" t="str">
        <f t="shared" si="192"/>
        <v/>
      </c>
      <c r="AO337" s="4" t="str">
        <f t="shared" si="193"/>
        <v/>
      </c>
      <c r="AP337" s="4" t="str">
        <f t="shared" si="194"/>
        <v/>
      </c>
      <c r="AQ337" s="4" t="str">
        <f t="shared" si="195"/>
        <v/>
      </c>
      <c r="AR337" s="4" t="str">
        <f t="shared" si="196"/>
        <v/>
      </c>
    </row>
    <row r="338" spans="8:44" s="1" customFormat="1" ht="14.25" x14ac:dyDescent="0.3">
      <c r="H338" s="50"/>
      <c r="J338" s="54"/>
      <c r="L338" s="54"/>
      <c r="R338" s="45"/>
      <c r="S338" s="54"/>
      <c r="T338" s="54"/>
      <c r="U338" s="54"/>
      <c r="V338" s="44"/>
      <c r="W338" s="27"/>
      <c r="Z338" s="27"/>
      <c r="AA338" s="8"/>
      <c r="AB338" s="81" t="str">
        <f t="shared" si="180"/>
        <v/>
      </c>
      <c r="AC338" s="6" t="str">
        <f t="shared" si="181"/>
        <v/>
      </c>
      <c r="AD338" s="1" t="str">
        <f t="shared" ca="1" si="182"/>
        <v/>
      </c>
      <c r="AE338" s="75" t="str">
        <f t="shared" si="183"/>
        <v/>
      </c>
      <c r="AF338" s="75" t="str">
        <f t="shared" si="184"/>
        <v/>
      </c>
      <c r="AG338" s="4" t="str">
        <f t="shared" si="185"/>
        <v/>
      </c>
      <c r="AH338" s="4" t="str">
        <f t="shared" si="186"/>
        <v/>
      </c>
      <c r="AI338" s="4" t="str">
        <f t="shared" si="187"/>
        <v/>
      </c>
      <c r="AJ338" s="4" t="str">
        <f t="shared" si="188"/>
        <v/>
      </c>
      <c r="AK338" s="4" t="str">
        <f t="shared" si="189"/>
        <v/>
      </c>
      <c r="AL338" s="2" t="str">
        <f t="shared" si="190"/>
        <v/>
      </c>
      <c r="AM338" s="6" t="str">
        <f t="shared" si="191"/>
        <v/>
      </c>
      <c r="AN338" s="4" t="str">
        <f t="shared" si="192"/>
        <v/>
      </c>
      <c r="AO338" s="4" t="str">
        <f t="shared" si="193"/>
        <v/>
      </c>
      <c r="AP338" s="4" t="str">
        <f t="shared" si="194"/>
        <v/>
      </c>
      <c r="AQ338" s="4" t="str">
        <f t="shared" si="195"/>
        <v/>
      </c>
      <c r="AR338" s="4" t="str">
        <f t="shared" si="196"/>
        <v/>
      </c>
    </row>
    <row r="339" spans="8:44" s="1" customFormat="1" ht="14.25" x14ac:dyDescent="0.3">
      <c r="H339" s="50"/>
      <c r="J339" s="54"/>
      <c r="L339" s="54"/>
      <c r="R339" s="45"/>
      <c r="S339" s="54"/>
      <c r="T339" s="54"/>
      <c r="U339" s="54"/>
      <c r="V339" s="44"/>
      <c r="W339" s="27"/>
      <c r="Z339" s="27"/>
      <c r="AA339" s="8"/>
      <c r="AB339" s="81" t="str">
        <f t="shared" si="180"/>
        <v/>
      </c>
      <c r="AC339" s="6" t="str">
        <f t="shared" si="181"/>
        <v/>
      </c>
      <c r="AD339" s="1" t="str">
        <f t="shared" ca="1" si="182"/>
        <v/>
      </c>
      <c r="AE339" s="75" t="str">
        <f t="shared" si="183"/>
        <v/>
      </c>
      <c r="AF339" s="75" t="str">
        <f t="shared" si="184"/>
        <v/>
      </c>
      <c r="AG339" s="4" t="str">
        <f t="shared" si="185"/>
        <v/>
      </c>
      <c r="AH339" s="4" t="str">
        <f t="shared" si="186"/>
        <v/>
      </c>
      <c r="AI339" s="4" t="str">
        <f t="shared" si="187"/>
        <v/>
      </c>
      <c r="AJ339" s="4" t="str">
        <f t="shared" si="188"/>
        <v/>
      </c>
      <c r="AK339" s="4" t="str">
        <f t="shared" si="189"/>
        <v/>
      </c>
      <c r="AL339" s="2" t="str">
        <f t="shared" si="190"/>
        <v/>
      </c>
      <c r="AM339" s="6" t="str">
        <f t="shared" si="191"/>
        <v/>
      </c>
      <c r="AN339" s="4" t="str">
        <f t="shared" si="192"/>
        <v/>
      </c>
      <c r="AO339" s="4" t="str">
        <f t="shared" si="193"/>
        <v/>
      </c>
      <c r="AP339" s="4" t="str">
        <f t="shared" si="194"/>
        <v/>
      </c>
      <c r="AQ339" s="4" t="str">
        <f t="shared" si="195"/>
        <v/>
      </c>
      <c r="AR339" s="4" t="str">
        <f t="shared" si="196"/>
        <v/>
      </c>
    </row>
    <row r="340" spans="8:44" s="1" customFormat="1" ht="14.25" x14ac:dyDescent="0.3">
      <c r="H340" s="50"/>
      <c r="J340" s="54"/>
      <c r="L340" s="54"/>
      <c r="R340" s="45"/>
      <c r="S340" s="54"/>
      <c r="T340" s="54"/>
      <c r="U340" s="54"/>
      <c r="V340" s="44"/>
      <c r="W340" s="27"/>
      <c r="Z340" s="27"/>
      <c r="AA340" s="8"/>
      <c r="AB340" s="81" t="str">
        <f t="shared" si="180"/>
        <v/>
      </c>
      <c r="AC340" s="6" t="str">
        <f t="shared" si="181"/>
        <v/>
      </c>
      <c r="AD340" s="1" t="str">
        <f t="shared" ca="1" si="182"/>
        <v/>
      </c>
      <c r="AE340" s="75" t="str">
        <f t="shared" si="183"/>
        <v/>
      </c>
      <c r="AF340" s="75" t="str">
        <f t="shared" si="184"/>
        <v/>
      </c>
      <c r="AG340" s="4" t="str">
        <f t="shared" si="185"/>
        <v/>
      </c>
      <c r="AH340" s="4" t="str">
        <f t="shared" si="186"/>
        <v/>
      </c>
      <c r="AI340" s="4" t="str">
        <f t="shared" si="187"/>
        <v/>
      </c>
      <c r="AJ340" s="4" t="str">
        <f t="shared" si="188"/>
        <v/>
      </c>
      <c r="AK340" s="4" t="str">
        <f t="shared" si="189"/>
        <v/>
      </c>
      <c r="AL340" s="2" t="str">
        <f t="shared" si="190"/>
        <v/>
      </c>
      <c r="AM340" s="6" t="str">
        <f t="shared" si="191"/>
        <v/>
      </c>
      <c r="AN340" s="4" t="str">
        <f t="shared" si="192"/>
        <v/>
      </c>
      <c r="AO340" s="4" t="str">
        <f t="shared" si="193"/>
        <v/>
      </c>
      <c r="AP340" s="4" t="str">
        <f t="shared" si="194"/>
        <v/>
      </c>
      <c r="AQ340" s="4" t="str">
        <f t="shared" si="195"/>
        <v/>
      </c>
      <c r="AR340" s="4" t="str">
        <f t="shared" si="196"/>
        <v/>
      </c>
    </row>
    <row r="341" spans="8:44" s="1" customFormat="1" ht="14.25" x14ac:dyDescent="0.3">
      <c r="H341" s="50"/>
      <c r="J341" s="54"/>
      <c r="L341" s="54"/>
      <c r="R341" s="45"/>
      <c r="S341" s="54"/>
      <c r="T341" s="54"/>
      <c r="U341" s="54"/>
      <c r="V341" s="44"/>
      <c r="W341" s="27"/>
      <c r="Z341" s="27"/>
      <c r="AA341" s="8"/>
      <c r="AB341" s="81" t="str">
        <f t="shared" si="180"/>
        <v/>
      </c>
      <c r="AC341" s="6" t="str">
        <f t="shared" si="181"/>
        <v/>
      </c>
      <c r="AD341" s="1" t="str">
        <f t="shared" ca="1" si="182"/>
        <v/>
      </c>
      <c r="AE341" s="75" t="str">
        <f t="shared" si="183"/>
        <v/>
      </c>
      <c r="AF341" s="75" t="str">
        <f t="shared" si="184"/>
        <v/>
      </c>
      <c r="AG341" s="4" t="str">
        <f t="shared" si="185"/>
        <v/>
      </c>
      <c r="AH341" s="4" t="str">
        <f t="shared" si="186"/>
        <v/>
      </c>
      <c r="AI341" s="4" t="str">
        <f t="shared" si="187"/>
        <v/>
      </c>
      <c r="AJ341" s="4" t="str">
        <f t="shared" si="188"/>
        <v/>
      </c>
      <c r="AK341" s="4" t="str">
        <f t="shared" si="189"/>
        <v/>
      </c>
      <c r="AL341" s="2" t="str">
        <f t="shared" si="190"/>
        <v/>
      </c>
      <c r="AM341" s="6" t="str">
        <f t="shared" si="191"/>
        <v/>
      </c>
      <c r="AN341" s="4" t="str">
        <f t="shared" si="192"/>
        <v/>
      </c>
      <c r="AO341" s="4" t="str">
        <f t="shared" si="193"/>
        <v/>
      </c>
      <c r="AP341" s="4" t="str">
        <f t="shared" si="194"/>
        <v/>
      </c>
      <c r="AQ341" s="4" t="str">
        <f t="shared" si="195"/>
        <v/>
      </c>
      <c r="AR341" s="4" t="str">
        <f t="shared" si="196"/>
        <v/>
      </c>
    </row>
    <row r="342" spans="8:44" s="1" customFormat="1" ht="14.25" x14ac:dyDescent="0.3">
      <c r="H342" s="50"/>
      <c r="J342" s="54"/>
      <c r="L342" s="54"/>
      <c r="R342" s="45"/>
      <c r="S342" s="54"/>
      <c r="T342" s="54"/>
      <c r="U342" s="54"/>
      <c r="V342" s="44"/>
      <c r="W342" s="27"/>
      <c r="Z342" s="27"/>
      <c r="AA342" s="8"/>
      <c r="AB342" s="81" t="str">
        <f t="shared" si="180"/>
        <v/>
      </c>
      <c r="AC342" s="6" t="str">
        <f t="shared" si="181"/>
        <v/>
      </c>
      <c r="AD342" s="1" t="str">
        <f t="shared" ca="1" si="182"/>
        <v/>
      </c>
      <c r="AE342" s="75" t="str">
        <f t="shared" si="183"/>
        <v/>
      </c>
      <c r="AF342" s="75" t="str">
        <f t="shared" si="184"/>
        <v/>
      </c>
      <c r="AG342" s="4" t="str">
        <f t="shared" si="185"/>
        <v/>
      </c>
      <c r="AH342" s="4" t="str">
        <f t="shared" si="186"/>
        <v/>
      </c>
      <c r="AI342" s="4" t="str">
        <f t="shared" si="187"/>
        <v/>
      </c>
      <c r="AJ342" s="4" t="str">
        <f t="shared" si="188"/>
        <v/>
      </c>
      <c r="AK342" s="4" t="str">
        <f t="shared" si="189"/>
        <v/>
      </c>
      <c r="AL342" s="2" t="str">
        <f t="shared" si="190"/>
        <v/>
      </c>
      <c r="AM342" s="6" t="str">
        <f t="shared" si="191"/>
        <v/>
      </c>
      <c r="AN342" s="4" t="str">
        <f t="shared" si="192"/>
        <v/>
      </c>
      <c r="AO342" s="4" t="str">
        <f t="shared" si="193"/>
        <v/>
      </c>
      <c r="AP342" s="4" t="str">
        <f t="shared" si="194"/>
        <v/>
      </c>
      <c r="AQ342" s="4" t="str">
        <f t="shared" si="195"/>
        <v/>
      </c>
      <c r="AR342" s="4" t="str">
        <f t="shared" si="196"/>
        <v/>
      </c>
    </row>
    <row r="343" spans="8:44" s="1" customFormat="1" ht="14.25" x14ac:dyDescent="0.3">
      <c r="H343" s="50"/>
      <c r="J343" s="54"/>
      <c r="L343" s="54"/>
      <c r="R343" s="45"/>
      <c r="S343" s="54"/>
      <c r="T343" s="54"/>
      <c r="U343" s="54"/>
      <c r="V343" s="44"/>
      <c r="W343" s="27"/>
      <c r="Z343" s="27"/>
      <c r="AA343" s="8"/>
      <c r="AB343" s="81" t="str">
        <f t="shared" si="180"/>
        <v/>
      </c>
      <c r="AC343" s="6" t="str">
        <f t="shared" si="181"/>
        <v/>
      </c>
      <c r="AD343" s="1" t="str">
        <f t="shared" ca="1" si="182"/>
        <v/>
      </c>
      <c r="AE343" s="75" t="str">
        <f t="shared" si="183"/>
        <v/>
      </c>
      <c r="AF343" s="75" t="str">
        <f t="shared" si="184"/>
        <v/>
      </c>
      <c r="AG343" s="4" t="str">
        <f t="shared" si="185"/>
        <v/>
      </c>
      <c r="AH343" s="4" t="str">
        <f t="shared" si="186"/>
        <v/>
      </c>
      <c r="AI343" s="4" t="str">
        <f t="shared" si="187"/>
        <v/>
      </c>
      <c r="AJ343" s="4" t="str">
        <f t="shared" si="188"/>
        <v/>
      </c>
      <c r="AK343" s="4" t="str">
        <f t="shared" si="189"/>
        <v/>
      </c>
      <c r="AL343" s="2" t="str">
        <f t="shared" si="190"/>
        <v/>
      </c>
      <c r="AM343" s="6" t="str">
        <f t="shared" si="191"/>
        <v/>
      </c>
      <c r="AN343" s="4" t="str">
        <f t="shared" si="192"/>
        <v/>
      </c>
      <c r="AO343" s="4" t="str">
        <f t="shared" si="193"/>
        <v/>
      </c>
      <c r="AP343" s="4" t="str">
        <f t="shared" si="194"/>
        <v/>
      </c>
      <c r="AQ343" s="4" t="str">
        <f t="shared" si="195"/>
        <v/>
      </c>
      <c r="AR343" s="4" t="str">
        <f t="shared" si="196"/>
        <v/>
      </c>
    </row>
    <row r="344" spans="8:44" s="1" customFormat="1" ht="14.25" x14ac:dyDescent="0.3">
      <c r="H344" s="50"/>
      <c r="J344" s="54"/>
      <c r="L344" s="54"/>
      <c r="R344" s="45"/>
      <c r="S344" s="54"/>
      <c r="T344" s="54"/>
      <c r="U344" s="54"/>
      <c r="V344" s="44"/>
      <c r="W344" s="27"/>
      <c r="Z344" s="27"/>
      <c r="AA344" s="8"/>
      <c r="AB344" s="81" t="str">
        <f t="shared" si="180"/>
        <v/>
      </c>
      <c r="AC344" s="6" t="str">
        <f t="shared" si="181"/>
        <v/>
      </c>
      <c r="AD344" s="1" t="str">
        <f t="shared" ca="1" si="182"/>
        <v/>
      </c>
      <c r="AE344" s="75" t="str">
        <f t="shared" si="183"/>
        <v/>
      </c>
      <c r="AF344" s="75" t="str">
        <f t="shared" si="184"/>
        <v/>
      </c>
      <c r="AG344" s="4" t="str">
        <f t="shared" si="185"/>
        <v/>
      </c>
      <c r="AH344" s="4" t="str">
        <f t="shared" si="186"/>
        <v/>
      </c>
      <c r="AI344" s="4" t="str">
        <f t="shared" si="187"/>
        <v/>
      </c>
      <c r="AJ344" s="4" t="str">
        <f t="shared" si="188"/>
        <v/>
      </c>
      <c r="AK344" s="4" t="str">
        <f t="shared" si="189"/>
        <v/>
      </c>
      <c r="AL344" s="2" t="str">
        <f t="shared" si="190"/>
        <v/>
      </c>
      <c r="AM344" s="6" t="str">
        <f t="shared" si="191"/>
        <v/>
      </c>
      <c r="AN344" s="4" t="str">
        <f t="shared" si="192"/>
        <v/>
      </c>
      <c r="AO344" s="4" t="str">
        <f t="shared" si="193"/>
        <v/>
      </c>
      <c r="AP344" s="4" t="str">
        <f t="shared" si="194"/>
        <v/>
      </c>
      <c r="AQ344" s="4" t="str">
        <f t="shared" si="195"/>
        <v/>
      </c>
      <c r="AR344" s="4" t="str">
        <f t="shared" si="196"/>
        <v/>
      </c>
    </row>
    <row r="345" spans="8:44" s="1" customFormat="1" ht="14.25" x14ac:dyDescent="0.3">
      <c r="H345" s="50"/>
      <c r="J345" s="54"/>
      <c r="L345" s="54"/>
      <c r="R345" s="45"/>
      <c r="S345" s="54"/>
      <c r="T345" s="54"/>
      <c r="U345" s="54"/>
      <c r="V345" s="44"/>
      <c r="W345" s="27"/>
      <c r="Z345" s="27"/>
      <c r="AA345" s="8"/>
      <c r="AB345" s="81" t="str">
        <f t="shared" si="180"/>
        <v/>
      </c>
      <c r="AC345" s="6" t="str">
        <f t="shared" si="181"/>
        <v/>
      </c>
      <c r="AD345" s="1" t="str">
        <f t="shared" ca="1" si="182"/>
        <v/>
      </c>
      <c r="AE345" s="75" t="str">
        <f t="shared" si="183"/>
        <v/>
      </c>
      <c r="AF345" s="75" t="str">
        <f t="shared" si="184"/>
        <v/>
      </c>
      <c r="AG345" s="4" t="str">
        <f t="shared" si="185"/>
        <v/>
      </c>
      <c r="AH345" s="4" t="str">
        <f t="shared" si="186"/>
        <v/>
      </c>
      <c r="AI345" s="4" t="str">
        <f t="shared" si="187"/>
        <v/>
      </c>
      <c r="AJ345" s="4" t="str">
        <f t="shared" si="188"/>
        <v/>
      </c>
      <c r="AK345" s="4" t="str">
        <f t="shared" si="189"/>
        <v/>
      </c>
      <c r="AL345" s="2" t="str">
        <f t="shared" si="190"/>
        <v/>
      </c>
      <c r="AM345" s="6" t="str">
        <f t="shared" si="191"/>
        <v/>
      </c>
      <c r="AN345" s="4" t="str">
        <f t="shared" si="192"/>
        <v/>
      </c>
      <c r="AO345" s="4" t="str">
        <f t="shared" si="193"/>
        <v/>
      </c>
      <c r="AP345" s="4" t="str">
        <f t="shared" si="194"/>
        <v/>
      </c>
      <c r="AQ345" s="4" t="str">
        <f t="shared" si="195"/>
        <v/>
      </c>
      <c r="AR345" s="4" t="str">
        <f t="shared" si="196"/>
        <v/>
      </c>
    </row>
    <row r="346" spans="8:44" s="1" customFormat="1" ht="14.25" x14ac:dyDescent="0.3">
      <c r="H346" s="50"/>
      <c r="J346" s="54"/>
      <c r="L346" s="54"/>
      <c r="R346" s="45"/>
      <c r="S346" s="54"/>
      <c r="T346" s="54"/>
      <c r="U346" s="54"/>
      <c r="V346" s="44"/>
      <c r="W346" s="27"/>
      <c r="Z346" s="27"/>
      <c r="AA346" s="8"/>
      <c r="AB346" s="81" t="str">
        <f t="shared" si="180"/>
        <v/>
      </c>
      <c r="AC346" s="6" t="str">
        <f t="shared" si="181"/>
        <v/>
      </c>
      <c r="AD346" s="1" t="str">
        <f t="shared" ca="1" si="182"/>
        <v/>
      </c>
      <c r="AE346" s="75" t="str">
        <f t="shared" si="183"/>
        <v/>
      </c>
      <c r="AF346" s="75" t="str">
        <f t="shared" si="184"/>
        <v/>
      </c>
      <c r="AG346" s="4" t="str">
        <f t="shared" si="185"/>
        <v/>
      </c>
      <c r="AH346" s="4" t="str">
        <f t="shared" si="186"/>
        <v/>
      </c>
      <c r="AI346" s="4" t="str">
        <f t="shared" si="187"/>
        <v/>
      </c>
      <c r="AJ346" s="4" t="str">
        <f t="shared" si="188"/>
        <v/>
      </c>
      <c r="AK346" s="4" t="str">
        <f t="shared" si="189"/>
        <v/>
      </c>
      <c r="AL346" s="2" t="str">
        <f t="shared" si="190"/>
        <v/>
      </c>
      <c r="AM346" s="6" t="str">
        <f t="shared" si="191"/>
        <v/>
      </c>
      <c r="AN346" s="4" t="str">
        <f t="shared" si="192"/>
        <v/>
      </c>
      <c r="AO346" s="4" t="str">
        <f t="shared" si="193"/>
        <v/>
      </c>
      <c r="AP346" s="4" t="str">
        <f t="shared" si="194"/>
        <v/>
      </c>
      <c r="AQ346" s="4" t="str">
        <f t="shared" si="195"/>
        <v/>
      </c>
      <c r="AR346" s="4" t="str">
        <f t="shared" si="196"/>
        <v/>
      </c>
    </row>
    <row r="347" spans="8:44" s="1" customFormat="1" ht="14.25" x14ac:dyDescent="0.3">
      <c r="H347" s="50"/>
      <c r="J347" s="54"/>
      <c r="L347" s="54"/>
      <c r="R347" s="45"/>
      <c r="S347" s="54"/>
      <c r="T347" s="54"/>
      <c r="U347" s="54"/>
      <c r="V347" s="44"/>
      <c r="W347" s="27"/>
      <c r="Z347" s="27"/>
      <c r="AA347" s="8"/>
      <c r="AB347" s="81" t="str">
        <f t="shared" si="180"/>
        <v/>
      </c>
      <c r="AC347" s="6" t="str">
        <f t="shared" si="181"/>
        <v/>
      </c>
      <c r="AD347" s="1" t="str">
        <f t="shared" ca="1" si="182"/>
        <v/>
      </c>
      <c r="AE347" s="75" t="str">
        <f t="shared" si="183"/>
        <v/>
      </c>
      <c r="AF347" s="75" t="str">
        <f t="shared" si="184"/>
        <v/>
      </c>
      <c r="AG347" s="4" t="str">
        <f t="shared" si="185"/>
        <v/>
      </c>
      <c r="AH347" s="4" t="str">
        <f t="shared" si="186"/>
        <v/>
      </c>
      <c r="AI347" s="4" t="str">
        <f t="shared" si="187"/>
        <v/>
      </c>
      <c r="AJ347" s="4" t="str">
        <f t="shared" si="188"/>
        <v/>
      </c>
      <c r="AK347" s="4" t="str">
        <f t="shared" si="189"/>
        <v/>
      </c>
      <c r="AL347" s="2" t="str">
        <f t="shared" si="190"/>
        <v/>
      </c>
      <c r="AM347" s="6" t="str">
        <f t="shared" si="191"/>
        <v/>
      </c>
      <c r="AN347" s="4" t="str">
        <f t="shared" si="192"/>
        <v/>
      </c>
      <c r="AO347" s="4" t="str">
        <f t="shared" si="193"/>
        <v/>
      </c>
      <c r="AP347" s="4" t="str">
        <f t="shared" si="194"/>
        <v/>
      </c>
      <c r="AQ347" s="4" t="str">
        <f t="shared" si="195"/>
        <v/>
      </c>
      <c r="AR347" s="4" t="str">
        <f t="shared" si="196"/>
        <v/>
      </c>
    </row>
    <row r="348" spans="8:44" s="1" customFormat="1" ht="14.25" x14ac:dyDescent="0.3">
      <c r="H348" s="50"/>
      <c r="J348" s="54"/>
      <c r="L348" s="54"/>
      <c r="R348" s="45"/>
      <c r="S348" s="54"/>
      <c r="T348" s="54"/>
      <c r="U348" s="54"/>
      <c r="V348" s="44"/>
      <c r="W348" s="27"/>
      <c r="Z348" s="27"/>
      <c r="AA348" s="8"/>
      <c r="AB348" s="81" t="str">
        <f t="shared" si="180"/>
        <v/>
      </c>
      <c r="AC348" s="6" t="str">
        <f t="shared" si="181"/>
        <v/>
      </c>
      <c r="AD348" s="1" t="str">
        <f t="shared" ca="1" si="182"/>
        <v/>
      </c>
      <c r="AE348" s="75" t="str">
        <f t="shared" si="183"/>
        <v/>
      </c>
      <c r="AF348" s="75" t="str">
        <f t="shared" si="184"/>
        <v/>
      </c>
      <c r="AG348" s="4" t="str">
        <f t="shared" si="185"/>
        <v/>
      </c>
      <c r="AH348" s="4" t="str">
        <f t="shared" si="186"/>
        <v/>
      </c>
      <c r="AI348" s="4" t="str">
        <f t="shared" si="187"/>
        <v/>
      </c>
      <c r="AJ348" s="4" t="str">
        <f t="shared" si="188"/>
        <v/>
      </c>
      <c r="AK348" s="4" t="str">
        <f t="shared" si="189"/>
        <v/>
      </c>
      <c r="AL348" s="2" t="str">
        <f t="shared" si="190"/>
        <v/>
      </c>
      <c r="AM348" s="6" t="str">
        <f t="shared" si="191"/>
        <v/>
      </c>
      <c r="AN348" s="4" t="str">
        <f t="shared" si="192"/>
        <v/>
      </c>
      <c r="AO348" s="4" t="str">
        <f t="shared" si="193"/>
        <v/>
      </c>
      <c r="AP348" s="4" t="str">
        <f t="shared" si="194"/>
        <v/>
      </c>
      <c r="AQ348" s="4" t="str">
        <f t="shared" si="195"/>
        <v/>
      </c>
      <c r="AR348" s="4" t="str">
        <f t="shared" si="196"/>
        <v/>
      </c>
    </row>
    <row r="349" spans="8:44" s="1" customFormat="1" ht="14.25" x14ac:dyDescent="0.3">
      <c r="H349" s="50"/>
      <c r="J349" s="54"/>
      <c r="L349" s="54"/>
      <c r="R349" s="45"/>
      <c r="S349" s="54"/>
      <c r="T349" s="54"/>
      <c r="U349" s="54"/>
      <c r="V349" s="44"/>
      <c r="W349" s="27"/>
      <c r="Z349" s="27"/>
      <c r="AA349" s="8"/>
      <c r="AB349" s="81" t="str">
        <f t="shared" si="180"/>
        <v/>
      </c>
      <c r="AC349" s="6" t="str">
        <f t="shared" si="181"/>
        <v/>
      </c>
      <c r="AD349" s="1" t="str">
        <f t="shared" ca="1" si="182"/>
        <v/>
      </c>
      <c r="AE349" s="75" t="str">
        <f t="shared" si="183"/>
        <v/>
      </c>
      <c r="AF349" s="75" t="str">
        <f t="shared" si="184"/>
        <v/>
      </c>
      <c r="AG349" s="4" t="str">
        <f t="shared" si="185"/>
        <v/>
      </c>
      <c r="AH349" s="4" t="str">
        <f t="shared" si="186"/>
        <v/>
      </c>
      <c r="AI349" s="4" t="str">
        <f t="shared" si="187"/>
        <v/>
      </c>
      <c r="AJ349" s="4" t="str">
        <f t="shared" si="188"/>
        <v/>
      </c>
      <c r="AK349" s="4" t="str">
        <f t="shared" si="189"/>
        <v/>
      </c>
      <c r="AL349" s="2" t="str">
        <f t="shared" si="190"/>
        <v/>
      </c>
      <c r="AM349" s="6" t="str">
        <f t="shared" si="191"/>
        <v/>
      </c>
      <c r="AN349" s="4" t="str">
        <f t="shared" si="192"/>
        <v/>
      </c>
      <c r="AO349" s="4" t="str">
        <f t="shared" si="193"/>
        <v/>
      </c>
      <c r="AP349" s="4" t="str">
        <f t="shared" si="194"/>
        <v/>
      </c>
      <c r="AQ349" s="4" t="str">
        <f t="shared" si="195"/>
        <v/>
      </c>
      <c r="AR349" s="4" t="str">
        <f t="shared" si="196"/>
        <v/>
      </c>
    </row>
    <row r="350" spans="8:44" s="1" customFormat="1" ht="14.25" x14ac:dyDescent="0.3">
      <c r="H350" s="50"/>
      <c r="J350" s="54"/>
      <c r="L350" s="54"/>
      <c r="R350" s="45"/>
      <c r="S350" s="54"/>
      <c r="T350" s="54"/>
      <c r="U350" s="54"/>
      <c r="V350" s="44"/>
      <c r="W350" s="27"/>
      <c r="Z350" s="27"/>
      <c r="AA350" s="8"/>
      <c r="AB350" s="81" t="str">
        <f t="shared" si="180"/>
        <v/>
      </c>
      <c r="AC350" s="6" t="str">
        <f t="shared" si="181"/>
        <v/>
      </c>
      <c r="AD350" s="1" t="str">
        <f t="shared" ca="1" si="182"/>
        <v/>
      </c>
      <c r="AE350" s="75" t="str">
        <f t="shared" si="183"/>
        <v/>
      </c>
      <c r="AF350" s="75" t="str">
        <f t="shared" si="184"/>
        <v/>
      </c>
      <c r="AG350" s="4" t="str">
        <f t="shared" si="185"/>
        <v/>
      </c>
      <c r="AH350" s="4" t="str">
        <f t="shared" si="186"/>
        <v/>
      </c>
      <c r="AI350" s="4" t="str">
        <f t="shared" si="187"/>
        <v/>
      </c>
      <c r="AJ350" s="4" t="str">
        <f t="shared" si="188"/>
        <v/>
      </c>
      <c r="AK350" s="4" t="str">
        <f t="shared" si="189"/>
        <v/>
      </c>
      <c r="AL350" s="2" t="str">
        <f t="shared" si="190"/>
        <v/>
      </c>
      <c r="AM350" s="6" t="str">
        <f t="shared" si="191"/>
        <v/>
      </c>
      <c r="AN350" s="4" t="str">
        <f t="shared" si="192"/>
        <v/>
      </c>
      <c r="AO350" s="4" t="str">
        <f t="shared" si="193"/>
        <v/>
      </c>
      <c r="AP350" s="4" t="str">
        <f t="shared" si="194"/>
        <v/>
      </c>
      <c r="AQ350" s="4" t="str">
        <f t="shared" si="195"/>
        <v/>
      </c>
      <c r="AR350" s="4" t="str">
        <f t="shared" si="196"/>
        <v/>
      </c>
    </row>
    <row r="351" spans="8:44" s="1" customFormat="1" ht="14.25" x14ac:dyDescent="0.3">
      <c r="H351" s="50"/>
      <c r="J351" s="54"/>
      <c r="L351" s="54"/>
      <c r="R351" s="45"/>
      <c r="S351" s="54"/>
      <c r="T351" s="54"/>
      <c r="U351" s="54"/>
      <c r="V351" s="44"/>
      <c r="W351" s="27"/>
      <c r="Z351" s="27"/>
      <c r="AA351" s="8"/>
      <c r="AB351" s="81" t="str">
        <f t="shared" si="180"/>
        <v/>
      </c>
      <c r="AC351" s="6" t="str">
        <f t="shared" si="181"/>
        <v/>
      </c>
      <c r="AD351" s="1" t="str">
        <f t="shared" ca="1" si="182"/>
        <v/>
      </c>
      <c r="AE351" s="75" t="str">
        <f t="shared" si="183"/>
        <v/>
      </c>
      <c r="AF351" s="75" t="str">
        <f t="shared" si="184"/>
        <v/>
      </c>
      <c r="AG351" s="4" t="str">
        <f t="shared" si="185"/>
        <v/>
      </c>
      <c r="AH351" s="4" t="str">
        <f t="shared" si="186"/>
        <v/>
      </c>
      <c r="AI351" s="4" t="str">
        <f t="shared" si="187"/>
        <v/>
      </c>
      <c r="AJ351" s="4" t="str">
        <f t="shared" si="188"/>
        <v/>
      </c>
      <c r="AK351" s="4" t="str">
        <f t="shared" si="189"/>
        <v/>
      </c>
      <c r="AL351" s="2" t="str">
        <f t="shared" si="190"/>
        <v/>
      </c>
      <c r="AM351" s="6" t="str">
        <f t="shared" si="191"/>
        <v/>
      </c>
      <c r="AN351" s="4" t="str">
        <f t="shared" si="192"/>
        <v/>
      </c>
      <c r="AO351" s="4" t="str">
        <f t="shared" si="193"/>
        <v/>
      </c>
      <c r="AP351" s="4" t="str">
        <f t="shared" si="194"/>
        <v/>
      </c>
      <c r="AQ351" s="4" t="str">
        <f t="shared" si="195"/>
        <v/>
      </c>
      <c r="AR351" s="4" t="str">
        <f t="shared" si="196"/>
        <v/>
      </c>
    </row>
    <row r="352" spans="8:44" s="1" customFormat="1" ht="14.25" x14ac:dyDescent="0.3">
      <c r="H352" s="50"/>
      <c r="J352" s="54"/>
      <c r="L352" s="54"/>
      <c r="R352" s="45"/>
      <c r="S352" s="54"/>
      <c r="T352" s="54"/>
      <c r="U352" s="54"/>
      <c r="V352" s="44"/>
      <c r="W352" s="27"/>
      <c r="Z352" s="27"/>
      <c r="AA352" s="8"/>
      <c r="AB352" s="81" t="str">
        <f t="shared" si="180"/>
        <v/>
      </c>
      <c r="AC352" s="6" t="str">
        <f t="shared" si="181"/>
        <v/>
      </c>
      <c r="AD352" s="1" t="str">
        <f t="shared" ca="1" si="182"/>
        <v/>
      </c>
      <c r="AE352" s="75" t="str">
        <f t="shared" si="183"/>
        <v/>
      </c>
      <c r="AF352" s="75" t="str">
        <f t="shared" si="184"/>
        <v/>
      </c>
      <c r="AG352" s="4" t="str">
        <f t="shared" si="185"/>
        <v/>
      </c>
      <c r="AH352" s="4" t="str">
        <f t="shared" si="186"/>
        <v/>
      </c>
      <c r="AI352" s="4" t="str">
        <f t="shared" si="187"/>
        <v/>
      </c>
      <c r="AJ352" s="4" t="str">
        <f t="shared" si="188"/>
        <v/>
      </c>
      <c r="AK352" s="4" t="str">
        <f t="shared" si="189"/>
        <v/>
      </c>
      <c r="AL352" s="2" t="str">
        <f t="shared" si="190"/>
        <v/>
      </c>
      <c r="AM352" s="6" t="str">
        <f t="shared" si="191"/>
        <v/>
      </c>
      <c r="AN352" s="4" t="str">
        <f t="shared" si="192"/>
        <v/>
      </c>
      <c r="AO352" s="4" t="str">
        <f t="shared" si="193"/>
        <v/>
      </c>
      <c r="AP352" s="4" t="str">
        <f t="shared" si="194"/>
        <v/>
      </c>
      <c r="AQ352" s="4" t="str">
        <f t="shared" si="195"/>
        <v/>
      </c>
      <c r="AR352" s="4" t="str">
        <f t="shared" si="196"/>
        <v/>
      </c>
    </row>
    <row r="353" spans="8:44" s="1" customFormat="1" ht="14.25" x14ac:dyDescent="0.3">
      <c r="H353" s="50"/>
      <c r="J353" s="54"/>
      <c r="L353" s="54"/>
      <c r="R353" s="45"/>
      <c r="S353" s="54"/>
      <c r="T353" s="54"/>
      <c r="U353" s="54"/>
      <c r="V353" s="44"/>
      <c r="W353" s="27"/>
      <c r="Z353" s="27"/>
      <c r="AA353" s="8"/>
      <c r="AB353" s="81" t="str">
        <f t="shared" si="180"/>
        <v/>
      </c>
      <c r="AC353" s="6" t="str">
        <f t="shared" si="181"/>
        <v/>
      </c>
      <c r="AD353" s="1" t="str">
        <f t="shared" ca="1" si="182"/>
        <v/>
      </c>
      <c r="AE353" s="75" t="str">
        <f t="shared" si="183"/>
        <v/>
      </c>
      <c r="AF353" s="75" t="str">
        <f t="shared" si="184"/>
        <v/>
      </c>
      <c r="AG353" s="4" t="str">
        <f t="shared" si="185"/>
        <v/>
      </c>
      <c r="AH353" s="4" t="str">
        <f t="shared" si="186"/>
        <v/>
      </c>
      <c r="AI353" s="4" t="str">
        <f t="shared" si="187"/>
        <v/>
      </c>
      <c r="AJ353" s="4" t="str">
        <f t="shared" si="188"/>
        <v/>
      </c>
      <c r="AK353" s="4" t="str">
        <f t="shared" si="189"/>
        <v/>
      </c>
      <c r="AL353" s="2" t="str">
        <f t="shared" si="190"/>
        <v/>
      </c>
      <c r="AM353" s="6" t="str">
        <f t="shared" si="191"/>
        <v/>
      </c>
      <c r="AN353" s="4" t="str">
        <f t="shared" si="192"/>
        <v/>
      </c>
      <c r="AO353" s="4" t="str">
        <f t="shared" si="193"/>
        <v/>
      </c>
      <c r="AP353" s="4" t="str">
        <f t="shared" si="194"/>
        <v/>
      </c>
      <c r="AQ353" s="4" t="str">
        <f t="shared" si="195"/>
        <v/>
      </c>
      <c r="AR353" s="4" t="str">
        <f t="shared" si="196"/>
        <v/>
      </c>
    </row>
    <row r="354" spans="8:44" s="1" customFormat="1" ht="14.25" x14ac:dyDescent="0.3">
      <c r="H354" s="50"/>
      <c r="J354" s="54"/>
      <c r="L354" s="54"/>
      <c r="R354" s="45"/>
      <c r="S354" s="54"/>
      <c r="T354" s="54"/>
      <c r="U354" s="54"/>
      <c r="V354" s="44"/>
      <c r="W354" s="27"/>
      <c r="Z354" s="27"/>
      <c r="AA354" s="8"/>
      <c r="AB354" s="81" t="str">
        <f t="shared" si="180"/>
        <v/>
      </c>
      <c r="AC354" s="6" t="str">
        <f t="shared" si="181"/>
        <v/>
      </c>
      <c r="AD354" s="1" t="str">
        <f t="shared" ca="1" si="182"/>
        <v/>
      </c>
      <c r="AE354" s="75" t="str">
        <f t="shared" si="183"/>
        <v/>
      </c>
      <c r="AF354" s="75" t="str">
        <f t="shared" si="184"/>
        <v/>
      </c>
      <c r="AG354" s="4" t="str">
        <f t="shared" si="185"/>
        <v/>
      </c>
      <c r="AH354" s="4" t="str">
        <f t="shared" si="186"/>
        <v/>
      </c>
      <c r="AI354" s="4" t="str">
        <f t="shared" si="187"/>
        <v/>
      </c>
      <c r="AJ354" s="4" t="str">
        <f t="shared" si="188"/>
        <v/>
      </c>
      <c r="AK354" s="4" t="str">
        <f t="shared" si="189"/>
        <v/>
      </c>
      <c r="AL354" s="2" t="str">
        <f t="shared" si="190"/>
        <v/>
      </c>
      <c r="AM354" s="6" t="str">
        <f t="shared" si="191"/>
        <v/>
      </c>
      <c r="AN354" s="4" t="str">
        <f t="shared" si="192"/>
        <v/>
      </c>
      <c r="AO354" s="4" t="str">
        <f t="shared" si="193"/>
        <v/>
      </c>
      <c r="AP354" s="4" t="str">
        <f t="shared" si="194"/>
        <v/>
      </c>
      <c r="AQ354" s="4" t="str">
        <f t="shared" si="195"/>
        <v/>
      </c>
      <c r="AR354" s="4" t="str">
        <f t="shared" si="196"/>
        <v/>
      </c>
    </row>
    <row r="355" spans="8:44" s="1" customFormat="1" ht="14.25" x14ac:dyDescent="0.3">
      <c r="H355" s="50"/>
      <c r="J355" s="54"/>
      <c r="L355" s="54"/>
      <c r="R355" s="45"/>
      <c r="S355" s="54"/>
      <c r="T355" s="54"/>
      <c r="U355" s="54"/>
      <c r="V355" s="44"/>
      <c r="W355" s="27"/>
      <c r="Z355" s="27"/>
      <c r="AA355" s="8"/>
      <c r="AB355" s="81" t="str">
        <f t="shared" si="180"/>
        <v/>
      </c>
      <c r="AC355" s="6" t="str">
        <f t="shared" si="181"/>
        <v/>
      </c>
      <c r="AD355" s="1" t="str">
        <f t="shared" ca="1" si="182"/>
        <v/>
      </c>
      <c r="AE355" s="75" t="str">
        <f t="shared" si="183"/>
        <v/>
      </c>
      <c r="AF355" s="75" t="str">
        <f t="shared" si="184"/>
        <v/>
      </c>
      <c r="AG355" s="4" t="str">
        <f t="shared" si="185"/>
        <v/>
      </c>
      <c r="AH355" s="4" t="str">
        <f t="shared" si="186"/>
        <v/>
      </c>
      <c r="AI355" s="4" t="str">
        <f t="shared" si="187"/>
        <v/>
      </c>
      <c r="AJ355" s="4" t="str">
        <f t="shared" si="188"/>
        <v/>
      </c>
      <c r="AK355" s="4" t="str">
        <f t="shared" si="189"/>
        <v/>
      </c>
      <c r="AL355" s="2" t="str">
        <f t="shared" si="190"/>
        <v/>
      </c>
      <c r="AM355" s="6" t="str">
        <f t="shared" si="191"/>
        <v/>
      </c>
      <c r="AN355" s="4" t="str">
        <f t="shared" si="192"/>
        <v/>
      </c>
      <c r="AO355" s="4" t="str">
        <f t="shared" si="193"/>
        <v/>
      </c>
      <c r="AP355" s="4" t="str">
        <f t="shared" si="194"/>
        <v/>
      </c>
      <c r="AQ355" s="4" t="str">
        <f t="shared" si="195"/>
        <v/>
      </c>
      <c r="AR355" s="4" t="str">
        <f t="shared" si="196"/>
        <v/>
      </c>
    </row>
    <row r="356" spans="8:44" s="1" customFormat="1" ht="14.25" x14ac:dyDescent="0.3">
      <c r="H356" s="50"/>
      <c r="J356" s="54"/>
      <c r="L356" s="54"/>
      <c r="R356" s="45"/>
      <c r="S356" s="54"/>
      <c r="T356" s="54"/>
      <c r="U356" s="54"/>
      <c r="V356" s="44"/>
      <c r="W356" s="27"/>
      <c r="Z356" s="27"/>
      <c r="AA356" s="8"/>
      <c r="AB356" s="81" t="str">
        <f t="shared" si="180"/>
        <v/>
      </c>
      <c r="AC356" s="6" t="str">
        <f t="shared" si="181"/>
        <v/>
      </c>
      <c r="AD356" s="1" t="str">
        <f t="shared" ca="1" si="182"/>
        <v/>
      </c>
      <c r="AE356" s="75" t="str">
        <f t="shared" si="183"/>
        <v/>
      </c>
      <c r="AF356" s="75" t="str">
        <f t="shared" si="184"/>
        <v/>
      </c>
      <c r="AG356" s="4" t="str">
        <f t="shared" si="185"/>
        <v/>
      </c>
      <c r="AH356" s="4" t="str">
        <f t="shared" si="186"/>
        <v/>
      </c>
      <c r="AI356" s="4" t="str">
        <f t="shared" si="187"/>
        <v/>
      </c>
      <c r="AJ356" s="4" t="str">
        <f t="shared" si="188"/>
        <v/>
      </c>
      <c r="AK356" s="4" t="str">
        <f t="shared" si="189"/>
        <v/>
      </c>
      <c r="AL356" s="2" t="str">
        <f t="shared" si="190"/>
        <v/>
      </c>
      <c r="AM356" s="6" t="str">
        <f t="shared" si="191"/>
        <v/>
      </c>
      <c r="AN356" s="4" t="str">
        <f t="shared" si="192"/>
        <v/>
      </c>
      <c r="AO356" s="4" t="str">
        <f t="shared" si="193"/>
        <v/>
      </c>
      <c r="AP356" s="4" t="str">
        <f t="shared" si="194"/>
        <v/>
      </c>
      <c r="AQ356" s="4" t="str">
        <f t="shared" si="195"/>
        <v/>
      </c>
      <c r="AR356" s="4" t="str">
        <f t="shared" si="196"/>
        <v/>
      </c>
    </row>
    <row r="357" spans="8:44" s="1" customFormat="1" ht="14.25" x14ac:dyDescent="0.3">
      <c r="H357" s="50"/>
      <c r="J357" s="54"/>
      <c r="L357" s="54"/>
      <c r="R357" s="45"/>
      <c r="S357" s="54"/>
      <c r="T357" s="54"/>
      <c r="U357" s="54"/>
      <c r="V357" s="44"/>
      <c r="W357" s="27"/>
      <c r="Z357" s="27"/>
      <c r="AA357" s="8"/>
      <c r="AB357" s="81" t="str">
        <f t="shared" si="180"/>
        <v/>
      </c>
      <c r="AC357" s="6" t="str">
        <f t="shared" si="181"/>
        <v/>
      </c>
      <c r="AD357" s="1" t="str">
        <f t="shared" ca="1" si="182"/>
        <v/>
      </c>
      <c r="AE357" s="75" t="str">
        <f t="shared" si="183"/>
        <v/>
      </c>
      <c r="AF357" s="75" t="str">
        <f t="shared" si="184"/>
        <v/>
      </c>
      <c r="AG357" s="4" t="str">
        <f t="shared" si="185"/>
        <v/>
      </c>
      <c r="AH357" s="4" t="str">
        <f t="shared" si="186"/>
        <v/>
      </c>
      <c r="AI357" s="4" t="str">
        <f t="shared" si="187"/>
        <v/>
      </c>
      <c r="AJ357" s="4" t="str">
        <f t="shared" si="188"/>
        <v/>
      </c>
      <c r="AK357" s="4" t="str">
        <f t="shared" si="189"/>
        <v/>
      </c>
      <c r="AL357" s="2" t="str">
        <f t="shared" si="190"/>
        <v/>
      </c>
      <c r="AM357" s="6" t="str">
        <f t="shared" si="191"/>
        <v/>
      </c>
      <c r="AN357" s="4" t="str">
        <f t="shared" si="192"/>
        <v/>
      </c>
      <c r="AO357" s="4" t="str">
        <f t="shared" si="193"/>
        <v/>
      </c>
      <c r="AP357" s="4" t="str">
        <f t="shared" si="194"/>
        <v/>
      </c>
      <c r="AQ357" s="4" t="str">
        <f t="shared" si="195"/>
        <v/>
      </c>
      <c r="AR357" s="4" t="str">
        <f t="shared" si="196"/>
        <v/>
      </c>
    </row>
    <row r="358" spans="8:44" s="1" customFormat="1" ht="14.25" x14ac:dyDescent="0.3">
      <c r="H358" s="50"/>
      <c r="J358" s="54"/>
      <c r="L358" s="54"/>
      <c r="R358" s="45"/>
      <c r="S358" s="54"/>
      <c r="T358" s="54"/>
      <c r="U358" s="54"/>
      <c r="V358" s="44"/>
      <c r="W358" s="27"/>
      <c r="Z358" s="27"/>
      <c r="AA358" s="8"/>
      <c r="AB358" s="81" t="str">
        <f t="shared" si="180"/>
        <v/>
      </c>
      <c r="AC358" s="6" t="str">
        <f t="shared" si="181"/>
        <v/>
      </c>
      <c r="AD358" s="1" t="str">
        <f t="shared" ca="1" si="182"/>
        <v/>
      </c>
      <c r="AE358" s="75" t="str">
        <f t="shared" si="183"/>
        <v/>
      </c>
      <c r="AF358" s="75" t="str">
        <f t="shared" si="184"/>
        <v/>
      </c>
      <c r="AG358" s="4" t="str">
        <f t="shared" si="185"/>
        <v/>
      </c>
      <c r="AH358" s="4" t="str">
        <f t="shared" si="186"/>
        <v/>
      </c>
      <c r="AI358" s="4" t="str">
        <f t="shared" si="187"/>
        <v/>
      </c>
      <c r="AJ358" s="4" t="str">
        <f t="shared" si="188"/>
        <v/>
      </c>
      <c r="AK358" s="4" t="str">
        <f t="shared" si="189"/>
        <v/>
      </c>
      <c r="AL358" s="2" t="str">
        <f t="shared" si="190"/>
        <v/>
      </c>
      <c r="AM358" s="6" t="str">
        <f t="shared" si="191"/>
        <v/>
      </c>
      <c r="AN358" s="4" t="str">
        <f t="shared" si="192"/>
        <v/>
      </c>
      <c r="AO358" s="4" t="str">
        <f t="shared" si="193"/>
        <v/>
      </c>
      <c r="AP358" s="4" t="str">
        <f t="shared" si="194"/>
        <v/>
      </c>
      <c r="AQ358" s="4" t="str">
        <f t="shared" si="195"/>
        <v/>
      </c>
      <c r="AR358" s="4" t="str">
        <f t="shared" si="196"/>
        <v/>
      </c>
    </row>
    <row r="359" spans="8:44" s="1" customFormat="1" ht="14.25" x14ac:dyDescent="0.3">
      <c r="H359" s="50"/>
      <c r="J359" s="54"/>
      <c r="L359" s="54"/>
      <c r="R359" s="45"/>
      <c r="S359" s="54"/>
      <c r="T359" s="54"/>
      <c r="U359" s="54"/>
      <c r="V359" s="44"/>
      <c r="W359" s="27"/>
      <c r="Z359" s="27"/>
      <c r="AA359" s="8"/>
      <c r="AB359" s="81" t="str">
        <f t="shared" si="180"/>
        <v/>
      </c>
      <c r="AC359" s="6" t="str">
        <f t="shared" si="181"/>
        <v/>
      </c>
      <c r="AD359" s="1" t="str">
        <f t="shared" ca="1" si="182"/>
        <v/>
      </c>
      <c r="AE359" s="75" t="str">
        <f t="shared" si="183"/>
        <v/>
      </c>
      <c r="AF359" s="75" t="str">
        <f t="shared" si="184"/>
        <v/>
      </c>
      <c r="AG359" s="4" t="str">
        <f t="shared" si="185"/>
        <v/>
      </c>
      <c r="AH359" s="4" t="str">
        <f t="shared" si="186"/>
        <v/>
      </c>
      <c r="AI359" s="4" t="str">
        <f t="shared" si="187"/>
        <v/>
      </c>
      <c r="AJ359" s="4" t="str">
        <f t="shared" si="188"/>
        <v/>
      </c>
      <c r="AK359" s="4" t="str">
        <f t="shared" si="189"/>
        <v/>
      </c>
      <c r="AL359" s="2" t="str">
        <f t="shared" si="190"/>
        <v/>
      </c>
      <c r="AM359" s="6" t="str">
        <f t="shared" si="191"/>
        <v/>
      </c>
      <c r="AN359" s="4" t="str">
        <f t="shared" si="192"/>
        <v/>
      </c>
      <c r="AO359" s="4" t="str">
        <f t="shared" si="193"/>
        <v/>
      </c>
      <c r="AP359" s="4" t="str">
        <f t="shared" si="194"/>
        <v/>
      </c>
      <c r="AQ359" s="4" t="str">
        <f t="shared" si="195"/>
        <v/>
      </c>
      <c r="AR359" s="4" t="str">
        <f t="shared" si="196"/>
        <v/>
      </c>
    </row>
    <row r="360" spans="8:44" s="1" customFormat="1" ht="14.25" x14ac:dyDescent="0.3">
      <c r="H360" s="50"/>
      <c r="J360" s="54"/>
      <c r="L360" s="54"/>
      <c r="R360" s="45"/>
      <c r="S360" s="54"/>
      <c r="T360" s="54"/>
      <c r="U360" s="54"/>
      <c r="V360" s="44"/>
      <c r="W360" s="27"/>
      <c r="Z360" s="27"/>
      <c r="AA360" s="8"/>
      <c r="AB360" s="81" t="str">
        <f t="shared" si="180"/>
        <v/>
      </c>
      <c r="AC360" s="6" t="str">
        <f t="shared" si="181"/>
        <v/>
      </c>
      <c r="AD360" s="1" t="str">
        <f t="shared" ca="1" si="182"/>
        <v/>
      </c>
      <c r="AE360" s="75" t="str">
        <f t="shared" si="183"/>
        <v/>
      </c>
      <c r="AF360" s="75" t="str">
        <f t="shared" si="184"/>
        <v/>
      </c>
      <c r="AG360" s="4" t="str">
        <f t="shared" si="185"/>
        <v/>
      </c>
      <c r="AH360" s="4" t="str">
        <f t="shared" si="186"/>
        <v/>
      </c>
      <c r="AI360" s="4" t="str">
        <f t="shared" si="187"/>
        <v/>
      </c>
      <c r="AJ360" s="4" t="str">
        <f t="shared" si="188"/>
        <v/>
      </c>
      <c r="AK360" s="4" t="str">
        <f t="shared" si="189"/>
        <v/>
      </c>
      <c r="AL360" s="2" t="str">
        <f t="shared" si="190"/>
        <v/>
      </c>
      <c r="AM360" s="6" t="str">
        <f t="shared" si="191"/>
        <v/>
      </c>
      <c r="AN360" s="4" t="str">
        <f t="shared" si="192"/>
        <v/>
      </c>
      <c r="AO360" s="4" t="str">
        <f t="shared" si="193"/>
        <v/>
      </c>
      <c r="AP360" s="4" t="str">
        <f t="shared" si="194"/>
        <v/>
      </c>
      <c r="AQ360" s="4" t="str">
        <f t="shared" si="195"/>
        <v/>
      </c>
      <c r="AR360" s="4" t="str">
        <f t="shared" si="196"/>
        <v/>
      </c>
    </row>
    <row r="361" spans="8:44" s="1" customFormat="1" ht="14.25" x14ac:dyDescent="0.3">
      <c r="H361" s="50"/>
      <c r="J361" s="54"/>
      <c r="L361" s="54"/>
      <c r="R361" s="45"/>
      <c r="S361" s="54"/>
      <c r="T361" s="54"/>
      <c r="U361" s="54"/>
      <c r="V361" s="44"/>
      <c r="W361" s="27"/>
      <c r="Z361" s="27"/>
      <c r="AA361" s="8"/>
      <c r="AB361" s="81" t="str">
        <f t="shared" si="180"/>
        <v/>
      </c>
      <c r="AC361" s="6" t="str">
        <f t="shared" si="181"/>
        <v/>
      </c>
      <c r="AD361" s="1" t="str">
        <f t="shared" ca="1" si="182"/>
        <v/>
      </c>
      <c r="AE361" s="75" t="str">
        <f t="shared" si="183"/>
        <v/>
      </c>
      <c r="AF361" s="75" t="str">
        <f t="shared" si="184"/>
        <v/>
      </c>
      <c r="AG361" s="4" t="str">
        <f t="shared" si="185"/>
        <v/>
      </c>
      <c r="AH361" s="4" t="str">
        <f t="shared" si="186"/>
        <v/>
      </c>
      <c r="AI361" s="4" t="str">
        <f t="shared" si="187"/>
        <v/>
      </c>
      <c r="AJ361" s="4" t="str">
        <f t="shared" si="188"/>
        <v/>
      </c>
      <c r="AK361" s="4" t="str">
        <f t="shared" si="189"/>
        <v/>
      </c>
      <c r="AL361" s="2" t="str">
        <f t="shared" si="190"/>
        <v/>
      </c>
      <c r="AM361" s="6" t="str">
        <f t="shared" si="191"/>
        <v/>
      </c>
      <c r="AN361" s="4" t="str">
        <f t="shared" si="192"/>
        <v/>
      </c>
      <c r="AO361" s="4" t="str">
        <f t="shared" si="193"/>
        <v/>
      </c>
      <c r="AP361" s="4" t="str">
        <f t="shared" si="194"/>
        <v/>
      </c>
      <c r="AQ361" s="4" t="str">
        <f t="shared" si="195"/>
        <v/>
      </c>
      <c r="AR361" s="4" t="str">
        <f t="shared" si="196"/>
        <v/>
      </c>
    </row>
    <row r="362" spans="8:44" s="1" customFormat="1" ht="14.25" x14ac:dyDescent="0.3">
      <c r="H362" s="50"/>
      <c r="J362" s="54"/>
      <c r="L362" s="54"/>
      <c r="R362" s="45"/>
      <c r="S362" s="54"/>
      <c r="T362" s="54"/>
      <c r="U362" s="54"/>
      <c r="V362" s="44"/>
      <c r="W362" s="27"/>
      <c r="Z362" s="27"/>
      <c r="AA362" s="8"/>
      <c r="AB362" s="81" t="str">
        <f t="shared" si="180"/>
        <v/>
      </c>
      <c r="AC362" s="6" t="str">
        <f t="shared" si="181"/>
        <v/>
      </c>
      <c r="AD362" s="1" t="str">
        <f t="shared" ca="1" si="182"/>
        <v/>
      </c>
      <c r="AE362" s="75" t="str">
        <f t="shared" si="183"/>
        <v/>
      </c>
      <c r="AF362" s="75" t="str">
        <f t="shared" si="184"/>
        <v/>
      </c>
      <c r="AG362" s="4" t="str">
        <f t="shared" si="185"/>
        <v/>
      </c>
      <c r="AH362" s="4" t="str">
        <f t="shared" si="186"/>
        <v/>
      </c>
      <c r="AI362" s="4" t="str">
        <f t="shared" si="187"/>
        <v/>
      </c>
      <c r="AJ362" s="4" t="str">
        <f t="shared" si="188"/>
        <v/>
      </c>
      <c r="AK362" s="4" t="str">
        <f t="shared" si="189"/>
        <v/>
      </c>
      <c r="AL362" s="2" t="str">
        <f t="shared" si="190"/>
        <v/>
      </c>
      <c r="AM362" s="6" t="str">
        <f t="shared" si="191"/>
        <v/>
      </c>
      <c r="AN362" s="4" t="str">
        <f t="shared" si="192"/>
        <v/>
      </c>
      <c r="AO362" s="4" t="str">
        <f t="shared" si="193"/>
        <v/>
      </c>
      <c r="AP362" s="4" t="str">
        <f t="shared" si="194"/>
        <v/>
      </c>
      <c r="AQ362" s="4" t="str">
        <f t="shared" si="195"/>
        <v/>
      </c>
      <c r="AR362" s="4" t="str">
        <f t="shared" si="196"/>
        <v/>
      </c>
    </row>
    <row r="363" spans="8:44" s="1" customFormat="1" ht="14.25" x14ac:dyDescent="0.3">
      <c r="H363" s="50"/>
      <c r="J363" s="54"/>
      <c r="L363" s="54"/>
      <c r="R363" s="45"/>
      <c r="S363" s="54"/>
      <c r="T363" s="54"/>
      <c r="U363" s="54"/>
      <c r="V363" s="44"/>
      <c r="W363" s="27"/>
      <c r="Z363" s="27"/>
      <c r="AA363" s="8"/>
      <c r="AB363" s="81" t="str">
        <f t="shared" si="180"/>
        <v/>
      </c>
      <c r="AC363" s="6" t="str">
        <f t="shared" si="181"/>
        <v/>
      </c>
      <c r="AD363" s="1" t="str">
        <f t="shared" ca="1" si="182"/>
        <v/>
      </c>
      <c r="AE363" s="75" t="str">
        <f t="shared" si="183"/>
        <v/>
      </c>
      <c r="AF363" s="75" t="str">
        <f t="shared" si="184"/>
        <v/>
      </c>
      <c r="AG363" s="4" t="str">
        <f t="shared" si="185"/>
        <v/>
      </c>
      <c r="AH363" s="4" t="str">
        <f t="shared" si="186"/>
        <v/>
      </c>
      <c r="AI363" s="4" t="str">
        <f t="shared" si="187"/>
        <v/>
      </c>
      <c r="AJ363" s="4" t="str">
        <f t="shared" si="188"/>
        <v/>
      </c>
      <c r="AK363" s="4" t="str">
        <f t="shared" si="189"/>
        <v/>
      </c>
      <c r="AL363" s="2" t="str">
        <f t="shared" si="190"/>
        <v/>
      </c>
      <c r="AM363" s="6" t="str">
        <f t="shared" si="191"/>
        <v/>
      </c>
      <c r="AN363" s="4" t="str">
        <f t="shared" si="192"/>
        <v/>
      </c>
      <c r="AO363" s="4" t="str">
        <f t="shared" si="193"/>
        <v/>
      </c>
      <c r="AP363" s="4" t="str">
        <f t="shared" si="194"/>
        <v/>
      </c>
      <c r="AQ363" s="4" t="str">
        <f t="shared" si="195"/>
        <v/>
      </c>
      <c r="AR363" s="4" t="str">
        <f t="shared" si="196"/>
        <v/>
      </c>
    </row>
    <row r="364" spans="8:44" s="1" customFormat="1" ht="14.25" x14ac:dyDescent="0.3">
      <c r="H364" s="50"/>
      <c r="J364" s="54"/>
      <c r="L364" s="54"/>
      <c r="R364" s="45"/>
      <c r="S364" s="54"/>
      <c r="T364" s="54"/>
      <c r="U364" s="54"/>
      <c r="V364" s="44"/>
      <c r="W364" s="27"/>
      <c r="Z364" s="27"/>
      <c r="AA364" s="8"/>
      <c r="AB364" s="81" t="str">
        <f t="shared" si="180"/>
        <v/>
      </c>
      <c r="AC364" s="6" t="str">
        <f t="shared" si="181"/>
        <v/>
      </c>
      <c r="AD364" s="1" t="str">
        <f t="shared" ca="1" si="182"/>
        <v/>
      </c>
      <c r="AE364" s="75" t="str">
        <f t="shared" si="183"/>
        <v/>
      </c>
      <c r="AF364" s="75" t="str">
        <f t="shared" si="184"/>
        <v/>
      </c>
      <c r="AG364" s="4" t="str">
        <f t="shared" si="185"/>
        <v/>
      </c>
      <c r="AH364" s="4" t="str">
        <f t="shared" si="186"/>
        <v/>
      </c>
      <c r="AI364" s="4" t="str">
        <f t="shared" si="187"/>
        <v/>
      </c>
      <c r="AJ364" s="4" t="str">
        <f t="shared" si="188"/>
        <v/>
      </c>
      <c r="AK364" s="4" t="str">
        <f t="shared" si="189"/>
        <v/>
      </c>
      <c r="AL364" s="2" t="str">
        <f t="shared" si="190"/>
        <v/>
      </c>
      <c r="AM364" s="6" t="str">
        <f t="shared" si="191"/>
        <v/>
      </c>
      <c r="AN364" s="4" t="str">
        <f t="shared" si="192"/>
        <v/>
      </c>
      <c r="AO364" s="4" t="str">
        <f t="shared" si="193"/>
        <v/>
      </c>
      <c r="AP364" s="4" t="str">
        <f t="shared" si="194"/>
        <v/>
      </c>
      <c r="AQ364" s="4" t="str">
        <f t="shared" si="195"/>
        <v/>
      </c>
      <c r="AR364" s="4" t="str">
        <f t="shared" si="196"/>
        <v/>
      </c>
    </row>
    <row r="365" spans="8:44" s="1" customFormat="1" ht="14.25" x14ac:dyDescent="0.3">
      <c r="H365" s="50"/>
      <c r="J365" s="54"/>
      <c r="L365" s="54"/>
      <c r="R365" s="45"/>
      <c r="S365" s="54"/>
      <c r="T365" s="54"/>
      <c r="U365" s="54"/>
      <c r="V365" s="44"/>
      <c r="W365" s="27"/>
      <c r="Z365" s="27"/>
      <c r="AA365" s="8"/>
      <c r="AB365" s="81" t="str">
        <f t="shared" si="180"/>
        <v/>
      </c>
      <c r="AC365" s="6" t="str">
        <f t="shared" si="181"/>
        <v/>
      </c>
      <c r="AD365" s="1" t="str">
        <f t="shared" ca="1" si="182"/>
        <v/>
      </c>
      <c r="AE365" s="75" t="str">
        <f t="shared" si="183"/>
        <v/>
      </c>
      <c r="AF365" s="75" t="str">
        <f t="shared" si="184"/>
        <v/>
      </c>
      <c r="AG365" s="4" t="str">
        <f t="shared" si="185"/>
        <v/>
      </c>
      <c r="AH365" s="4" t="str">
        <f t="shared" si="186"/>
        <v/>
      </c>
      <c r="AI365" s="4" t="str">
        <f t="shared" si="187"/>
        <v/>
      </c>
      <c r="AJ365" s="4" t="str">
        <f t="shared" si="188"/>
        <v/>
      </c>
      <c r="AK365" s="4" t="str">
        <f t="shared" si="189"/>
        <v/>
      </c>
      <c r="AL365" s="2" t="str">
        <f t="shared" si="190"/>
        <v/>
      </c>
      <c r="AM365" s="6" t="str">
        <f t="shared" si="191"/>
        <v/>
      </c>
      <c r="AN365" s="4" t="str">
        <f t="shared" si="192"/>
        <v/>
      </c>
      <c r="AO365" s="4" t="str">
        <f t="shared" si="193"/>
        <v/>
      </c>
      <c r="AP365" s="4" t="str">
        <f t="shared" si="194"/>
        <v/>
      </c>
      <c r="AQ365" s="4" t="str">
        <f t="shared" si="195"/>
        <v/>
      </c>
      <c r="AR365" s="4" t="str">
        <f t="shared" si="196"/>
        <v/>
      </c>
    </row>
    <row r="366" spans="8:44" s="1" customFormat="1" ht="14.25" x14ac:dyDescent="0.3">
      <c r="H366" s="50"/>
      <c r="J366" s="54"/>
      <c r="L366" s="54"/>
      <c r="R366" s="45"/>
      <c r="S366" s="54"/>
      <c r="T366" s="54"/>
      <c r="U366" s="54"/>
      <c r="V366" s="44"/>
      <c r="W366" s="27"/>
      <c r="Z366" s="27"/>
      <c r="AA366" s="8"/>
      <c r="AB366" s="81" t="str">
        <f t="shared" si="180"/>
        <v/>
      </c>
      <c r="AC366" s="6" t="str">
        <f t="shared" si="181"/>
        <v/>
      </c>
      <c r="AD366" s="1" t="str">
        <f t="shared" ca="1" si="182"/>
        <v/>
      </c>
      <c r="AE366" s="75" t="str">
        <f t="shared" si="183"/>
        <v/>
      </c>
      <c r="AF366" s="75" t="str">
        <f t="shared" si="184"/>
        <v/>
      </c>
      <c r="AG366" s="4" t="str">
        <f t="shared" si="185"/>
        <v/>
      </c>
      <c r="AH366" s="4" t="str">
        <f t="shared" si="186"/>
        <v/>
      </c>
      <c r="AI366" s="4" t="str">
        <f t="shared" si="187"/>
        <v/>
      </c>
      <c r="AJ366" s="4" t="str">
        <f t="shared" si="188"/>
        <v/>
      </c>
      <c r="AK366" s="4" t="str">
        <f t="shared" si="189"/>
        <v/>
      </c>
      <c r="AL366" s="2" t="str">
        <f t="shared" si="190"/>
        <v/>
      </c>
      <c r="AM366" s="6" t="str">
        <f t="shared" si="191"/>
        <v/>
      </c>
      <c r="AN366" s="4" t="str">
        <f t="shared" si="192"/>
        <v/>
      </c>
      <c r="AO366" s="4" t="str">
        <f t="shared" si="193"/>
        <v/>
      </c>
      <c r="AP366" s="4" t="str">
        <f t="shared" si="194"/>
        <v/>
      </c>
      <c r="AQ366" s="4" t="str">
        <f t="shared" si="195"/>
        <v/>
      </c>
      <c r="AR366" s="4" t="str">
        <f t="shared" si="196"/>
        <v/>
      </c>
    </row>
    <row r="367" spans="8:44" s="1" customFormat="1" ht="14.25" x14ac:dyDescent="0.3">
      <c r="H367" s="50"/>
      <c r="J367" s="54"/>
      <c r="L367" s="54"/>
      <c r="R367" s="45"/>
      <c r="S367" s="54"/>
      <c r="T367" s="54"/>
      <c r="U367" s="54"/>
      <c r="V367" s="44"/>
      <c r="W367" s="27"/>
      <c r="Z367" s="27"/>
      <c r="AA367" s="8"/>
      <c r="AB367" s="81" t="str">
        <f t="shared" si="180"/>
        <v/>
      </c>
      <c r="AC367" s="6" t="str">
        <f t="shared" si="181"/>
        <v/>
      </c>
      <c r="AD367" s="1" t="str">
        <f t="shared" ca="1" si="182"/>
        <v/>
      </c>
      <c r="AE367" s="75" t="str">
        <f t="shared" si="183"/>
        <v/>
      </c>
      <c r="AF367" s="75" t="str">
        <f t="shared" si="184"/>
        <v/>
      </c>
      <c r="AG367" s="4" t="str">
        <f t="shared" si="185"/>
        <v/>
      </c>
      <c r="AH367" s="4" t="str">
        <f t="shared" si="186"/>
        <v/>
      </c>
      <c r="AI367" s="4" t="str">
        <f t="shared" si="187"/>
        <v/>
      </c>
      <c r="AJ367" s="4" t="str">
        <f t="shared" si="188"/>
        <v/>
      </c>
      <c r="AK367" s="4" t="str">
        <f t="shared" si="189"/>
        <v/>
      </c>
      <c r="AL367" s="2" t="str">
        <f t="shared" si="190"/>
        <v/>
      </c>
      <c r="AM367" s="6" t="str">
        <f t="shared" si="191"/>
        <v/>
      </c>
      <c r="AN367" s="4" t="str">
        <f t="shared" si="192"/>
        <v/>
      </c>
      <c r="AO367" s="4" t="str">
        <f t="shared" si="193"/>
        <v/>
      </c>
      <c r="AP367" s="4" t="str">
        <f t="shared" si="194"/>
        <v/>
      </c>
      <c r="AQ367" s="4" t="str">
        <f t="shared" si="195"/>
        <v/>
      </c>
      <c r="AR367" s="4" t="str">
        <f t="shared" si="196"/>
        <v/>
      </c>
    </row>
    <row r="368" spans="8:44" s="1" customFormat="1" ht="14.25" x14ac:dyDescent="0.3">
      <c r="H368" s="50"/>
      <c r="J368" s="54"/>
      <c r="L368" s="54"/>
      <c r="R368" s="45"/>
      <c r="S368" s="54"/>
      <c r="T368" s="54"/>
      <c r="U368" s="54"/>
      <c r="V368" s="44"/>
      <c r="W368" s="27"/>
      <c r="Z368" s="27"/>
      <c r="AA368" s="8"/>
      <c r="AB368" s="81" t="str">
        <f t="shared" si="180"/>
        <v/>
      </c>
      <c r="AC368" s="6" t="str">
        <f t="shared" si="181"/>
        <v/>
      </c>
      <c r="AD368" s="1" t="str">
        <f t="shared" ca="1" si="182"/>
        <v/>
      </c>
      <c r="AE368" s="75" t="str">
        <f t="shared" si="183"/>
        <v/>
      </c>
      <c r="AF368" s="75" t="str">
        <f t="shared" si="184"/>
        <v/>
      </c>
      <c r="AG368" s="4" t="str">
        <f t="shared" si="185"/>
        <v/>
      </c>
      <c r="AH368" s="4" t="str">
        <f t="shared" si="186"/>
        <v/>
      </c>
      <c r="AI368" s="4" t="str">
        <f t="shared" si="187"/>
        <v/>
      </c>
      <c r="AJ368" s="4" t="str">
        <f t="shared" si="188"/>
        <v/>
      </c>
      <c r="AK368" s="4" t="str">
        <f t="shared" si="189"/>
        <v/>
      </c>
      <c r="AL368" s="2" t="str">
        <f t="shared" si="190"/>
        <v/>
      </c>
      <c r="AM368" s="6" t="str">
        <f t="shared" si="191"/>
        <v/>
      </c>
      <c r="AN368" s="4" t="str">
        <f t="shared" si="192"/>
        <v/>
      </c>
      <c r="AO368" s="4" t="str">
        <f t="shared" si="193"/>
        <v/>
      </c>
      <c r="AP368" s="4" t="str">
        <f t="shared" si="194"/>
        <v/>
      </c>
      <c r="AQ368" s="4" t="str">
        <f t="shared" si="195"/>
        <v/>
      </c>
      <c r="AR368" s="4" t="str">
        <f t="shared" si="196"/>
        <v/>
      </c>
    </row>
    <row r="369" spans="8:44" s="1" customFormat="1" ht="14.25" x14ac:dyDescent="0.3">
      <c r="H369" s="50"/>
      <c r="J369" s="54"/>
      <c r="L369" s="54"/>
      <c r="R369" s="45"/>
      <c r="S369" s="54"/>
      <c r="T369" s="54"/>
      <c r="U369" s="54"/>
      <c r="V369" s="44"/>
      <c r="W369" s="27"/>
      <c r="Z369" s="27"/>
      <c r="AA369" s="8"/>
      <c r="AB369" s="81" t="str">
        <f t="shared" si="180"/>
        <v/>
      </c>
      <c r="AC369" s="6" t="str">
        <f t="shared" si="181"/>
        <v/>
      </c>
      <c r="AD369" s="1" t="str">
        <f t="shared" ca="1" si="182"/>
        <v/>
      </c>
      <c r="AE369" s="75" t="str">
        <f t="shared" si="183"/>
        <v/>
      </c>
      <c r="AF369" s="75" t="str">
        <f t="shared" si="184"/>
        <v/>
      </c>
      <c r="AG369" s="4" t="str">
        <f t="shared" si="185"/>
        <v/>
      </c>
      <c r="AH369" s="4" t="str">
        <f t="shared" si="186"/>
        <v/>
      </c>
      <c r="AI369" s="4" t="str">
        <f t="shared" si="187"/>
        <v/>
      </c>
      <c r="AJ369" s="4" t="str">
        <f t="shared" si="188"/>
        <v/>
      </c>
      <c r="AK369" s="4" t="str">
        <f t="shared" si="189"/>
        <v/>
      </c>
      <c r="AL369" s="2" t="str">
        <f t="shared" si="190"/>
        <v/>
      </c>
      <c r="AM369" s="6" t="str">
        <f t="shared" si="191"/>
        <v/>
      </c>
      <c r="AN369" s="4" t="str">
        <f t="shared" si="192"/>
        <v/>
      </c>
      <c r="AO369" s="4" t="str">
        <f t="shared" si="193"/>
        <v/>
      </c>
      <c r="AP369" s="4" t="str">
        <f t="shared" si="194"/>
        <v/>
      </c>
      <c r="AQ369" s="4" t="str">
        <f t="shared" si="195"/>
        <v/>
      </c>
      <c r="AR369" s="4" t="str">
        <f t="shared" si="196"/>
        <v/>
      </c>
    </row>
    <row r="370" spans="8:44" s="1" customFormat="1" ht="14.25" x14ac:dyDescent="0.3">
      <c r="H370" s="50"/>
      <c r="J370" s="54"/>
      <c r="L370" s="54"/>
      <c r="R370" s="45"/>
      <c r="S370" s="54"/>
      <c r="T370" s="54"/>
      <c r="U370" s="54"/>
      <c r="V370" s="44"/>
      <c r="W370" s="27"/>
      <c r="Z370" s="27"/>
      <c r="AA370" s="8"/>
      <c r="AB370" s="81" t="str">
        <f t="shared" si="180"/>
        <v/>
      </c>
      <c r="AC370" s="6" t="str">
        <f t="shared" si="181"/>
        <v/>
      </c>
      <c r="AD370" s="1" t="str">
        <f t="shared" ca="1" si="182"/>
        <v/>
      </c>
      <c r="AE370" s="75" t="str">
        <f t="shared" si="183"/>
        <v/>
      </c>
      <c r="AF370" s="75" t="str">
        <f t="shared" si="184"/>
        <v/>
      </c>
      <c r="AG370" s="4" t="str">
        <f t="shared" si="185"/>
        <v/>
      </c>
      <c r="AH370" s="4" t="str">
        <f t="shared" si="186"/>
        <v/>
      </c>
      <c r="AI370" s="4" t="str">
        <f t="shared" si="187"/>
        <v/>
      </c>
      <c r="AJ370" s="4" t="str">
        <f t="shared" si="188"/>
        <v/>
      </c>
      <c r="AK370" s="4" t="str">
        <f t="shared" si="189"/>
        <v/>
      </c>
      <c r="AL370" s="2" t="str">
        <f t="shared" si="190"/>
        <v/>
      </c>
      <c r="AM370" s="6" t="str">
        <f t="shared" si="191"/>
        <v/>
      </c>
      <c r="AN370" s="4" t="str">
        <f t="shared" si="192"/>
        <v/>
      </c>
      <c r="AO370" s="4" t="str">
        <f t="shared" si="193"/>
        <v/>
      </c>
      <c r="AP370" s="4" t="str">
        <f t="shared" si="194"/>
        <v/>
      </c>
      <c r="AQ370" s="4" t="str">
        <f t="shared" si="195"/>
        <v/>
      </c>
      <c r="AR370" s="4" t="str">
        <f t="shared" si="196"/>
        <v/>
      </c>
    </row>
    <row r="371" spans="8:44" s="1" customFormat="1" ht="14.25" x14ac:dyDescent="0.3">
      <c r="H371" s="50"/>
      <c r="J371" s="54"/>
      <c r="L371" s="54"/>
      <c r="R371" s="45"/>
      <c r="S371" s="54"/>
      <c r="T371" s="54"/>
      <c r="U371" s="54"/>
      <c r="V371" s="44"/>
      <c r="W371" s="27"/>
      <c r="Z371" s="27"/>
      <c r="AA371" s="8"/>
      <c r="AB371" s="81" t="str">
        <f t="shared" si="180"/>
        <v/>
      </c>
      <c r="AC371" s="6" t="str">
        <f t="shared" si="181"/>
        <v/>
      </c>
      <c r="AD371" s="1" t="str">
        <f t="shared" ca="1" si="182"/>
        <v/>
      </c>
      <c r="AE371" s="75" t="str">
        <f t="shared" si="183"/>
        <v/>
      </c>
      <c r="AF371" s="75" t="str">
        <f t="shared" si="184"/>
        <v/>
      </c>
      <c r="AG371" s="4" t="str">
        <f t="shared" si="185"/>
        <v/>
      </c>
      <c r="AH371" s="4" t="str">
        <f t="shared" si="186"/>
        <v/>
      </c>
      <c r="AI371" s="4" t="str">
        <f t="shared" si="187"/>
        <v/>
      </c>
      <c r="AJ371" s="4" t="str">
        <f t="shared" si="188"/>
        <v/>
      </c>
      <c r="AK371" s="4" t="str">
        <f t="shared" si="189"/>
        <v/>
      </c>
      <c r="AL371" s="2" t="str">
        <f t="shared" si="190"/>
        <v/>
      </c>
      <c r="AM371" s="6" t="str">
        <f t="shared" si="191"/>
        <v/>
      </c>
      <c r="AN371" s="4" t="str">
        <f t="shared" si="192"/>
        <v/>
      </c>
      <c r="AO371" s="4" t="str">
        <f t="shared" si="193"/>
        <v/>
      </c>
      <c r="AP371" s="4" t="str">
        <f t="shared" si="194"/>
        <v/>
      </c>
      <c r="AQ371" s="4" t="str">
        <f t="shared" si="195"/>
        <v/>
      </c>
      <c r="AR371" s="4" t="str">
        <f t="shared" si="196"/>
        <v/>
      </c>
    </row>
    <row r="372" spans="8:44" s="1" customFormat="1" ht="14.25" x14ac:dyDescent="0.3">
      <c r="H372" s="50"/>
      <c r="J372" s="54"/>
      <c r="L372" s="54"/>
      <c r="R372" s="45"/>
      <c r="S372" s="54"/>
      <c r="T372" s="54"/>
      <c r="U372" s="54"/>
      <c r="V372" s="44"/>
      <c r="W372" s="27"/>
      <c r="Z372" s="27"/>
      <c r="AA372" s="8"/>
      <c r="AB372" s="81" t="str">
        <f t="shared" si="180"/>
        <v/>
      </c>
      <c r="AC372" s="6" t="str">
        <f t="shared" si="181"/>
        <v/>
      </c>
      <c r="AD372" s="1" t="str">
        <f t="shared" ca="1" si="182"/>
        <v/>
      </c>
      <c r="AE372" s="75" t="str">
        <f t="shared" si="183"/>
        <v/>
      </c>
      <c r="AF372" s="75" t="str">
        <f t="shared" si="184"/>
        <v/>
      </c>
      <c r="AG372" s="4" t="str">
        <f t="shared" si="185"/>
        <v/>
      </c>
      <c r="AH372" s="4" t="str">
        <f t="shared" si="186"/>
        <v/>
      </c>
      <c r="AI372" s="4" t="str">
        <f t="shared" si="187"/>
        <v/>
      </c>
      <c r="AJ372" s="4" t="str">
        <f t="shared" si="188"/>
        <v/>
      </c>
      <c r="AK372" s="4" t="str">
        <f t="shared" si="189"/>
        <v/>
      </c>
      <c r="AL372" s="2" t="str">
        <f t="shared" si="190"/>
        <v/>
      </c>
      <c r="AM372" s="6" t="str">
        <f t="shared" si="191"/>
        <v/>
      </c>
      <c r="AN372" s="4" t="str">
        <f t="shared" si="192"/>
        <v/>
      </c>
      <c r="AO372" s="4" t="str">
        <f t="shared" si="193"/>
        <v/>
      </c>
      <c r="AP372" s="4" t="str">
        <f t="shared" si="194"/>
        <v/>
      </c>
      <c r="AQ372" s="4" t="str">
        <f t="shared" si="195"/>
        <v/>
      </c>
      <c r="AR372" s="4" t="str">
        <f t="shared" si="196"/>
        <v/>
      </c>
    </row>
    <row r="373" spans="8:44" s="1" customFormat="1" ht="14.25" x14ac:dyDescent="0.3">
      <c r="H373" s="50"/>
      <c r="J373" s="54"/>
      <c r="L373" s="54"/>
      <c r="R373" s="45"/>
      <c r="S373" s="54"/>
      <c r="T373" s="54"/>
      <c r="U373" s="54"/>
      <c r="V373" s="44"/>
      <c r="W373" s="27"/>
      <c r="Z373" s="27"/>
      <c r="AA373" s="8"/>
      <c r="AB373" s="81" t="str">
        <f t="shared" si="180"/>
        <v/>
      </c>
      <c r="AC373" s="6" t="str">
        <f t="shared" si="181"/>
        <v/>
      </c>
      <c r="AD373" s="1" t="str">
        <f t="shared" ca="1" si="182"/>
        <v/>
      </c>
      <c r="AE373" s="75" t="str">
        <f t="shared" si="183"/>
        <v/>
      </c>
      <c r="AF373" s="75" t="str">
        <f t="shared" si="184"/>
        <v/>
      </c>
      <c r="AG373" s="4" t="str">
        <f t="shared" si="185"/>
        <v/>
      </c>
      <c r="AH373" s="4" t="str">
        <f t="shared" si="186"/>
        <v/>
      </c>
      <c r="AI373" s="4" t="str">
        <f t="shared" si="187"/>
        <v/>
      </c>
      <c r="AJ373" s="4" t="str">
        <f t="shared" si="188"/>
        <v/>
      </c>
      <c r="AK373" s="4" t="str">
        <f t="shared" si="189"/>
        <v/>
      </c>
      <c r="AL373" s="2" t="str">
        <f t="shared" si="190"/>
        <v/>
      </c>
      <c r="AM373" s="6" t="str">
        <f t="shared" si="191"/>
        <v/>
      </c>
      <c r="AN373" s="4" t="str">
        <f t="shared" si="192"/>
        <v/>
      </c>
      <c r="AO373" s="4" t="str">
        <f t="shared" si="193"/>
        <v/>
      </c>
      <c r="AP373" s="4" t="str">
        <f t="shared" si="194"/>
        <v/>
      </c>
      <c r="AQ373" s="4" t="str">
        <f t="shared" si="195"/>
        <v/>
      </c>
      <c r="AR373" s="4" t="str">
        <f t="shared" si="196"/>
        <v/>
      </c>
    </row>
    <row r="374" spans="8:44" s="1" customFormat="1" ht="14.25" x14ac:dyDescent="0.3">
      <c r="H374" s="50"/>
      <c r="J374" s="54"/>
      <c r="L374" s="54"/>
      <c r="R374" s="45"/>
      <c r="S374" s="54"/>
      <c r="T374" s="54"/>
      <c r="U374" s="54"/>
      <c r="V374" s="44"/>
      <c r="W374" s="27"/>
      <c r="Z374" s="27"/>
      <c r="AA374" s="8"/>
      <c r="AB374" s="81" t="str">
        <f t="shared" si="180"/>
        <v/>
      </c>
      <c r="AC374" s="6" t="str">
        <f t="shared" si="181"/>
        <v/>
      </c>
      <c r="AD374" s="1" t="str">
        <f t="shared" ca="1" si="182"/>
        <v/>
      </c>
      <c r="AE374" s="75" t="str">
        <f t="shared" si="183"/>
        <v/>
      </c>
      <c r="AF374" s="75" t="str">
        <f t="shared" si="184"/>
        <v/>
      </c>
      <c r="AG374" s="4" t="str">
        <f t="shared" si="185"/>
        <v/>
      </c>
      <c r="AH374" s="4" t="str">
        <f t="shared" si="186"/>
        <v/>
      </c>
      <c r="AI374" s="4" t="str">
        <f t="shared" si="187"/>
        <v/>
      </c>
      <c r="AJ374" s="4" t="str">
        <f t="shared" si="188"/>
        <v/>
      </c>
      <c r="AK374" s="4" t="str">
        <f t="shared" si="189"/>
        <v/>
      </c>
      <c r="AL374" s="2" t="str">
        <f t="shared" si="190"/>
        <v/>
      </c>
      <c r="AM374" s="6" t="str">
        <f t="shared" si="191"/>
        <v/>
      </c>
      <c r="AN374" s="4" t="str">
        <f t="shared" si="192"/>
        <v/>
      </c>
      <c r="AO374" s="4" t="str">
        <f t="shared" si="193"/>
        <v/>
      </c>
      <c r="AP374" s="4" t="str">
        <f t="shared" si="194"/>
        <v/>
      </c>
      <c r="AQ374" s="4" t="str">
        <f t="shared" si="195"/>
        <v/>
      </c>
      <c r="AR374" s="4" t="str">
        <f t="shared" si="196"/>
        <v/>
      </c>
    </row>
    <row r="375" spans="8:44" s="1" customFormat="1" ht="14.25" x14ac:dyDescent="0.3">
      <c r="H375" s="50"/>
      <c r="J375" s="54"/>
      <c r="L375" s="54"/>
      <c r="R375" s="45"/>
      <c r="S375" s="54"/>
      <c r="T375" s="54"/>
      <c r="U375" s="54"/>
      <c r="V375" s="44"/>
      <c r="W375" s="27"/>
      <c r="Z375" s="27"/>
      <c r="AA375" s="8"/>
      <c r="AB375" s="81" t="str">
        <f t="shared" si="180"/>
        <v/>
      </c>
      <c r="AC375" s="6" t="str">
        <f t="shared" si="181"/>
        <v/>
      </c>
      <c r="AD375" s="1" t="str">
        <f t="shared" ca="1" si="182"/>
        <v/>
      </c>
      <c r="AE375" s="75" t="str">
        <f t="shared" si="183"/>
        <v/>
      </c>
      <c r="AF375" s="75" t="str">
        <f t="shared" si="184"/>
        <v/>
      </c>
      <c r="AG375" s="4" t="str">
        <f t="shared" si="185"/>
        <v/>
      </c>
      <c r="AH375" s="4" t="str">
        <f t="shared" si="186"/>
        <v/>
      </c>
      <c r="AI375" s="4" t="str">
        <f t="shared" si="187"/>
        <v/>
      </c>
      <c r="AJ375" s="4" t="str">
        <f t="shared" si="188"/>
        <v/>
      </c>
      <c r="AK375" s="4" t="str">
        <f t="shared" si="189"/>
        <v/>
      </c>
      <c r="AL375" s="2" t="str">
        <f t="shared" si="190"/>
        <v/>
      </c>
      <c r="AM375" s="6" t="str">
        <f t="shared" si="191"/>
        <v/>
      </c>
      <c r="AN375" s="4" t="str">
        <f t="shared" si="192"/>
        <v/>
      </c>
      <c r="AO375" s="4" t="str">
        <f t="shared" si="193"/>
        <v/>
      </c>
      <c r="AP375" s="4" t="str">
        <f t="shared" si="194"/>
        <v/>
      </c>
      <c r="AQ375" s="4" t="str">
        <f t="shared" si="195"/>
        <v/>
      </c>
      <c r="AR375" s="4" t="str">
        <f t="shared" si="196"/>
        <v/>
      </c>
    </row>
    <row r="376" spans="8:44" s="1" customFormat="1" ht="14.25" x14ac:dyDescent="0.3">
      <c r="H376" s="50"/>
      <c r="J376" s="54"/>
      <c r="L376" s="54"/>
      <c r="R376" s="45"/>
      <c r="S376" s="54"/>
      <c r="T376" s="54"/>
      <c r="U376" s="54"/>
      <c r="V376" s="44"/>
      <c r="W376" s="27"/>
      <c r="Z376" s="27"/>
      <c r="AA376" s="8"/>
      <c r="AB376" s="81" t="str">
        <f t="shared" si="180"/>
        <v/>
      </c>
      <c r="AC376" s="6" t="str">
        <f t="shared" si="181"/>
        <v/>
      </c>
      <c r="AD376" s="1" t="str">
        <f t="shared" ca="1" si="182"/>
        <v/>
      </c>
      <c r="AE376" s="75" t="str">
        <f t="shared" si="183"/>
        <v/>
      </c>
      <c r="AF376" s="75" t="str">
        <f t="shared" si="184"/>
        <v/>
      </c>
      <c r="AG376" s="4" t="str">
        <f t="shared" si="185"/>
        <v/>
      </c>
      <c r="AH376" s="4" t="str">
        <f t="shared" si="186"/>
        <v/>
      </c>
      <c r="AI376" s="4" t="str">
        <f t="shared" si="187"/>
        <v/>
      </c>
      <c r="AJ376" s="4" t="str">
        <f t="shared" si="188"/>
        <v/>
      </c>
      <c r="AK376" s="4" t="str">
        <f t="shared" si="189"/>
        <v/>
      </c>
      <c r="AL376" s="2" t="str">
        <f t="shared" si="190"/>
        <v/>
      </c>
      <c r="AM376" s="6" t="str">
        <f t="shared" si="191"/>
        <v/>
      </c>
      <c r="AN376" s="4" t="str">
        <f t="shared" si="192"/>
        <v/>
      </c>
      <c r="AO376" s="4" t="str">
        <f t="shared" si="193"/>
        <v/>
      </c>
      <c r="AP376" s="4" t="str">
        <f t="shared" si="194"/>
        <v/>
      </c>
      <c r="AQ376" s="4" t="str">
        <f t="shared" si="195"/>
        <v/>
      </c>
      <c r="AR376" s="4" t="str">
        <f t="shared" si="196"/>
        <v/>
      </c>
    </row>
    <row r="377" spans="8:44" s="1" customFormat="1" ht="14.25" x14ac:dyDescent="0.3">
      <c r="H377" s="50"/>
      <c r="J377" s="54"/>
      <c r="L377" s="54"/>
      <c r="R377" s="45"/>
      <c r="S377" s="54"/>
      <c r="T377" s="54"/>
      <c r="U377" s="54"/>
      <c r="V377" s="44"/>
      <c r="W377" s="27"/>
      <c r="Z377" s="27"/>
      <c r="AA377" s="8"/>
      <c r="AB377" s="81" t="str">
        <f t="shared" si="180"/>
        <v/>
      </c>
      <c r="AC377" s="6" t="str">
        <f t="shared" si="181"/>
        <v/>
      </c>
      <c r="AD377" s="1" t="str">
        <f t="shared" ca="1" si="182"/>
        <v/>
      </c>
      <c r="AE377" s="75" t="str">
        <f t="shared" si="183"/>
        <v/>
      </c>
      <c r="AF377" s="75" t="str">
        <f t="shared" si="184"/>
        <v/>
      </c>
      <c r="AG377" s="4" t="str">
        <f t="shared" si="185"/>
        <v/>
      </c>
      <c r="AH377" s="4" t="str">
        <f t="shared" si="186"/>
        <v/>
      </c>
      <c r="AI377" s="4" t="str">
        <f t="shared" si="187"/>
        <v/>
      </c>
      <c r="AJ377" s="4" t="str">
        <f t="shared" si="188"/>
        <v/>
      </c>
      <c r="AK377" s="4" t="str">
        <f t="shared" si="189"/>
        <v/>
      </c>
      <c r="AL377" s="2" t="str">
        <f t="shared" si="190"/>
        <v/>
      </c>
      <c r="AM377" s="6" t="str">
        <f t="shared" si="191"/>
        <v/>
      </c>
      <c r="AN377" s="4" t="str">
        <f t="shared" si="192"/>
        <v/>
      </c>
      <c r="AO377" s="4" t="str">
        <f t="shared" si="193"/>
        <v/>
      </c>
      <c r="AP377" s="4" t="str">
        <f t="shared" si="194"/>
        <v/>
      </c>
      <c r="AQ377" s="4" t="str">
        <f t="shared" si="195"/>
        <v/>
      </c>
      <c r="AR377" s="4" t="str">
        <f t="shared" si="196"/>
        <v/>
      </c>
    </row>
    <row r="378" spans="8:44" s="1" customFormat="1" ht="14.25" x14ac:dyDescent="0.3">
      <c r="H378" s="50"/>
      <c r="J378" s="54"/>
      <c r="L378" s="54"/>
      <c r="R378" s="45"/>
      <c r="S378" s="54"/>
      <c r="T378" s="54"/>
      <c r="U378" s="54"/>
      <c r="V378" s="44"/>
      <c r="W378" s="27"/>
      <c r="Z378" s="27"/>
      <c r="AA378" s="8"/>
      <c r="AB378" s="81" t="str">
        <f t="shared" si="180"/>
        <v/>
      </c>
      <c r="AC378" s="6" t="str">
        <f t="shared" si="181"/>
        <v/>
      </c>
      <c r="AD378" s="1" t="str">
        <f t="shared" ca="1" si="182"/>
        <v/>
      </c>
      <c r="AE378" s="75" t="str">
        <f t="shared" si="183"/>
        <v/>
      </c>
      <c r="AF378" s="75" t="str">
        <f t="shared" si="184"/>
        <v/>
      </c>
      <c r="AG378" s="4" t="str">
        <f t="shared" si="185"/>
        <v/>
      </c>
      <c r="AH378" s="4" t="str">
        <f t="shared" si="186"/>
        <v/>
      </c>
      <c r="AI378" s="4" t="str">
        <f t="shared" si="187"/>
        <v/>
      </c>
      <c r="AJ378" s="4" t="str">
        <f t="shared" si="188"/>
        <v/>
      </c>
      <c r="AK378" s="4" t="str">
        <f t="shared" si="189"/>
        <v/>
      </c>
      <c r="AL378" s="2" t="str">
        <f t="shared" si="190"/>
        <v/>
      </c>
      <c r="AM378" s="6" t="str">
        <f t="shared" si="191"/>
        <v/>
      </c>
      <c r="AN378" s="4" t="str">
        <f t="shared" si="192"/>
        <v/>
      </c>
      <c r="AO378" s="4" t="str">
        <f t="shared" si="193"/>
        <v/>
      </c>
      <c r="AP378" s="4" t="str">
        <f t="shared" si="194"/>
        <v/>
      </c>
      <c r="AQ378" s="4" t="str">
        <f t="shared" si="195"/>
        <v/>
      </c>
      <c r="AR378" s="4" t="str">
        <f t="shared" si="196"/>
        <v/>
      </c>
    </row>
    <row r="379" spans="8:44" s="1" customFormat="1" ht="14.25" x14ac:dyDescent="0.3">
      <c r="H379" s="50"/>
      <c r="J379" s="54"/>
      <c r="L379" s="54"/>
      <c r="R379" s="45"/>
      <c r="S379" s="54"/>
      <c r="T379" s="54"/>
      <c r="U379" s="54"/>
      <c r="V379" s="44"/>
      <c r="W379" s="27"/>
      <c r="Z379" s="27"/>
      <c r="AA379" s="8"/>
      <c r="AB379" s="81" t="str">
        <f t="shared" si="180"/>
        <v/>
      </c>
      <c r="AC379" s="6" t="str">
        <f t="shared" si="181"/>
        <v/>
      </c>
      <c r="AD379" s="1" t="str">
        <f t="shared" ca="1" si="182"/>
        <v/>
      </c>
      <c r="AE379" s="75" t="str">
        <f t="shared" si="183"/>
        <v/>
      </c>
      <c r="AF379" s="75" t="str">
        <f t="shared" si="184"/>
        <v/>
      </c>
      <c r="AG379" s="4" t="str">
        <f t="shared" si="185"/>
        <v/>
      </c>
      <c r="AH379" s="4" t="str">
        <f t="shared" si="186"/>
        <v/>
      </c>
      <c r="AI379" s="4" t="str">
        <f t="shared" si="187"/>
        <v/>
      </c>
      <c r="AJ379" s="4" t="str">
        <f t="shared" si="188"/>
        <v/>
      </c>
      <c r="AK379" s="4" t="str">
        <f t="shared" si="189"/>
        <v/>
      </c>
      <c r="AL379" s="2" t="str">
        <f t="shared" si="190"/>
        <v/>
      </c>
      <c r="AM379" s="6" t="str">
        <f t="shared" si="191"/>
        <v/>
      </c>
      <c r="AN379" s="4" t="str">
        <f t="shared" si="192"/>
        <v/>
      </c>
      <c r="AO379" s="4" t="str">
        <f t="shared" si="193"/>
        <v/>
      </c>
      <c r="AP379" s="4" t="str">
        <f t="shared" si="194"/>
        <v/>
      </c>
      <c r="AQ379" s="4" t="str">
        <f t="shared" si="195"/>
        <v/>
      </c>
      <c r="AR379" s="4" t="str">
        <f t="shared" si="196"/>
        <v/>
      </c>
    </row>
    <row r="380" spans="8:44" s="1" customFormat="1" ht="14.25" x14ac:dyDescent="0.3">
      <c r="H380" s="50"/>
      <c r="J380" s="54"/>
      <c r="L380" s="54"/>
      <c r="R380" s="45"/>
      <c r="S380" s="54"/>
      <c r="T380" s="54"/>
      <c r="U380" s="54"/>
      <c r="V380" s="44"/>
      <c r="W380" s="27"/>
      <c r="Z380" s="27"/>
      <c r="AA380" s="8"/>
      <c r="AB380" s="81" t="str">
        <f t="shared" si="180"/>
        <v/>
      </c>
      <c r="AC380" s="6" t="str">
        <f t="shared" si="181"/>
        <v/>
      </c>
      <c r="AD380" s="1" t="str">
        <f t="shared" ca="1" si="182"/>
        <v/>
      </c>
      <c r="AE380" s="75" t="str">
        <f t="shared" si="183"/>
        <v/>
      </c>
      <c r="AF380" s="75" t="str">
        <f t="shared" si="184"/>
        <v/>
      </c>
      <c r="AG380" s="4" t="str">
        <f t="shared" si="185"/>
        <v/>
      </c>
      <c r="AH380" s="4" t="str">
        <f t="shared" si="186"/>
        <v/>
      </c>
      <c r="AI380" s="4" t="str">
        <f t="shared" si="187"/>
        <v/>
      </c>
      <c r="AJ380" s="4" t="str">
        <f t="shared" si="188"/>
        <v/>
      </c>
      <c r="AK380" s="4" t="str">
        <f t="shared" si="189"/>
        <v/>
      </c>
      <c r="AL380" s="2" t="str">
        <f t="shared" si="190"/>
        <v/>
      </c>
      <c r="AM380" s="6" t="str">
        <f t="shared" si="191"/>
        <v/>
      </c>
      <c r="AN380" s="4" t="str">
        <f t="shared" si="192"/>
        <v/>
      </c>
      <c r="AO380" s="4" t="str">
        <f t="shared" si="193"/>
        <v/>
      </c>
      <c r="AP380" s="4" t="str">
        <f t="shared" si="194"/>
        <v/>
      </c>
      <c r="AQ380" s="4" t="str">
        <f t="shared" si="195"/>
        <v/>
      </c>
      <c r="AR380" s="4" t="str">
        <f t="shared" si="196"/>
        <v/>
      </c>
    </row>
    <row r="381" spans="8:44" s="1" customFormat="1" ht="14.25" x14ac:dyDescent="0.3">
      <c r="H381" s="50"/>
      <c r="J381" s="54"/>
      <c r="L381" s="54"/>
      <c r="R381" s="45"/>
      <c r="S381" s="54"/>
      <c r="T381" s="54"/>
      <c r="U381" s="54"/>
      <c r="V381" s="44"/>
      <c r="W381" s="27"/>
      <c r="Z381" s="27"/>
      <c r="AA381" s="8"/>
      <c r="AB381" s="81" t="str">
        <f t="shared" ref="AB381:AB444" si="197">IF(X381="","",(AH381-AG381)/AG381)</f>
        <v/>
      </c>
      <c r="AC381" s="6" t="str">
        <f t="shared" ref="AC381:AC444" si="198">IF(X381="","",AH381-AG381)</f>
        <v/>
      </c>
      <c r="AD381" s="1" t="str">
        <f t="shared" ref="AD381:AD444" ca="1" si="199">IF(X381="","",IF(W381="","",IF(Z381="",TODAY()-W381,Z381-W381)))</f>
        <v/>
      </c>
      <c r="AE381" s="75" t="str">
        <f t="shared" ref="AE381:AE444" si="200">IF(X381="","",IF(AE380="",IF(AM381="","",AM381),IF(AM381="",AE380,AE380+AM381)))</f>
        <v/>
      </c>
      <c r="AF381" s="75" t="str">
        <f t="shared" ref="AF381:AF444" si="201">IF(X381="","",IF(AF380="",IF(AN381="","",AN381),IF(AN381="",AF380,AF380+AN381)))</f>
        <v/>
      </c>
      <c r="AG381" s="4" t="str">
        <f t="shared" ref="AG381:AG444" si="202">IF(X381="","",X381*Y381*100+AO381+AP381)</f>
        <v/>
      </c>
      <c r="AH381" s="4" t="str">
        <f t="shared" ref="AH381:AH444" si="203">IF(X381="","",IF(AA381="",C381*Y381*100-AO381-AQ381-AR381,AA381*Y381*100-AO381-AQ381-AR381))</f>
        <v/>
      </c>
      <c r="AI381" s="4" t="str">
        <f t="shared" ref="AI381:AI444" si="204">IF(X381="","",AI380+AC381)</f>
        <v/>
      </c>
      <c r="AJ381" s="4" t="str">
        <f t="shared" ref="AJ381:AJ444" si="205">IF(X381="","",AO381+AP381+AO381+AQ381+AR381)</f>
        <v/>
      </c>
      <c r="AK381" s="4" t="str">
        <f t="shared" ref="AK381:AK444" si="206">IF(X381="","",AK380+AJ381)</f>
        <v/>
      </c>
      <c r="AL381" s="2" t="str">
        <f t="shared" ref="AL381:AL444" si="207">IF(X381="","",0.18%)</f>
        <v/>
      </c>
      <c r="AM381" s="6" t="str">
        <f t="shared" ref="AM381:AM444" si="208">IF(X381="","",IF(Z381="",AC381,""))</f>
        <v/>
      </c>
      <c r="AN381" s="4" t="str">
        <f t="shared" ref="AN381:AN444" si="209">IF(X381="","",IF(Z381="",AH381,""))</f>
        <v/>
      </c>
      <c r="AO381" s="4" t="str">
        <f t="shared" ref="AO381:AO444" si="210">IF(X381="","",IF(LEFT(A381,2)="sh",IF(Y381*100/1000&lt;=1,1,Y381*100/1000),0))</f>
        <v/>
      </c>
      <c r="AP381" s="4" t="str">
        <f t="shared" ref="AP381:AP444" si="211">IF(X381="","",IF(X381*Y381*100*AL381&lt;=5,5,X381*Y381*100*AL381))</f>
        <v/>
      </c>
      <c r="AQ381" s="4" t="str">
        <f t="shared" ref="AQ381:AQ444" si="212">IF(X381="","",IF(AA381="",IF(C381*Y381*100*AL381&lt;=5,5,C381*Y381*100*AL381),IF(AA381*Y381*100*AL381&lt;=5,5,AA381*Y381*100*AL381)))</f>
        <v/>
      </c>
      <c r="AR381" s="4" t="str">
        <f t="shared" ref="AR381:AR444" si="213">IF(X381="","",IF(AA381="",C381*Y381*100*0.001,AA381*Y381*100*0.001))</f>
        <v/>
      </c>
    </row>
    <row r="382" spans="8:44" s="1" customFormat="1" ht="14.25" x14ac:dyDescent="0.3">
      <c r="H382" s="50"/>
      <c r="J382" s="54"/>
      <c r="L382" s="54"/>
      <c r="R382" s="45"/>
      <c r="S382" s="54"/>
      <c r="T382" s="54"/>
      <c r="U382" s="54"/>
      <c r="V382" s="44"/>
      <c r="W382" s="27"/>
      <c r="Z382" s="27"/>
      <c r="AA382" s="8"/>
      <c r="AB382" s="81" t="str">
        <f t="shared" si="197"/>
        <v/>
      </c>
      <c r="AC382" s="6" t="str">
        <f t="shared" si="198"/>
        <v/>
      </c>
      <c r="AD382" s="1" t="str">
        <f t="shared" ca="1" si="199"/>
        <v/>
      </c>
      <c r="AE382" s="75" t="str">
        <f t="shared" si="200"/>
        <v/>
      </c>
      <c r="AF382" s="75" t="str">
        <f t="shared" si="201"/>
        <v/>
      </c>
      <c r="AG382" s="4" t="str">
        <f t="shared" si="202"/>
        <v/>
      </c>
      <c r="AH382" s="4" t="str">
        <f t="shared" si="203"/>
        <v/>
      </c>
      <c r="AI382" s="4" t="str">
        <f t="shared" si="204"/>
        <v/>
      </c>
      <c r="AJ382" s="4" t="str">
        <f t="shared" si="205"/>
        <v/>
      </c>
      <c r="AK382" s="4" t="str">
        <f t="shared" si="206"/>
        <v/>
      </c>
      <c r="AL382" s="2" t="str">
        <f t="shared" si="207"/>
        <v/>
      </c>
      <c r="AM382" s="6" t="str">
        <f t="shared" si="208"/>
        <v/>
      </c>
      <c r="AN382" s="4" t="str">
        <f t="shared" si="209"/>
        <v/>
      </c>
      <c r="AO382" s="4" t="str">
        <f t="shared" si="210"/>
        <v/>
      </c>
      <c r="AP382" s="4" t="str">
        <f t="shared" si="211"/>
        <v/>
      </c>
      <c r="AQ382" s="4" t="str">
        <f t="shared" si="212"/>
        <v/>
      </c>
      <c r="AR382" s="4" t="str">
        <f t="shared" si="213"/>
        <v/>
      </c>
    </row>
    <row r="383" spans="8:44" s="1" customFormat="1" ht="14.25" x14ac:dyDescent="0.3">
      <c r="H383" s="50"/>
      <c r="J383" s="54"/>
      <c r="L383" s="54"/>
      <c r="R383" s="45"/>
      <c r="S383" s="54"/>
      <c r="T383" s="54"/>
      <c r="U383" s="54"/>
      <c r="V383" s="44"/>
      <c r="W383" s="27"/>
      <c r="Z383" s="27"/>
      <c r="AA383" s="8"/>
      <c r="AB383" s="81" t="str">
        <f t="shared" si="197"/>
        <v/>
      </c>
      <c r="AC383" s="6" t="str">
        <f t="shared" si="198"/>
        <v/>
      </c>
      <c r="AD383" s="1" t="str">
        <f t="shared" ca="1" si="199"/>
        <v/>
      </c>
      <c r="AE383" s="75" t="str">
        <f t="shared" si="200"/>
        <v/>
      </c>
      <c r="AF383" s="75" t="str">
        <f t="shared" si="201"/>
        <v/>
      </c>
      <c r="AG383" s="4" t="str">
        <f t="shared" si="202"/>
        <v/>
      </c>
      <c r="AH383" s="4" t="str">
        <f t="shared" si="203"/>
        <v/>
      </c>
      <c r="AI383" s="4" t="str">
        <f t="shared" si="204"/>
        <v/>
      </c>
      <c r="AJ383" s="4" t="str">
        <f t="shared" si="205"/>
        <v/>
      </c>
      <c r="AK383" s="4" t="str">
        <f t="shared" si="206"/>
        <v/>
      </c>
      <c r="AL383" s="2" t="str">
        <f t="shared" si="207"/>
        <v/>
      </c>
      <c r="AM383" s="6" t="str">
        <f t="shared" si="208"/>
        <v/>
      </c>
      <c r="AN383" s="4" t="str">
        <f t="shared" si="209"/>
        <v/>
      </c>
      <c r="AO383" s="4" t="str">
        <f t="shared" si="210"/>
        <v/>
      </c>
      <c r="AP383" s="4" t="str">
        <f t="shared" si="211"/>
        <v/>
      </c>
      <c r="AQ383" s="4" t="str">
        <f t="shared" si="212"/>
        <v/>
      </c>
      <c r="AR383" s="4" t="str">
        <f t="shared" si="213"/>
        <v/>
      </c>
    </row>
    <row r="384" spans="8:44" s="1" customFormat="1" ht="14.25" x14ac:dyDescent="0.3">
      <c r="H384" s="50"/>
      <c r="J384" s="54"/>
      <c r="L384" s="54"/>
      <c r="R384" s="45"/>
      <c r="S384" s="54"/>
      <c r="T384" s="54"/>
      <c r="U384" s="54"/>
      <c r="V384" s="44"/>
      <c r="W384" s="27"/>
      <c r="Z384" s="27"/>
      <c r="AA384" s="8"/>
      <c r="AB384" s="81" t="str">
        <f t="shared" si="197"/>
        <v/>
      </c>
      <c r="AC384" s="6" t="str">
        <f t="shared" si="198"/>
        <v/>
      </c>
      <c r="AD384" s="1" t="str">
        <f t="shared" ca="1" si="199"/>
        <v/>
      </c>
      <c r="AE384" s="75" t="str">
        <f t="shared" si="200"/>
        <v/>
      </c>
      <c r="AF384" s="75" t="str">
        <f t="shared" si="201"/>
        <v/>
      </c>
      <c r="AG384" s="4" t="str">
        <f t="shared" si="202"/>
        <v/>
      </c>
      <c r="AH384" s="4" t="str">
        <f t="shared" si="203"/>
        <v/>
      </c>
      <c r="AI384" s="4" t="str">
        <f t="shared" si="204"/>
        <v/>
      </c>
      <c r="AJ384" s="4" t="str">
        <f t="shared" si="205"/>
        <v/>
      </c>
      <c r="AK384" s="4" t="str">
        <f t="shared" si="206"/>
        <v/>
      </c>
      <c r="AL384" s="2" t="str">
        <f t="shared" si="207"/>
        <v/>
      </c>
      <c r="AM384" s="6" t="str">
        <f t="shared" si="208"/>
        <v/>
      </c>
      <c r="AN384" s="4" t="str">
        <f t="shared" si="209"/>
        <v/>
      </c>
      <c r="AO384" s="4" t="str">
        <f t="shared" si="210"/>
        <v/>
      </c>
      <c r="AP384" s="4" t="str">
        <f t="shared" si="211"/>
        <v/>
      </c>
      <c r="AQ384" s="4" t="str">
        <f t="shared" si="212"/>
        <v/>
      </c>
      <c r="AR384" s="4" t="str">
        <f t="shared" si="213"/>
        <v/>
      </c>
    </row>
    <row r="385" spans="8:44" s="1" customFormat="1" ht="14.25" x14ac:dyDescent="0.3">
      <c r="H385" s="50"/>
      <c r="J385" s="54"/>
      <c r="L385" s="54"/>
      <c r="R385" s="45"/>
      <c r="S385" s="54"/>
      <c r="T385" s="54"/>
      <c r="U385" s="54"/>
      <c r="V385" s="44"/>
      <c r="W385" s="27"/>
      <c r="Z385" s="27"/>
      <c r="AA385" s="8"/>
      <c r="AB385" s="81" t="str">
        <f t="shared" si="197"/>
        <v/>
      </c>
      <c r="AC385" s="6" t="str">
        <f t="shared" si="198"/>
        <v/>
      </c>
      <c r="AD385" s="1" t="str">
        <f t="shared" ca="1" si="199"/>
        <v/>
      </c>
      <c r="AE385" s="75" t="str">
        <f t="shared" si="200"/>
        <v/>
      </c>
      <c r="AF385" s="75" t="str">
        <f t="shared" si="201"/>
        <v/>
      </c>
      <c r="AG385" s="4" t="str">
        <f t="shared" si="202"/>
        <v/>
      </c>
      <c r="AH385" s="4" t="str">
        <f t="shared" si="203"/>
        <v/>
      </c>
      <c r="AI385" s="4" t="str">
        <f t="shared" si="204"/>
        <v/>
      </c>
      <c r="AJ385" s="4" t="str">
        <f t="shared" si="205"/>
        <v/>
      </c>
      <c r="AK385" s="4" t="str">
        <f t="shared" si="206"/>
        <v/>
      </c>
      <c r="AL385" s="2" t="str">
        <f t="shared" si="207"/>
        <v/>
      </c>
      <c r="AM385" s="6" t="str">
        <f t="shared" si="208"/>
        <v/>
      </c>
      <c r="AN385" s="4" t="str">
        <f t="shared" si="209"/>
        <v/>
      </c>
      <c r="AO385" s="4" t="str">
        <f t="shared" si="210"/>
        <v/>
      </c>
      <c r="AP385" s="4" t="str">
        <f t="shared" si="211"/>
        <v/>
      </c>
      <c r="AQ385" s="4" t="str">
        <f t="shared" si="212"/>
        <v/>
      </c>
      <c r="AR385" s="4" t="str">
        <f t="shared" si="213"/>
        <v/>
      </c>
    </row>
    <row r="386" spans="8:44" s="1" customFormat="1" ht="14.25" x14ac:dyDescent="0.3">
      <c r="H386" s="50"/>
      <c r="J386" s="54"/>
      <c r="L386" s="54"/>
      <c r="R386" s="45"/>
      <c r="S386" s="54"/>
      <c r="T386" s="54"/>
      <c r="U386" s="54"/>
      <c r="V386" s="44"/>
      <c r="W386" s="27"/>
      <c r="Z386" s="27"/>
      <c r="AA386" s="8"/>
      <c r="AB386" s="81" t="str">
        <f t="shared" si="197"/>
        <v/>
      </c>
      <c r="AC386" s="6" t="str">
        <f t="shared" si="198"/>
        <v/>
      </c>
      <c r="AD386" s="1" t="str">
        <f t="shared" ca="1" si="199"/>
        <v/>
      </c>
      <c r="AE386" s="75" t="str">
        <f t="shared" si="200"/>
        <v/>
      </c>
      <c r="AF386" s="75" t="str">
        <f t="shared" si="201"/>
        <v/>
      </c>
      <c r="AG386" s="4" t="str">
        <f t="shared" si="202"/>
        <v/>
      </c>
      <c r="AH386" s="4" t="str">
        <f t="shared" si="203"/>
        <v/>
      </c>
      <c r="AI386" s="4" t="str">
        <f t="shared" si="204"/>
        <v/>
      </c>
      <c r="AJ386" s="4" t="str">
        <f t="shared" si="205"/>
        <v/>
      </c>
      <c r="AK386" s="4" t="str">
        <f t="shared" si="206"/>
        <v/>
      </c>
      <c r="AL386" s="2" t="str">
        <f t="shared" si="207"/>
        <v/>
      </c>
      <c r="AM386" s="6" t="str">
        <f t="shared" si="208"/>
        <v/>
      </c>
      <c r="AN386" s="4" t="str">
        <f t="shared" si="209"/>
        <v/>
      </c>
      <c r="AO386" s="4" t="str">
        <f t="shared" si="210"/>
        <v/>
      </c>
      <c r="AP386" s="4" t="str">
        <f t="shared" si="211"/>
        <v/>
      </c>
      <c r="AQ386" s="4" t="str">
        <f t="shared" si="212"/>
        <v/>
      </c>
      <c r="AR386" s="4" t="str">
        <f t="shared" si="213"/>
        <v/>
      </c>
    </row>
    <row r="387" spans="8:44" s="1" customFormat="1" ht="14.25" x14ac:dyDescent="0.3">
      <c r="H387" s="50"/>
      <c r="J387" s="54"/>
      <c r="L387" s="54"/>
      <c r="R387" s="45"/>
      <c r="S387" s="54"/>
      <c r="T387" s="54"/>
      <c r="U387" s="54"/>
      <c r="V387" s="44"/>
      <c r="W387" s="27"/>
      <c r="Z387" s="27"/>
      <c r="AA387" s="8"/>
      <c r="AB387" s="81" t="str">
        <f t="shared" si="197"/>
        <v/>
      </c>
      <c r="AC387" s="6" t="str">
        <f t="shared" si="198"/>
        <v/>
      </c>
      <c r="AD387" s="1" t="str">
        <f t="shared" ca="1" si="199"/>
        <v/>
      </c>
      <c r="AE387" s="75" t="str">
        <f t="shared" si="200"/>
        <v/>
      </c>
      <c r="AF387" s="75" t="str">
        <f t="shared" si="201"/>
        <v/>
      </c>
      <c r="AG387" s="4" t="str">
        <f t="shared" si="202"/>
        <v/>
      </c>
      <c r="AH387" s="4" t="str">
        <f t="shared" si="203"/>
        <v/>
      </c>
      <c r="AI387" s="4" t="str">
        <f t="shared" si="204"/>
        <v/>
      </c>
      <c r="AJ387" s="4" t="str">
        <f t="shared" si="205"/>
        <v/>
      </c>
      <c r="AK387" s="4" t="str">
        <f t="shared" si="206"/>
        <v/>
      </c>
      <c r="AL387" s="2" t="str">
        <f t="shared" si="207"/>
        <v/>
      </c>
      <c r="AM387" s="6" t="str">
        <f t="shared" si="208"/>
        <v/>
      </c>
      <c r="AN387" s="4" t="str">
        <f t="shared" si="209"/>
        <v/>
      </c>
      <c r="AO387" s="4" t="str">
        <f t="shared" si="210"/>
        <v/>
      </c>
      <c r="AP387" s="4" t="str">
        <f t="shared" si="211"/>
        <v/>
      </c>
      <c r="AQ387" s="4" t="str">
        <f t="shared" si="212"/>
        <v/>
      </c>
      <c r="AR387" s="4" t="str">
        <f t="shared" si="213"/>
        <v/>
      </c>
    </row>
    <row r="388" spans="8:44" s="1" customFormat="1" ht="14.25" x14ac:dyDescent="0.3">
      <c r="H388" s="50"/>
      <c r="J388" s="54"/>
      <c r="L388" s="54"/>
      <c r="R388" s="45"/>
      <c r="S388" s="54"/>
      <c r="T388" s="54"/>
      <c r="U388" s="54"/>
      <c r="V388" s="44"/>
      <c r="W388" s="27"/>
      <c r="Z388" s="27"/>
      <c r="AA388" s="8"/>
      <c r="AB388" s="81" t="str">
        <f t="shared" si="197"/>
        <v/>
      </c>
      <c r="AC388" s="6" t="str">
        <f t="shared" si="198"/>
        <v/>
      </c>
      <c r="AD388" s="1" t="str">
        <f t="shared" ca="1" si="199"/>
        <v/>
      </c>
      <c r="AE388" s="75" t="str">
        <f t="shared" si="200"/>
        <v/>
      </c>
      <c r="AF388" s="75" t="str">
        <f t="shared" si="201"/>
        <v/>
      </c>
      <c r="AG388" s="4" t="str">
        <f t="shared" si="202"/>
        <v/>
      </c>
      <c r="AH388" s="4" t="str">
        <f t="shared" si="203"/>
        <v/>
      </c>
      <c r="AI388" s="4" t="str">
        <f t="shared" si="204"/>
        <v/>
      </c>
      <c r="AJ388" s="4" t="str">
        <f t="shared" si="205"/>
        <v/>
      </c>
      <c r="AK388" s="4" t="str">
        <f t="shared" si="206"/>
        <v/>
      </c>
      <c r="AL388" s="2" t="str">
        <f t="shared" si="207"/>
        <v/>
      </c>
      <c r="AM388" s="6" t="str">
        <f t="shared" si="208"/>
        <v/>
      </c>
      <c r="AN388" s="4" t="str">
        <f t="shared" si="209"/>
        <v/>
      </c>
      <c r="AO388" s="4" t="str">
        <f t="shared" si="210"/>
        <v/>
      </c>
      <c r="AP388" s="4" t="str">
        <f t="shared" si="211"/>
        <v/>
      </c>
      <c r="AQ388" s="4" t="str">
        <f t="shared" si="212"/>
        <v/>
      </c>
      <c r="AR388" s="4" t="str">
        <f t="shared" si="213"/>
        <v/>
      </c>
    </row>
    <row r="389" spans="8:44" s="1" customFormat="1" ht="14.25" x14ac:dyDescent="0.3">
      <c r="H389" s="50"/>
      <c r="J389" s="54"/>
      <c r="L389" s="54"/>
      <c r="R389" s="45"/>
      <c r="S389" s="54"/>
      <c r="T389" s="54"/>
      <c r="U389" s="54"/>
      <c r="V389" s="44"/>
      <c r="W389" s="27"/>
      <c r="Z389" s="27"/>
      <c r="AA389" s="8"/>
      <c r="AB389" s="81" t="str">
        <f t="shared" si="197"/>
        <v/>
      </c>
      <c r="AC389" s="6" t="str">
        <f t="shared" si="198"/>
        <v/>
      </c>
      <c r="AD389" s="1" t="str">
        <f t="shared" ca="1" si="199"/>
        <v/>
      </c>
      <c r="AE389" s="75" t="str">
        <f t="shared" si="200"/>
        <v/>
      </c>
      <c r="AF389" s="75" t="str">
        <f t="shared" si="201"/>
        <v/>
      </c>
      <c r="AG389" s="4" t="str">
        <f t="shared" si="202"/>
        <v/>
      </c>
      <c r="AH389" s="4" t="str">
        <f t="shared" si="203"/>
        <v/>
      </c>
      <c r="AI389" s="4" t="str">
        <f t="shared" si="204"/>
        <v/>
      </c>
      <c r="AJ389" s="4" t="str">
        <f t="shared" si="205"/>
        <v/>
      </c>
      <c r="AK389" s="4" t="str">
        <f t="shared" si="206"/>
        <v/>
      </c>
      <c r="AL389" s="2" t="str">
        <f t="shared" si="207"/>
        <v/>
      </c>
      <c r="AM389" s="6" t="str">
        <f t="shared" si="208"/>
        <v/>
      </c>
      <c r="AN389" s="4" t="str">
        <f t="shared" si="209"/>
        <v/>
      </c>
      <c r="AO389" s="4" t="str">
        <f t="shared" si="210"/>
        <v/>
      </c>
      <c r="AP389" s="4" t="str">
        <f t="shared" si="211"/>
        <v/>
      </c>
      <c r="AQ389" s="4" t="str">
        <f t="shared" si="212"/>
        <v/>
      </c>
      <c r="AR389" s="4" t="str">
        <f t="shared" si="213"/>
        <v/>
      </c>
    </row>
    <row r="390" spans="8:44" s="1" customFormat="1" ht="14.25" x14ac:dyDescent="0.3">
      <c r="H390" s="50"/>
      <c r="J390" s="54"/>
      <c r="L390" s="54"/>
      <c r="R390" s="45"/>
      <c r="S390" s="54"/>
      <c r="T390" s="54"/>
      <c r="U390" s="54"/>
      <c r="V390" s="44"/>
      <c r="W390" s="27"/>
      <c r="Z390" s="27"/>
      <c r="AA390" s="8"/>
      <c r="AB390" s="81" t="str">
        <f t="shared" si="197"/>
        <v/>
      </c>
      <c r="AC390" s="6" t="str">
        <f t="shared" si="198"/>
        <v/>
      </c>
      <c r="AD390" s="1" t="str">
        <f t="shared" ca="1" si="199"/>
        <v/>
      </c>
      <c r="AE390" s="75" t="str">
        <f t="shared" si="200"/>
        <v/>
      </c>
      <c r="AF390" s="75" t="str">
        <f t="shared" si="201"/>
        <v/>
      </c>
      <c r="AG390" s="4" t="str">
        <f t="shared" si="202"/>
        <v/>
      </c>
      <c r="AH390" s="4" t="str">
        <f t="shared" si="203"/>
        <v/>
      </c>
      <c r="AI390" s="4" t="str">
        <f t="shared" si="204"/>
        <v/>
      </c>
      <c r="AJ390" s="4" t="str">
        <f t="shared" si="205"/>
        <v/>
      </c>
      <c r="AK390" s="4" t="str">
        <f t="shared" si="206"/>
        <v/>
      </c>
      <c r="AL390" s="2" t="str">
        <f t="shared" si="207"/>
        <v/>
      </c>
      <c r="AM390" s="6" t="str">
        <f t="shared" si="208"/>
        <v/>
      </c>
      <c r="AN390" s="4" t="str">
        <f t="shared" si="209"/>
        <v/>
      </c>
      <c r="AO390" s="4" t="str">
        <f t="shared" si="210"/>
        <v/>
      </c>
      <c r="AP390" s="4" t="str">
        <f t="shared" si="211"/>
        <v/>
      </c>
      <c r="AQ390" s="4" t="str">
        <f t="shared" si="212"/>
        <v/>
      </c>
      <c r="AR390" s="4" t="str">
        <f t="shared" si="213"/>
        <v/>
      </c>
    </row>
    <row r="391" spans="8:44" s="1" customFormat="1" ht="14.25" x14ac:dyDescent="0.3">
      <c r="H391" s="50"/>
      <c r="J391" s="54"/>
      <c r="L391" s="54"/>
      <c r="R391" s="45"/>
      <c r="S391" s="54"/>
      <c r="T391" s="54"/>
      <c r="U391" s="54"/>
      <c r="V391" s="44"/>
      <c r="W391" s="27"/>
      <c r="Z391" s="27"/>
      <c r="AA391" s="8"/>
      <c r="AB391" s="81" t="str">
        <f t="shared" si="197"/>
        <v/>
      </c>
      <c r="AC391" s="6" t="str">
        <f t="shared" si="198"/>
        <v/>
      </c>
      <c r="AD391" s="1" t="str">
        <f t="shared" ca="1" si="199"/>
        <v/>
      </c>
      <c r="AE391" s="75" t="str">
        <f t="shared" si="200"/>
        <v/>
      </c>
      <c r="AF391" s="75" t="str">
        <f t="shared" si="201"/>
        <v/>
      </c>
      <c r="AG391" s="4" t="str">
        <f t="shared" si="202"/>
        <v/>
      </c>
      <c r="AH391" s="4" t="str">
        <f t="shared" si="203"/>
        <v/>
      </c>
      <c r="AI391" s="4" t="str">
        <f t="shared" si="204"/>
        <v/>
      </c>
      <c r="AJ391" s="4" t="str">
        <f t="shared" si="205"/>
        <v/>
      </c>
      <c r="AK391" s="4" t="str">
        <f t="shared" si="206"/>
        <v/>
      </c>
      <c r="AL391" s="2" t="str">
        <f t="shared" si="207"/>
        <v/>
      </c>
      <c r="AM391" s="6" t="str">
        <f t="shared" si="208"/>
        <v/>
      </c>
      <c r="AN391" s="4" t="str">
        <f t="shared" si="209"/>
        <v/>
      </c>
      <c r="AO391" s="4" t="str">
        <f t="shared" si="210"/>
        <v/>
      </c>
      <c r="AP391" s="4" t="str">
        <f t="shared" si="211"/>
        <v/>
      </c>
      <c r="AQ391" s="4" t="str">
        <f t="shared" si="212"/>
        <v/>
      </c>
      <c r="AR391" s="4" t="str">
        <f t="shared" si="213"/>
        <v/>
      </c>
    </row>
    <row r="392" spans="8:44" s="1" customFormat="1" ht="14.25" x14ac:dyDescent="0.3">
      <c r="H392" s="50"/>
      <c r="J392" s="54"/>
      <c r="L392" s="54"/>
      <c r="R392" s="45"/>
      <c r="S392" s="54"/>
      <c r="T392" s="54"/>
      <c r="U392" s="54"/>
      <c r="V392" s="44"/>
      <c r="W392" s="27"/>
      <c r="Z392" s="27"/>
      <c r="AA392" s="8"/>
      <c r="AB392" s="81" t="str">
        <f t="shared" si="197"/>
        <v/>
      </c>
      <c r="AC392" s="6" t="str">
        <f t="shared" si="198"/>
        <v/>
      </c>
      <c r="AD392" s="1" t="str">
        <f t="shared" ca="1" si="199"/>
        <v/>
      </c>
      <c r="AE392" s="75" t="str">
        <f t="shared" si="200"/>
        <v/>
      </c>
      <c r="AF392" s="75" t="str">
        <f t="shared" si="201"/>
        <v/>
      </c>
      <c r="AG392" s="4" t="str">
        <f t="shared" si="202"/>
        <v/>
      </c>
      <c r="AH392" s="4" t="str">
        <f t="shared" si="203"/>
        <v/>
      </c>
      <c r="AI392" s="4" t="str">
        <f t="shared" si="204"/>
        <v/>
      </c>
      <c r="AJ392" s="4" t="str">
        <f t="shared" si="205"/>
        <v/>
      </c>
      <c r="AK392" s="4" t="str">
        <f t="shared" si="206"/>
        <v/>
      </c>
      <c r="AL392" s="2" t="str">
        <f t="shared" si="207"/>
        <v/>
      </c>
      <c r="AM392" s="6" t="str">
        <f t="shared" si="208"/>
        <v/>
      </c>
      <c r="AN392" s="4" t="str">
        <f t="shared" si="209"/>
        <v/>
      </c>
      <c r="AO392" s="4" t="str">
        <f t="shared" si="210"/>
        <v/>
      </c>
      <c r="AP392" s="4" t="str">
        <f t="shared" si="211"/>
        <v/>
      </c>
      <c r="AQ392" s="4" t="str">
        <f t="shared" si="212"/>
        <v/>
      </c>
      <c r="AR392" s="4" t="str">
        <f t="shared" si="213"/>
        <v/>
      </c>
    </row>
    <row r="393" spans="8:44" s="1" customFormat="1" ht="14.25" x14ac:dyDescent="0.3">
      <c r="H393" s="50"/>
      <c r="J393" s="54"/>
      <c r="L393" s="54"/>
      <c r="R393" s="45"/>
      <c r="S393" s="54"/>
      <c r="T393" s="54"/>
      <c r="U393" s="54"/>
      <c r="V393" s="44"/>
      <c r="W393" s="27"/>
      <c r="Z393" s="27"/>
      <c r="AA393" s="8"/>
      <c r="AB393" s="81" t="str">
        <f t="shared" si="197"/>
        <v/>
      </c>
      <c r="AC393" s="6" t="str">
        <f t="shared" si="198"/>
        <v/>
      </c>
      <c r="AD393" s="1" t="str">
        <f t="shared" ca="1" si="199"/>
        <v/>
      </c>
      <c r="AE393" s="75" t="str">
        <f t="shared" si="200"/>
        <v/>
      </c>
      <c r="AF393" s="75" t="str">
        <f t="shared" si="201"/>
        <v/>
      </c>
      <c r="AG393" s="4" t="str">
        <f t="shared" si="202"/>
        <v/>
      </c>
      <c r="AH393" s="4" t="str">
        <f t="shared" si="203"/>
        <v/>
      </c>
      <c r="AI393" s="4" t="str">
        <f t="shared" si="204"/>
        <v/>
      </c>
      <c r="AJ393" s="4" t="str">
        <f t="shared" si="205"/>
        <v/>
      </c>
      <c r="AK393" s="4" t="str">
        <f t="shared" si="206"/>
        <v/>
      </c>
      <c r="AL393" s="2" t="str">
        <f t="shared" si="207"/>
        <v/>
      </c>
      <c r="AM393" s="6" t="str">
        <f t="shared" si="208"/>
        <v/>
      </c>
      <c r="AN393" s="4" t="str">
        <f t="shared" si="209"/>
        <v/>
      </c>
      <c r="AO393" s="4" t="str">
        <f t="shared" si="210"/>
        <v/>
      </c>
      <c r="AP393" s="4" t="str">
        <f t="shared" si="211"/>
        <v/>
      </c>
      <c r="AQ393" s="4" t="str">
        <f t="shared" si="212"/>
        <v/>
      </c>
      <c r="AR393" s="4" t="str">
        <f t="shared" si="213"/>
        <v/>
      </c>
    </row>
    <row r="394" spans="8:44" s="1" customFormat="1" ht="14.25" x14ac:dyDescent="0.3">
      <c r="H394" s="50"/>
      <c r="J394" s="54"/>
      <c r="L394" s="54"/>
      <c r="R394" s="45"/>
      <c r="S394" s="54"/>
      <c r="T394" s="54"/>
      <c r="U394" s="54"/>
      <c r="V394" s="44"/>
      <c r="W394" s="27"/>
      <c r="Z394" s="27"/>
      <c r="AA394" s="8"/>
      <c r="AB394" s="81" t="str">
        <f t="shared" si="197"/>
        <v/>
      </c>
      <c r="AC394" s="6" t="str">
        <f t="shared" si="198"/>
        <v/>
      </c>
      <c r="AD394" s="1" t="str">
        <f t="shared" ca="1" si="199"/>
        <v/>
      </c>
      <c r="AE394" s="75" t="str">
        <f t="shared" si="200"/>
        <v/>
      </c>
      <c r="AF394" s="75" t="str">
        <f t="shared" si="201"/>
        <v/>
      </c>
      <c r="AG394" s="4" t="str">
        <f t="shared" si="202"/>
        <v/>
      </c>
      <c r="AH394" s="4" t="str">
        <f t="shared" si="203"/>
        <v/>
      </c>
      <c r="AI394" s="4" t="str">
        <f t="shared" si="204"/>
        <v/>
      </c>
      <c r="AJ394" s="4" t="str">
        <f t="shared" si="205"/>
        <v/>
      </c>
      <c r="AK394" s="4" t="str">
        <f t="shared" si="206"/>
        <v/>
      </c>
      <c r="AL394" s="2" t="str">
        <f t="shared" si="207"/>
        <v/>
      </c>
      <c r="AM394" s="6" t="str">
        <f t="shared" si="208"/>
        <v/>
      </c>
      <c r="AN394" s="4" t="str">
        <f t="shared" si="209"/>
        <v/>
      </c>
      <c r="AO394" s="4" t="str">
        <f t="shared" si="210"/>
        <v/>
      </c>
      <c r="AP394" s="4" t="str">
        <f t="shared" si="211"/>
        <v/>
      </c>
      <c r="AQ394" s="4" t="str">
        <f t="shared" si="212"/>
        <v/>
      </c>
      <c r="AR394" s="4" t="str">
        <f t="shared" si="213"/>
        <v/>
      </c>
    </row>
    <row r="395" spans="8:44" s="1" customFormat="1" ht="14.25" x14ac:dyDescent="0.3">
      <c r="H395" s="50"/>
      <c r="J395" s="54"/>
      <c r="L395" s="54"/>
      <c r="R395" s="45"/>
      <c r="S395" s="54"/>
      <c r="T395" s="54"/>
      <c r="U395" s="54"/>
      <c r="V395" s="44"/>
      <c r="W395" s="27"/>
      <c r="Z395" s="27"/>
      <c r="AA395" s="8"/>
      <c r="AB395" s="81" t="str">
        <f t="shared" si="197"/>
        <v/>
      </c>
      <c r="AC395" s="6" t="str">
        <f t="shared" si="198"/>
        <v/>
      </c>
      <c r="AD395" s="1" t="str">
        <f t="shared" ca="1" si="199"/>
        <v/>
      </c>
      <c r="AE395" s="75" t="str">
        <f t="shared" si="200"/>
        <v/>
      </c>
      <c r="AF395" s="75" t="str">
        <f t="shared" si="201"/>
        <v/>
      </c>
      <c r="AG395" s="4" t="str">
        <f t="shared" si="202"/>
        <v/>
      </c>
      <c r="AH395" s="4" t="str">
        <f t="shared" si="203"/>
        <v/>
      </c>
      <c r="AI395" s="4" t="str">
        <f t="shared" si="204"/>
        <v/>
      </c>
      <c r="AJ395" s="4" t="str">
        <f t="shared" si="205"/>
        <v/>
      </c>
      <c r="AK395" s="4" t="str">
        <f t="shared" si="206"/>
        <v/>
      </c>
      <c r="AL395" s="2" t="str">
        <f t="shared" si="207"/>
        <v/>
      </c>
      <c r="AM395" s="6" t="str">
        <f t="shared" si="208"/>
        <v/>
      </c>
      <c r="AN395" s="4" t="str">
        <f t="shared" si="209"/>
        <v/>
      </c>
      <c r="AO395" s="4" t="str">
        <f t="shared" si="210"/>
        <v/>
      </c>
      <c r="AP395" s="4" t="str">
        <f t="shared" si="211"/>
        <v/>
      </c>
      <c r="AQ395" s="4" t="str">
        <f t="shared" si="212"/>
        <v/>
      </c>
      <c r="AR395" s="4" t="str">
        <f t="shared" si="213"/>
        <v/>
      </c>
    </row>
    <row r="396" spans="8:44" s="1" customFormat="1" ht="14.25" x14ac:dyDescent="0.3">
      <c r="H396" s="50"/>
      <c r="J396" s="54"/>
      <c r="L396" s="54"/>
      <c r="R396" s="45"/>
      <c r="S396" s="54"/>
      <c r="T396" s="54"/>
      <c r="U396" s="54"/>
      <c r="V396" s="44"/>
      <c r="W396" s="27"/>
      <c r="Z396" s="27"/>
      <c r="AA396" s="8"/>
      <c r="AB396" s="81" t="str">
        <f t="shared" si="197"/>
        <v/>
      </c>
      <c r="AC396" s="6" t="str">
        <f t="shared" si="198"/>
        <v/>
      </c>
      <c r="AD396" s="1" t="str">
        <f t="shared" ca="1" si="199"/>
        <v/>
      </c>
      <c r="AE396" s="75" t="str">
        <f t="shared" si="200"/>
        <v/>
      </c>
      <c r="AF396" s="75" t="str">
        <f t="shared" si="201"/>
        <v/>
      </c>
      <c r="AG396" s="4" t="str">
        <f t="shared" si="202"/>
        <v/>
      </c>
      <c r="AH396" s="4" t="str">
        <f t="shared" si="203"/>
        <v/>
      </c>
      <c r="AI396" s="4" t="str">
        <f t="shared" si="204"/>
        <v/>
      </c>
      <c r="AJ396" s="4" t="str">
        <f t="shared" si="205"/>
        <v/>
      </c>
      <c r="AK396" s="4" t="str">
        <f t="shared" si="206"/>
        <v/>
      </c>
      <c r="AL396" s="2" t="str">
        <f t="shared" si="207"/>
        <v/>
      </c>
      <c r="AM396" s="6" t="str">
        <f t="shared" si="208"/>
        <v/>
      </c>
      <c r="AN396" s="4" t="str">
        <f t="shared" si="209"/>
        <v/>
      </c>
      <c r="AO396" s="4" t="str">
        <f t="shared" si="210"/>
        <v/>
      </c>
      <c r="AP396" s="4" t="str">
        <f t="shared" si="211"/>
        <v/>
      </c>
      <c r="AQ396" s="4" t="str">
        <f t="shared" si="212"/>
        <v/>
      </c>
      <c r="AR396" s="4" t="str">
        <f t="shared" si="213"/>
        <v/>
      </c>
    </row>
    <row r="397" spans="8:44" s="1" customFormat="1" ht="14.25" x14ac:dyDescent="0.3">
      <c r="H397" s="50"/>
      <c r="J397" s="54"/>
      <c r="L397" s="54"/>
      <c r="R397" s="45"/>
      <c r="S397" s="54"/>
      <c r="T397" s="54"/>
      <c r="U397" s="54"/>
      <c r="V397" s="44"/>
      <c r="W397" s="27"/>
      <c r="Z397" s="27"/>
      <c r="AA397" s="8"/>
      <c r="AB397" s="81" t="str">
        <f t="shared" si="197"/>
        <v/>
      </c>
      <c r="AC397" s="6" t="str">
        <f t="shared" si="198"/>
        <v/>
      </c>
      <c r="AD397" s="1" t="str">
        <f t="shared" ca="1" si="199"/>
        <v/>
      </c>
      <c r="AE397" s="75" t="str">
        <f t="shared" si="200"/>
        <v/>
      </c>
      <c r="AF397" s="75" t="str">
        <f t="shared" si="201"/>
        <v/>
      </c>
      <c r="AG397" s="4" t="str">
        <f t="shared" si="202"/>
        <v/>
      </c>
      <c r="AH397" s="4" t="str">
        <f t="shared" si="203"/>
        <v/>
      </c>
      <c r="AI397" s="4" t="str">
        <f t="shared" si="204"/>
        <v/>
      </c>
      <c r="AJ397" s="4" t="str">
        <f t="shared" si="205"/>
        <v/>
      </c>
      <c r="AK397" s="4" t="str">
        <f t="shared" si="206"/>
        <v/>
      </c>
      <c r="AL397" s="2" t="str">
        <f t="shared" si="207"/>
        <v/>
      </c>
      <c r="AM397" s="6" t="str">
        <f t="shared" si="208"/>
        <v/>
      </c>
      <c r="AN397" s="4" t="str">
        <f t="shared" si="209"/>
        <v/>
      </c>
      <c r="AO397" s="4" t="str">
        <f t="shared" si="210"/>
        <v/>
      </c>
      <c r="AP397" s="4" t="str">
        <f t="shared" si="211"/>
        <v/>
      </c>
      <c r="AQ397" s="4" t="str">
        <f t="shared" si="212"/>
        <v/>
      </c>
      <c r="AR397" s="4" t="str">
        <f t="shared" si="213"/>
        <v/>
      </c>
    </row>
    <row r="398" spans="8:44" s="1" customFormat="1" ht="14.25" x14ac:dyDescent="0.3">
      <c r="H398" s="50"/>
      <c r="J398" s="54"/>
      <c r="L398" s="54"/>
      <c r="R398" s="45"/>
      <c r="S398" s="54"/>
      <c r="T398" s="54"/>
      <c r="U398" s="54"/>
      <c r="V398" s="44"/>
      <c r="W398" s="27"/>
      <c r="Z398" s="27"/>
      <c r="AA398" s="8"/>
      <c r="AB398" s="81" t="str">
        <f t="shared" si="197"/>
        <v/>
      </c>
      <c r="AC398" s="6" t="str">
        <f t="shared" si="198"/>
        <v/>
      </c>
      <c r="AD398" s="1" t="str">
        <f t="shared" ca="1" si="199"/>
        <v/>
      </c>
      <c r="AE398" s="75" t="str">
        <f t="shared" si="200"/>
        <v/>
      </c>
      <c r="AF398" s="75" t="str">
        <f t="shared" si="201"/>
        <v/>
      </c>
      <c r="AG398" s="4" t="str">
        <f t="shared" si="202"/>
        <v/>
      </c>
      <c r="AH398" s="4" t="str">
        <f t="shared" si="203"/>
        <v/>
      </c>
      <c r="AI398" s="4" t="str">
        <f t="shared" si="204"/>
        <v/>
      </c>
      <c r="AJ398" s="4" t="str">
        <f t="shared" si="205"/>
        <v/>
      </c>
      <c r="AK398" s="4" t="str">
        <f t="shared" si="206"/>
        <v/>
      </c>
      <c r="AL398" s="2" t="str">
        <f t="shared" si="207"/>
        <v/>
      </c>
      <c r="AM398" s="6" t="str">
        <f t="shared" si="208"/>
        <v/>
      </c>
      <c r="AN398" s="4" t="str">
        <f t="shared" si="209"/>
        <v/>
      </c>
      <c r="AO398" s="4" t="str">
        <f t="shared" si="210"/>
        <v/>
      </c>
      <c r="AP398" s="4" t="str">
        <f t="shared" si="211"/>
        <v/>
      </c>
      <c r="AQ398" s="4" t="str">
        <f t="shared" si="212"/>
        <v/>
      </c>
      <c r="AR398" s="4" t="str">
        <f t="shared" si="213"/>
        <v/>
      </c>
    </row>
    <row r="399" spans="8:44" s="1" customFormat="1" ht="14.25" x14ac:dyDescent="0.3">
      <c r="H399" s="50"/>
      <c r="J399" s="54"/>
      <c r="L399" s="54"/>
      <c r="R399" s="45"/>
      <c r="S399" s="54"/>
      <c r="T399" s="54"/>
      <c r="U399" s="54"/>
      <c r="V399" s="44"/>
      <c r="W399" s="27"/>
      <c r="Z399" s="27"/>
      <c r="AA399" s="8"/>
      <c r="AB399" s="81" t="str">
        <f t="shared" si="197"/>
        <v/>
      </c>
      <c r="AC399" s="6" t="str">
        <f t="shared" si="198"/>
        <v/>
      </c>
      <c r="AD399" s="1" t="str">
        <f t="shared" ca="1" si="199"/>
        <v/>
      </c>
      <c r="AE399" s="75" t="str">
        <f t="shared" si="200"/>
        <v/>
      </c>
      <c r="AF399" s="75" t="str">
        <f t="shared" si="201"/>
        <v/>
      </c>
      <c r="AG399" s="4" t="str">
        <f t="shared" si="202"/>
        <v/>
      </c>
      <c r="AH399" s="4" t="str">
        <f t="shared" si="203"/>
        <v/>
      </c>
      <c r="AI399" s="4" t="str">
        <f t="shared" si="204"/>
        <v/>
      </c>
      <c r="AJ399" s="4" t="str">
        <f t="shared" si="205"/>
        <v/>
      </c>
      <c r="AK399" s="4" t="str">
        <f t="shared" si="206"/>
        <v/>
      </c>
      <c r="AL399" s="2" t="str">
        <f t="shared" si="207"/>
        <v/>
      </c>
      <c r="AM399" s="6" t="str">
        <f t="shared" si="208"/>
        <v/>
      </c>
      <c r="AN399" s="4" t="str">
        <f t="shared" si="209"/>
        <v/>
      </c>
      <c r="AO399" s="4" t="str">
        <f t="shared" si="210"/>
        <v/>
      </c>
      <c r="AP399" s="4" t="str">
        <f t="shared" si="211"/>
        <v/>
      </c>
      <c r="AQ399" s="4" t="str">
        <f t="shared" si="212"/>
        <v/>
      </c>
      <c r="AR399" s="4" t="str">
        <f t="shared" si="213"/>
        <v/>
      </c>
    </row>
    <row r="400" spans="8:44" s="1" customFormat="1" ht="14.25" x14ac:dyDescent="0.3">
      <c r="H400" s="50"/>
      <c r="J400" s="54"/>
      <c r="L400" s="54"/>
      <c r="R400" s="45"/>
      <c r="S400" s="54"/>
      <c r="T400" s="54"/>
      <c r="U400" s="54"/>
      <c r="V400" s="44"/>
      <c r="W400" s="27"/>
      <c r="Z400" s="27"/>
      <c r="AA400" s="8"/>
      <c r="AB400" s="81" t="str">
        <f t="shared" si="197"/>
        <v/>
      </c>
      <c r="AC400" s="6" t="str">
        <f t="shared" si="198"/>
        <v/>
      </c>
      <c r="AD400" s="1" t="str">
        <f t="shared" ca="1" si="199"/>
        <v/>
      </c>
      <c r="AE400" s="75" t="str">
        <f t="shared" si="200"/>
        <v/>
      </c>
      <c r="AF400" s="75" t="str">
        <f t="shared" si="201"/>
        <v/>
      </c>
      <c r="AG400" s="4" t="str">
        <f t="shared" si="202"/>
        <v/>
      </c>
      <c r="AH400" s="4" t="str">
        <f t="shared" si="203"/>
        <v/>
      </c>
      <c r="AI400" s="4" t="str">
        <f t="shared" si="204"/>
        <v/>
      </c>
      <c r="AJ400" s="4" t="str">
        <f t="shared" si="205"/>
        <v/>
      </c>
      <c r="AK400" s="4" t="str">
        <f t="shared" si="206"/>
        <v/>
      </c>
      <c r="AL400" s="2" t="str">
        <f t="shared" si="207"/>
        <v/>
      </c>
      <c r="AM400" s="6" t="str">
        <f t="shared" si="208"/>
        <v/>
      </c>
      <c r="AN400" s="4" t="str">
        <f t="shared" si="209"/>
        <v/>
      </c>
      <c r="AO400" s="4" t="str">
        <f t="shared" si="210"/>
        <v/>
      </c>
      <c r="AP400" s="4" t="str">
        <f t="shared" si="211"/>
        <v/>
      </c>
      <c r="AQ400" s="4" t="str">
        <f t="shared" si="212"/>
        <v/>
      </c>
      <c r="AR400" s="4" t="str">
        <f t="shared" si="213"/>
        <v/>
      </c>
    </row>
    <row r="401" spans="8:44" s="1" customFormat="1" ht="14.25" x14ac:dyDescent="0.3">
      <c r="H401" s="50"/>
      <c r="J401" s="54"/>
      <c r="L401" s="54"/>
      <c r="R401" s="45"/>
      <c r="S401" s="54"/>
      <c r="T401" s="54"/>
      <c r="U401" s="54"/>
      <c r="V401" s="44"/>
      <c r="W401" s="27"/>
      <c r="Z401" s="27"/>
      <c r="AA401" s="8"/>
      <c r="AB401" s="81" t="str">
        <f t="shared" si="197"/>
        <v/>
      </c>
      <c r="AC401" s="6" t="str">
        <f t="shared" si="198"/>
        <v/>
      </c>
      <c r="AD401" s="1" t="str">
        <f t="shared" ca="1" si="199"/>
        <v/>
      </c>
      <c r="AE401" s="75" t="str">
        <f t="shared" si="200"/>
        <v/>
      </c>
      <c r="AF401" s="75" t="str">
        <f t="shared" si="201"/>
        <v/>
      </c>
      <c r="AG401" s="4" t="str">
        <f t="shared" si="202"/>
        <v/>
      </c>
      <c r="AH401" s="4" t="str">
        <f t="shared" si="203"/>
        <v/>
      </c>
      <c r="AI401" s="4" t="str">
        <f t="shared" si="204"/>
        <v/>
      </c>
      <c r="AJ401" s="4" t="str">
        <f t="shared" si="205"/>
        <v/>
      </c>
      <c r="AK401" s="4" t="str">
        <f t="shared" si="206"/>
        <v/>
      </c>
      <c r="AL401" s="2" t="str">
        <f t="shared" si="207"/>
        <v/>
      </c>
      <c r="AM401" s="6" t="str">
        <f t="shared" si="208"/>
        <v/>
      </c>
      <c r="AN401" s="4" t="str">
        <f t="shared" si="209"/>
        <v/>
      </c>
      <c r="AO401" s="4" t="str">
        <f t="shared" si="210"/>
        <v/>
      </c>
      <c r="AP401" s="4" t="str">
        <f t="shared" si="211"/>
        <v/>
      </c>
      <c r="AQ401" s="4" t="str">
        <f t="shared" si="212"/>
        <v/>
      </c>
      <c r="AR401" s="4" t="str">
        <f t="shared" si="213"/>
        <v/>
      </c>
    </row>
    <row r="402" spans="8:44" s="1" customFormat="1" ht="14.25" x14ac:dyDescent="0.3">
      <c r="H402" s="50"/>
      <c r="J402" s="54"/>
      <c r="L402" s="54"/>
      <c r="R402" s="45"/>
      <c r="S402" s="54"/>
      <c r="T402" s="54"/>
      <c r="U402" s="54"/>
      <c r="V402" s="44"/>
      <c r="W402" s="27"/>
      <c r="Z402" s="27"/>
      <c r="AA402" s="8"/>
      <c r="AB402" s="81" t="str">
        <f t="shared" si="197"/>
        <v/>
      </c>
      <c r="AC402" s="6" t="str">
        <f t="shared" si="198"/>
        <v/>
      </c>
      <c r="AD402" s="1" t="str">
        <f t="shared" ca="1" si="199"/>
        <v/>
      </c>
      <c r="AE402" s="75" t="str">
        <f t="shared" si="200"/>
        <v/>
      </c>
      <c r="AF402" s="75" t="str">
        <f t="shared" si="201"/>
        <v/>
      </c>
      <c r="AG402" s="4" t="str">
        <f t="shared" si="202"/>
        <v/>
      </c>
      <c r="AH402" s="4" t="str">
        <f t="shared" si="203"/>
        <v/>
      </c>
      <c r="AI402" s="4" t="str">
        <f t="shared" si="204"/>
        <v/>
      </c>
      <c r="AJ402" s="4" t="str">
        <f t="shared" si="205"/>
        <v/>
      </c>
      <c r="AK402" s="4" t="str">
        <f t="shared" si="206"/>
        <v/>
      </c>
      <c r="AL402" s="2" t="str">
        <f t="shared" si="207"/>
        <v/>
      </c>
      <c r="AM402" s="6" t="str">
        <f t="shared" si="208"/>
        <v/>
      </c>
      <c r="AN402" s="4" t="str">
        <f t="shared" si="209"/>
        <v/>
      </c>
      <c r="AO402" s="4" t="str">
        <f t="shared" si="210"/>
        <v/>
      </c>
      <c r="AP402" s="4" t="str">
        <f t="shared" si="211"/>
        <v/>
      </c>
      <c r="AQ402" s="4" t="str">
        <f t="shared" si="212"/>
        <v/>
      </c>
      <c r="AR402" s="4" t="str">
        <f t="shared" si="213"/>
        <v/>
      </c>
    </row>
    <row r="403" spans="8:44" s="1" customFormat="1" ht="14.25" x14ac:dyDescent="0.3">
      <c r="H403" s="50"/>
      <c r="J403" s="54"/>
      <c r="L403" s="54"/>
      <c r="R403" s="45"/>
      <c r="S403" s="54"/>
      <c r="T403" s="54"/>
      <c r="U403" s="54"/>
      <c r="V403" s="44"/>
      <c r="W403" s="27"/>
      <c r="Z403" s="27"/>
      <c r="AA403" s="8"/>
      <c r="AB403" s="81" t="str">
        <f t="shared" si="197"/>
        <v/>
      </c>
      <c r="AC403" s="6" t="str">
        <f t="shared" si="198"/>
        <v/>
      </c>
      <c r="AD403" s="1" t="str">
        <f t="shared" ca="1" si="199"/>
        <v/>
      </c>
      <c r="AE403" s="75" t="str">
        <f t="shared" si="200"/>
        <v/>
      </c>
      <c r="AF403" s="75" t="str">
        <f t="shared" si="201"/>
        <v/>
      </c>
      <c r="AG403" s="4" t="str">
        <f t="shared" si="202"/>
        <v/>
      </c>
      <c r="AH403" s="4" t="str">
        <f t="shared" si="203"/>
        <v/>
      </c>
      <c r="AI403" s="4" t="str">
        <f t="shared" si="204"/>
        <v/>
      </c>
      <c r="AJ403" s="4" t="str">
        <f t="shared" si="205"/>
        <v/>
      </c>
      <c r="AK403" s="4" t="str">
        <f t="shared" si="206"/>
        <v/>
      </c>
      <c r="AL403" s="2" t="str">
        <f t="shared" si="207"/>
        <v/>
      </c>
      <c r="AM403" s="6" t="str">
        <f t="shared" si="208"/>
        <v/>
      </c>
      <c r="AN403" s="4" t="str">
        <f t="shared" si="209"/>
        <v/>
      </c>
      <c r="AO403" s="4" t="str">
        <f t="shared" si="210"/>
        <v/>
      </c>
      <c r="AP403" s="4" t="str">
        <f t="shared" si="211"/>
        <v/>
      </c>
      <c r="AQ403" s="4" t="str">
        <f t="shared" si="212"/>
        <v/>
      </c>
      <c r="AR403" s="4" t="str">
        <f t="shared" si="213"/>
        <v/>
      </c>
    </row>
    <row r="404" spans="8:44" s="1" customFormat="1" ht="14.25" x14ac:dyDescent="0.3">
      <c r="H404" s="50"/>
      <c r="J404" s="54"/>
      <c r="L404" s="54"/>
      <c r="R404" s="45"/>
      <c r="S404" s="54"/>
      <c r="T404" s="54"/>
      <c r="U404" s="54"/>
      <c r="V404" s="44"/>
      <c r="W404" s="27"/>
      <c r="Z404" s="27"/>
      <c r="AA404" s="8"/>
      <c r="AB404" s="81" t="str">
        <f t="shared" si="197"/>
        <v/>
      </c>
      <c r="AC404" s="6" t="str">
        <f t="shared" si="198"/>
        <v/>
      </c>
      <c r="AD404" s="1" t="str">
        <f t="shared" ca="1" si="199"/>
        <v/>
      </c>
      <c r="AE404" s="75" t="str">
        <f t="shared" si="200"/>
        <v/>
      </c>
      <c r="AF404" s="75" t="str">
        <f t="shared" si="201"/>
        <v/>
      </c>
      <c r="AG404" s="4" t="str">
        <f t="shared" si="202"/>
        <v/>
      </c>
      <c r="AH404" s="4" t="str">
        <f t="shared" si="203"/>
        <v/>
      </c>
      <c r="AI404" s="4" t="str">
        <f t="shared" si="204"/>
        <v/>
      </c>
      <c r="AJ404" s="4" t="str">
        <f t="shared" si="205"/>
        <v/>
      </c>
      <c r="AK404" s="4" t="str">
        <f t="shared" si="206"/>
        <v/>
      </c>
      <c r="AL404" s="2" t="str">
        <f t="shared" si="207"/>
        <v/>
      </c>
      <c r="AM404" s="6" t="str">
        <f t="shared" si="208"/>
        <v/>
      </c>
      <c r="AN404" s="4" t="str">
        <f t="shared" si="209"/>
        <v/>
      </c>
      <c r="AO404" s="4" t="str">
        <f t="shared" si="210"/>
        <v/>
      </c>
      <c r="AP404" s="4" t="str">
        <f t="shared" si="211"/>
        <v/>
      </c>
      <c r="AQ404" s="4" t="str">
        <f t="shared" si="212"/>
        <v/>
      </c>
      <c r="AR404" s="4" t="str">
        <f t="shared" si="213"/>
        <v/>
      </c>
    </row>
    <row r="405" spans="8:44" s="1" customFormat="1" ht="14.25" x14ac:dyDescent="0.3">
      <c r="H405" s="50"/>
      <c r="J405" s="54"/>
      <c r="L405" s="54"/>
      <c r="R405" s="45"/>
      <c r="S405" s="54"/>
      <c r="T405" s="54"/>
      <c r="U405" s="54"/>
      <c r="V405" s="44"/>
      <c r="W405" s="27"/>
      <c r="Z405" s="27"/>
      <c r="AA405" s="8"/>
      <c r="AB405" s="81" t="str">
        <f t="shared" si="197"/>
        <v/>
      </c>
      <c r="AC405" s="6" t="str">
        <f t="shared" si="198"/>
        <v/>
      </c>
      <c r="AD405" s="1" t="str">
        <f t="shared" ca="1" si="199"/>
        <v/>
      </c>
      <c r="AE405" s="75" t="str">
        <f t="shared" si="200"/>
        <v/>
      </c>
      <c r="AF405" s="75" t="str">
        <f t="shared" si="201"/>
        <v/>
      </c>
      <c r="AG405" s="4" t="str">
        <f t="shared" si="202"/>
        <v/>
      </c>
      <c r="AH405" s="4" t="str">
        <f t="shared" si="203"/>
        <v/>
      </c>
      <c r="AI405" s="4" t="str">
        <f t="shared" si="204"/>
        <v/>
      </c>
      <c r="AJ405" s="4" t="str">
        <f t="shared" si="205"/>
        <v/>
      </c>
      <c r="AK405" s="4" t="str">
        <f t="shared" si="206"/>
        <v/>
      </c>
      <c r="AL405" s="2" t="str">
        <f t="shared" si="207"/>
        <v/>
      </c>
      <c r="AM405" s="6" t="str">
        <f t="shared" si="208"/>
        <v/>
      </c>
      <c r="AN405" s="4" t="str">
        <f t="shared" si="209"/>
        <v/>
      </c>
      <c r="AO405" s="4" t="str">
        <f t="shared" si="210"/>
        <v/>
      </c>
      <c r="AP405" s="4" t="str">
        <f t="shared" si="211"/>
        <v/>
      </c>
      <c r="AQ405" s="4" t="str">
        <f t="shared" si="212"/>
        <v/>
      </c>
      <c r="AR405" s="4" t="str">
        <f t="shared" si="213"/>
        <v/>
      </c>
    </row>
    <row r="406" spans="8:44" s="1" customFormat="1" ht="14.25" x14ac:dyDescent="0.3">
      <c r="H406" s="50"/>
      <c r="J406" s="54"/>
      <c r="L406" s="54"/>
      <c r="R406" s="45"/>
      <c r="S406" s="54"/>
      <c r="T406" s="54"/>
      <c r="U406" s="54"/>
      <c r="V406" s="44"/>
      <c r="W406" s="27"/>
      <c r="Z406" s="27"/>
      <c r="AA406" s="8"/>
      <c r="AB406" s="81" t="str">
        <f t="shared" si="197"/>
        <v/>
      </c>
      <c r="AC406" s="6" t="str">
        <f t="shared" si="198"/>
        <v/>
      </c>
      <c r="AD406" s="1" t="str">
        <f t="shared" ca="1" si="199"/>
        <v/>
      </c>
      <c r="AE406" s="75" t="str">
        <f t="shared" si="200"/>
        <v/>
      </c>
      <c r="AF406" s="75" t="str">
        <f t="shared" si="201"/>
        <v/>
      </c>
      <c r="AG406" s="4" t="str">
        <f t="shared" si="202"/>
        <v/>
      </c>
      <c r="AH406" s="4" t="str">
        <f t="shared" si="203"/>
        <v/>
      </c>
      <c r="AI406" s="4" t="str">
        <f t="shared" si="204"/>
        <v/>
      </c>
      <c r="AJ406" s="4" t="str">
        <f t="shared" si="205"/>
        <v/>
      </c>
      <c r="AK406" s="4" t="str">
        <f t="shared" si="206"/>
        <v/>
      </c>
      <c r="AL406" s="2" t="str">
        <f t="shared" si="207"/>
        <v/>
      </c>
      <c r="AM406" s="6" t="str">
        <f t="shared" si="208"/>
        <v/>
      </c>
      <c r="AN406" s="4" t="str">
        <f t="shared" si="209"/>
        <v/>
      </c>
      <c r="AO406" s="4" t="str">
        <f t="shared" si="210"/>
        <v/>
      </c>
      <c r="AP406" s="4" t="str">
        <f t="shared" si="211"/>
        <v/>
      </c>
      <c r="AQ406" s="4" t="str">
        <f t="shared" si="212"/>
        <v/>
      </c>
      <c r="AR406" s="4" t="str">
        <f t="shared" si="213"/>
        <v/>
      </c>
    </row>
    <row r="407" spans="8:44" s="1" customFormat="1" ht="14.25" x14ac:dyDescent="0.3">
      <c r="H407" s="50"/>
      <c r="J407" s="54"/>
      <c r="L407" s="54"/>
      <c r="R407" s="45"/>
      <c r="S407" s="54"/>
      <c r="T407" s="54"/>
      <c r="U407" s="54"/>
      <c r="V407" s="44"/>
      <c r="W407" s="27"/>
      <c r="Z407" s="27"/>
      <c r="AA407" s="8"/>
      <c r="AB407" s="81" t="str">
        <f t="shared" si="197"/>
        <v/>
      </c>
      <c r="AC407" s="6" t="str">
        <f t="shared" si="198"/>
        <v/>
      </c>
      <c r="AD407" s="1" t="str">
        <f t="shared" ca="1" si="199"/>
        <v/>
      </c>
      <c r="AE407" s="75" t="str">
        <f t="shared" si="200"/>
        <v/>
      </c>
      <c r="AF407" s="75" t="str">
        <f t="shared" si="201"/>
        <v/>
      </c>
      <c r="AG407" s="4" t="str">
        <f t="shared" si="202"/>
        <v/>
      </c>
      <c r="AH407" s="4" t="str">
        <f t="shared" si="203"/>
        <v/>
      </c>
      <c r="AI407" s="4" t="str">
        <f t="shared" si="204"/>
        <v/>
      </c>
      <c r="AJ407" s="4" t="str">
        <f t="shared" si="205"/>
        <v/>
      </c>
      <c r="AK407" s="4" t="str">
        <f t="shared" si="206"/>
        <v/>
      </c>
      <c r="AL407" s="2" t="str">
        <f t="shared" si="207"/>
        <v/>
      </c>
      <c r="AM407" s="6" t="str">
        <f t="shared" si="208"/>
        <v/>
      </c>
      <c r="AN407" s="4" t="str">
        <f t="shared" si="209"/>
        <v/>
      </c>
      <c r="AO407" s="4" t="str">
        <f t="shared" si="210"/>
        <v/>
      </c>
      <c r="AP407" s="4" t="str">
        <f t="shared" si="211"/>
        <v/>
      </c>
      <c r="AQ407" s="4" t="str">
        <f t="shared" si="212"/>
        <v/>
      </c>
      <c r="AR407" s="4" t="str">
        <f t="shared" si="213"/>
        <v/>
      </c>
    </row>
    <row r="408" spans="8:44" s="1" customFormat="1" ht="14.25" x14ac:dyDescent="0.3">
      <c r="H408" s="50"/>
      <c r="J408" s="54"/>
      <c r="L408" s="54"/>
      <c r="R408" s="45"/>
      <c r="S408" s="54"/>
      <c r="T408" s="54"/>
      <c r="U408" s="54"/>
      <c r="V408" s="44"/>
      <c r="W408" s="27"/>
      <c r="Z408" s="27"/>
      <c r="AA408" s="8"/>
      <c r="AB408" s="81" t="str">
        <f t="shared" si="197"/>
        <v/>
      </c>
      <c r="AC408" s="6" t="str">
        <f t="shared" si="198"/>
        <v/>
      </c>
      <c r="AD408" s="1" t="str">
        <f t="shared" ca="1" si="199"/>
        <v/>
      </c>
      <c r="AE408" s="75" t="str">
        <f t="shared" si="200"/>
        <v/>
      </c>
      <c r="AF408" s="75" t="str">
        <f t="shared" si="201"/>
        <v/>
      </c>
      <c r="AG408" s="4" t="str">
        <f t="shared" si="202"/>
        <v/>
      </c>
      <c r="AH408" s="4" t="str">
        <f t="shared" si="203"/>
        <v/>
      </c>
      <c r="AI408" s="4" t="str">
        <f t="shared" si="204"/>
        <v/>
      </c>
      <c r="AJ408" s="4" t="str">
        <f t="shared" si="205"/>
        <v/>
      </c>
      <c r="AK408" s="4" t="str">
        <f t="shared" si="206"/>
        <v/>
      </c>
      <c r="AL408" s="2" t="str">
        <f t="shared" si="207"/>
        <v/>
      </c>
      <c r="AM408" s="6" t="str">
        <f t="shared" si="208"/>
        <v/>
      </c>
      <c r="AN408" s="4" t="str">
        <f t="shared" si="209"/>
        <v/>
      </c>
      <c r="AO408" s="4" t="str">
        <f t="shared" si="210"/>
        <v/>
      </c>
      <c r="AP408" s="4" t="str">
        <f t="shared" si="211"/>
        <v/>
      </c>
      <c r="AQ408" s="4" t="str">
        <f t="shared" si="212"/>
        <v/>
      </c>
      <c r="AR408" s="4" t="str">
        <f t="shared" si="213"/>
        <v/>
      </c>
    </row>
    <row r="409" spans="8:44" s="1" customFormat="1" ht="14.25" x14ac:dyDescent="0.3">
      <c r="H409" s="50"/>
      <c r="J409" s="54"/>
      <c r="L409" s="54"/>
      <c r="R409" s="45"/>
      <c r="S409" s="54"/>
      <c r="T409" s="54"/>
      <c r="U409" s="54"/>
      <c r="V409" s="44"/>
      <c r="W409" s="27"/>
      <c r="Z409" s="27"/>
      <c r="AA409" s="8"/>
      <c r="AB409" s="81" t="str">
        <f t="shared" si="197"/>
        <v/>
      </c>
      <c r="AC409" s="6" t="str">
        <f t="shared" si="198"/>
        <v/>
      </c>
      <c r="AD409" s="1" t="str">
        <f t="shared" ca="1" si="199"/>
        <v/>
      </c>
      <c r="AE409" s="75" t="str">
        <f t="shared" si="200"/>
        <v/>
      </c>
      <c r="AF409" s="75" t="str">
        <f t="shared" si="201"/>
        <v/>
      </c>
      <c r="AG409" s="4" t="str">
        <f t="shared" si="202"/>
        <v/>
      </c>
      <c r="AH409" s="4" t="str">
        <f t="shared" si="203"/>
        <v/>
      </c>
      <c r="AI409" s="4" t="str">
        <f t="shared" si="204"/>
        <v/>
      </c>
      <c r="AJ409" s="4" t="str">
        <f t="shared" si="205"/>
        <v/>
      </c>
      <c r="AK409" s="4" t="str">
        <f t="shared" si="206"/>
        <v/>
      </c>
      <c r="AL409" s="2" t="str">
        <f t="shared" si="207"/>
        <v/>
      </c>
      <c r="AM409" s="6" t="str">
        <f t="shared" si="208"/>
        <v/>
      </c>
      <c r="AN409" s="4" t="str">
        <f t="shared" si="209"/>
        <v/>
      </c>
      <c r="AO409" s="4" t="str">
        <f t="shared" si="210"/>
        <v/>
      </c>
      <c r="AP409" s="4" t="str">
        <f t="shared" si="211"/>
        <v/>
      </c>
      <c r="AQ409" s="4" t="str">
        <f t="shared" si="212"/>
        <v/>
      </c>
      <c r="AR409" s="4" t="str">
        <f t="shared" si="213"/>
        <v/>
      </c>
    </row>
    <row r="410" spans="8:44" s="1" customFormat="1" ht="14.25" x14ac:dyDescent="0.3">
      <c r="H410" s="50"/>
      <c r="J410" s="54"/>
      <c r="L410" s="54"/>
      <c r="R410" s="45"/>
      <c r="S410" s="54"/>
      <c r="T410" s="54"/>
      <c r="U410" s="54"/>
      <c r="V410" s="44"/>
      <c r="W410" s="27"/>
      <c r="Z410" s="27"/>
      <c r="AA410" s="8"/>
      <c r="AB410" s="81" t="str">
        <f t="shared" si="197"/>
        <v/>
      </c>
      <c r="AC410" s="6" t="str">
        <f t="shared" si="198"/>
        <v/>
      </c>
      <c r="AD410" s="1" t="str">
        <f t="shared" ca="1" si="199"/>
        <v/>
      </c>
      <c r="AE410" s="75" t="str">
        <f t="shared" si="200"/>
        <v/>
      </c>
      <c r="AF410" s="75" t="str">
        <f t="shared" si="201"/>
        <v/>
      </c>
      <c r="AG410" s="4" t="str">
        <f t="shared" si="202"/>
        <v/>
      </c>
      <c r="AH410" s="4" t="str">
        <f t="shared" si="203"/>
        <v/>
      </c>
      <c r="AI410" s="4" t="str">
        <f t="shared" si="204"/>
        <v/>
      </c>
      <c r="AJ410" s="4" t="str">
        <f t="shared" si="205"/>
        <v/>
      </c>
      <c r="AK410" s="4" t="str">
        <f t="shared" si="206"/>
        <v/>
      </c>
      <c r="AL410" s="2" t="str">
        <f t="shared" si="207"/>
        <v/>
      </c>
      <c r="AM410" s="6" t="str">
        <f t="shared" si="208"/>
        <v/>
      </c>
      <c r="AN410" s="4" t="str">
        <f t="shared" si="209"/>
        <v/>
      </c>
      <c r="AO410" s="4" t="str">
        <f t="shared" si="210"/>
        <v/>
      </c>
      <c r="AP410" s="4" t="str">
        <f t="shared" si="211"/>
        <v/>
      </c>
      <c r="AQ410" s="4" t="str">
        <f t="shared" si="212"/>
        <v/>
      </c>
      <c r="AR410" s="4" t="str">
        <f t="shared" si="213"/>
        <v/>
      </c>
    </row>
    <row r="411" spans="8:44" s="1" customFormat="1" ht="14.25" x14ac:dyDescent="0.3">
      <c r="H411" s="50"/>
      <c r="J411" s="54"/>
      <c r="L411" s="54"/>
      <c r="R411" s="45"/>
      <c r="S411" s="54"/>
      <c r="T411" s="54"/>
      <c r="U411" s="54"/>
      <c r="V411" s="44"/>
      <c r="W411" s="27"/>
      <c r="Z411" s="27"/>
      <c r="AA411" s="8"/>
      <c r="AB411" s="81" t="str">
        <f t="shared" si="197"/>
        <v/>
      </c>
      <c r="AC411" s="6" t="str">
        <f t="shared" si="198"/>
        <v/>
      </c>
      <c r="AD411" s="1" t="str">
        <f t="shared" ca="1" si="199"/>
        <v/>
      </c>
      <c r="AE411" s="75" t="str">
        <f t="shared" si="200"/>
        <v/>
      </c>
      <c r="AF411" s="75" t="str">
        <f t="shared" si="201"/>
        <v/>
      </c>
      <c r="AG411" s="4" t="str">
        <f t="shared" si="202"/>
        <v/>
      </c>
      <c r="AH411" s="4" t="str">
        <f t="shared" si="203"/>
        <v/>
      </c>
      <c r="AI411" s="4" t="str">
        <f t="shared" si="204"/>
        <v/>
      </c>
      <c r="AJ411" s="4" t="str">
        <f t="shared" si="205"/>
        <v/>
      </c>
      <c r="AK411" s="4" t="str">
        <f t="shared" si="206"/>
        <v/>
      </c>
      <c r="AL411" s="2" t="str">
        <f t="shared" si="207"/>
        <v/>
      </c>
      <c r="AM411" s="6" t="str">
        <f t="shared" si="208"/>
        <v/>
      </c>
      <c r="AN411" s="4" t="str">
        <f t="shared" si="209"/>
        <v/>
      </c>
      <c r="AO411" s="4" t="str">
        <f t="shared" si="210"/>
        <v/>
      </c>
      <c r="AP411" s="4" t="str">
        <f t="shared" si="211"/>
        <v/>
      </c>
      <c r="AQ411" s="4" t="str">
        <f t="shared" si="212"/>
        <v/>
      </c>
      <c r="AR411" s="4" t="str">
        <f t="shared" si="213"/>
        <v/>
      </c>
    </row>
    <row r="412" spans="8:44" s="1" customFormat="1" ht="14.25" x14ac:dyDescent="0.3">
      <c r="H412" s="50"/>
      <c r="J412" s="54"/>
      <c r="L412" s="54"/>
      <c r="R412" s="45"/>
      <c r="S412" s="54"/>
      <c r="T412" s="54"/>
      <c r="U412" s="54"/>
      <c r="V412" s="44"/>
      <c r="W412" s="27"/>
      <c r="Z412" s="27"/>
      <c r="AA412" s="8"/>
      <c r="AB412" s="81" t="str">
        <f t="shared" si="197"/>
        <v/>
      </c>
      <c r="AC412" s="6" t="str">
        <f t="shared" si="198"/>
        <v/>
      </c>
      <c r="AD412" s="1" t="str">
        <f t="shared" ca="1" si="199"/>
        <v/>
      </c>
      <c r="AE412" s="75" t="str">
        <f t="shared" si="200"/>
        <v/>
      </c>
      <c r="AF412" s="75" t="str">
        <f t="shared" si="201"/>
        <v/>
      </c>
      <c r="AG412" s="4" t="str">
        <f t="shared" si="202"/>
        <v/>
      </c>
      <c r="AH412" s="4" t="str">
        <f t="shared" si="203"/>
        <v/>
      </c>
      <c r="AI412" s="4" t="str">
        <f t="shared" si="204"/>
        <v/>
      </c>
      <c r="AJ412" s="4" t="str">
        <f t="shared" si="205"/>
        <v/>
      </c>
      <c r="AK412" s="4" t="str">
        <f t="shared" si="206"/>
        <v/>
      </c>
      <c r="AL412" s="2" t="str">
        <f t="shared" si="207"/>
        <v/>
      </c>
      <c r="AM412" s="6" t="str">
        <f t="shared" si="208"/>
        <v/>
      </c>
      <c r="AN412" s="4" t="str">
        <f t="shared" si="209"/>
        <v/>
      </c>
      <c r="AO412" s="4" t="str">
        <f t="shared" si="210"/>
        <v/>
      </c>
      <c r="AP412" s="4" t="str">
        <f t="shared" si="211"/>
        <v/>
      </c>
      <c r="AQ412" s="4" t="str">
        <f t="shared" si="212"/>
        <v/>
      </c>
      <c r="AR412" s="4" t="str">
        <f t="shared" si="213"/>
        <v/>
      </c>
    </row>
    <row r="413" spans="8:44" s="1" customFormat="1" ht="14.25" x14ac:dyDescent="0.3">
      <c r="H413" s="50"/>
      <c r="J413" s="54"/>
      <c r="L413" s="54"/>
      <c r="R413" s="45"/>
      <c r="S413" s="54"/>
      <c r="T413" s="54"/>
      <c r="U413" s="54"/>
      <c r="V413" s="44"/>
      <c r="W413" s="27"/>
      <c r="Z413" s="27"/>
      <c r="AA413" s="8"/>
      <c r="AB413" s="81" t="str">
        <f t="shared" si="197"/>
        <v/>
      </c>
      <c r="AC413" s="6" t="str">
        <f t="shared" si="198"/>
        <v/>
      </c>
      <c r="AD413" s="1" t="str">
        <f t="shared" ca="1" si="199"/>
        <v/>
      </c>
      <c r="AE413" s="75" t="str">
        <f t="shared" si="200"/>
        <v/>
      </c>
      <c r="AF413" s="75" t="str">
        <f t="shared" si="201"/>
        <v/>
      </c>
      <c r="AG413" s="4" t="str">
        <f t="shared" si="202"/>
        <v/>
      </c>
      <c r="AH413" s="4" t="str">
        <f t="shared" si="203"/>
        <v/>
      </c>
      <c r="AI413" s="4" t="str">
        <f t="shared" si="204"/>
        <v/>
      </c>
      <c r="AJ413" s="4" t="str">
        <f t="shared" si="205"/>
        <v/>
      </c>
      <c r="AK413" s="4" t="str">
        <f t="shared" si="206"/>
        <v/>
      </c>
      <c r="AL413" s="2" t="str">
        <f t="shared" si="207"/>
        <v/>
      </c>
      <c r="AM413" s="6" t="str">
        <f t="shared" si="208"/>
        <v/>
      </c>
      <c r="AN413" s="4" t="str">
        <f t="shared" si="209"/>
        <v/>
      </c>
      <c r="AO413" s="4" t="str">
        <f t="shared" si="210"/>
        <v/>
      </c>
      <c r="AP413" s="4" t="str">
        <f t="shared" si="211"/>
        <v/>
      </c>
      <c r="AQ413" s="4" t="str">
        <f t="shared" si="212"/>
        <v/>
      </c>
      <c r="AR413" s="4" t="str">
        <f t="shared" si="213"/>
        <v/>
      </c>
    </row>
    <row r="414" spans="8:44" s="1" customFormat="1" ht="14.25" x14ac:dyDescent="0.3">
      <c r="H414" s="50"/>
      <c r="J414" s="54"/>
      <c r="L414" s="54"/>
      <c r="R414" s="45"/>
      <c r="S414" s="54"/>
      <c r="T414" s="54"/>
      <c r="U414" s="54"/>
      <c r="V414" s="44"/>
      <c r="W414" s="27"/>
      <c r="Z414" s="27"/>
      <c r="AA414" s="8"/>
      <c r="AB414" s="81" t="str">
        <f t="shared" si="197"/>
        <v/>
      </c>
      <c r="AC414" s="6" t="str">
        <f t="shared" si="198"/>
        <v/>
      </c>
      <c r="AD414" s="1" t="str">
        <f t="shared" ca="1" si="199"/>
        <v/>
      </c>
      <c r="AE414" s="75" t="str">
        <f t="shared" si="200"/>
        <v/>
      </c>
      <c r="AF414" s="75" t="str">
        <f t="shared" si="201"/>
        <v/>
      </c>
      <c r="AG414" s="4" t="str">
        <f t="shared" si="202"/>
        <v/>
      </c>
      <c r="AH414" s="4" t="str">
        <f t="shared" si="203"/>
        <v/>
      </c>
      <c r="AI414" s="4" t="str">
        <f t="shared" si="204"/>
        <v/>
      </c>
      <c r="AJ414" s="4" t="str">
        <f t="shared" si="205"/>
        <v/>
      </c>
      <c r="AK414" s="4" t="str">
        <f t="shared" si="206"/>
        <v/>
      </c>
      <c r="AL414" s="2" t="str">
        <f t="shared" si="207"/>
        <v/>
      </c>
      <c r="AM414" s="6" t="str">
        <f t="shared" si="208"/>
        <v/>
      </c>
      <c r="AN414" s="4" t="str">
        <f t="shared" si="209"/>
        <v/>
      </c>
      <c r="AO414" s="4" t="str">
        <f t="shared" si="210"/>
        <v/>
      </c>
      <c r="AP414" s="4" t="str">
        <f t="shared" si="211"/>
        <v/>
      </c>
      <c r="AQ414" s="4" t="str">
        <f t="shared" si="212"/>
        <v/>
      </c>
      <c r="AR414" s="4" t="str">
        <f t="shared" si="213"/>
        <v/>
      </c>
    </row>
    <row r="415" spans="8:44" s="1" customFormat="1" ht="14.25" x14ac:dyDescent="0.3">
      <c r="H415" s="50"/>
      <c r="J415" s="54"/>
      <c r="L415" s="54"/>
      <c r="R415" s="45"/>
      <c r="S415" s="54"/>
      <c r="T415" s="54"/>
      <c r="U415" s="54"/>
      <c r="V415" s="44"/>
      <c r="W415" s="27"/>
      <c r="Z415" s="27"/>
      <c r="AA415" s="8"/>
      <c r="AB415" s="81" t="str">
        <f t="shared" si="197"/>
        <v/>
      </c>
      <c r="AC415" s="6" t="str">
        <f t="shared" si="198"/>
        <v/>
      </c>
      <c r="AD415" s="1" t="str">
        <f t="shared" ca="1" si="199"/>
        <v/>
      </c>
      <c r="AE415" s="75" t="str">
        <f t="shared" si="200"/>
        <v/>
      </c>
      <c r="AF415" s="75" t="str">
        <f t="shared" si="201"/>
        <v/>
      </c>
      <c r="AG415" s="4" t="str">
        <f t="shared" si="202"/>
        <v/>
      </c>
      <c r="AH415" s="4" t="str">
        <f t="shared" si="203"/>
        <v/>
      </c>
      <c r="AI415" s="4" t="str">
        <f t="shared" si="204"/>
        <v/>
      </c>
      <c r="AJ415" s="4" t="str">
        <f t="shared" si="205"/>
        <v/>
      </c>
      <c r="AK415" s="4" t="str">
        <f t="shared" si="206"/>
        <v/>
      </c>
      <c r="AL415" s="2" t="str">
        <f t="shared" si="207"/>
        <v/>
      </c>
      <c r="AM415" s="6" t="str">
        <f t="shared" si="208"/>
        <v/>
      </c>
      <c r="AN415" s="4" t="str">
        <f t="shared" si="209"/>
        <v/>
      </c>
      <c r="AO415" s="4" t="str">
        <f t="shared" si="210"/>
        <v/>
      </c>
      <c r="AP415" s="4" t="str">
        <f t="shared" si="211"/>
        <v/>
      </c>
      <c r="AQ415" s="4" t="str">
        <f t="shared" si="212"/>
        <v/>
      </c>
      <c r="AR415" s="4" t="str">
        <f t="shared" si="213"/>
        <v/>
      </c>
    </row>
    <row r="416" spans="8:44" s="1" customFormat="1" ht="14.25" x14ac:dyDescent="0.3">
      <c r="H416" s="50"/>
      <c r="J416" s="54"/>
      <c r="L416" s="54"/>
      <c r="R416" s="45"/>
      <c r="S416" s="54"/>
      <c r="T416" s="54"/>
      <c r="U416" s="54"/>
      <c r="V416" s="44"/>
      <c r="W416" s="27"/>
      <c r="Z416" s="27"/>
      <c r="AA416" s="8"/>
      <c r="AB416" s="81" t="str">
        <f t="shared" si="197"/>
        <v/>
      </c>
      <c r="AC416" s="6" t="str">
        <f t="shared" si="198"/>
        <v/>
      </c>
      <c r="AD416" s="1" t="str">
        <f t="shared" ca="1" si="199"/>
        <v/>
      </c>
      <c r="AE416" s="75" t="str">
        <f t="shared" si="200"/>
        <v/>
      </c>
      <c r="AF416" s="75" t="str">
        <f t="shared" si="201"/>
        <v/>
      </c>
      <c r="AG416" s="4" t="str">
        <f t="shared" si="202"/>
        <v/>
      </c>
      <c r="AH416" s="4" t="str">
        <f t="shared" si="203"/>
        <v/>
      </c>
      <c r="AI416" s="4" t="str">
        <f t="shared" si="204"/>
        <v/>
      </c>
      <c r="AJ416" s="4" t="str">
        <f t="shared" si="205"/>
        <v/>
      </c>
      <c r="AK416" s="4" t="str">
        <f t="shared" si="206"/>
        <v/>
      </c>
      <c r="AL416" s="2" t="str">
        <f t="shared" si="207"/>
        <v/>
      </c>
      <c r="AM416" s="6" t="str">
        <f t="shared" si="208"/>
        <v/>
      </c>
      <c r="AN416" s="4" t="str">
        <f t="shared" si="209"/>
        <v/>
      </c>
      <c r="AO416" s="4" t="str">
        <f t="shared" si="210"/>
        <v/>
      </c>
      <c r="AP416" s="4" t="str">
        <f t="shared" si="211"/>
        <v/>
      </c>
      <c r="AQ416" s="4" t="str">
        <f t="shared" si="212"/>
        <v/>
      </c>
      <c r="AR416" s="4" t="str">
        <f t="shared" si="213"/>
        <v/>
      </c>
    </row>
    <row r="417" spans="8:44" s="1" customFormat="1" ht="14.25" x14ac:dyDescent="0.3">
      <c r="H417" s="50"/>
      <c r="J417" s="54"/>
      <c r="L417" s="54"/>
      <c r="R417" s="45"/>
      <c r="S417" s="54"/>
      <c r="T417" s="54"/>
      <c r="U417" s="54"/>
      <c r="V417" s="44"/>
      <c r="W417" s="27"/>
      <c r="Z417" s="27"/>
      <c r="AA417" s="8"/>
      <c r="AB417" s="81" t="str">
        <f t="shared" si="197"/>
        <v/>
      </c>
      <c r="AC417" s="6" t="str">
        <f t="shared" si="198"/>
        <v/>
      </c>
      <c r="AD417" s="1" t="str">
        <f t="shared" ca="1" si="199"/>
        <v/>
      </c>
      <c r="AE417" s="75" t="str">
        <f t="shared" si="200"/>
        <v/>
      </c>
      <c r="AF417" s="75" t="str">
        <f t="shared" si="201"/>
        <v/>
      </c>
      <c r="AG417" s="4" t="str">
        <f t="shared" si="202"/>
        <v/>
      </c>
      <c r="AH417" s="4" t="str">
        <f t="shared" si="203"/>
        <v/>
      </c>
      <c r="AI417" s="4" t="str">
        <f t="shared" si="204"/>
        <v/>
      </c>
      <c r="AJ417" s="4" t="str">
        <f t="shared" si="205"/>
        <v/>
      </c>
      <c r="AK417" s="4" t="str">
        <f t="shared" si="206"/>
        <v/>
      </c>
      <c r="AL417" s="2" t="str">
        <f t="shared" si="207"/>
        <v/>
      </c>
      <c r="AM417" s="6" t="str">
        <f t="shared" si="208"/>
        <v/>
      </c>
      <c r="AN417" s="4" t="str">
        <f t="shared" si="209"/>
        <v/>
      </c>
      <c r="AO417" s="4" t="str">
        <f t="shared" si="210"/>
        <v/>
      </c>
      <c r="AP417" s="4" t="str">
        <f t="shared" si="211"/>
        <v/>
      </c>
      <c r="AQ417" s="4" t="str">
        <f t="shared" si="212"/>
        <v/>
      </c>
      <c r="AR417" s="4" t="str">
        <f t="shared" si="213"/>
        <v/>
      </c>
    </row>
    <row r="418" spans="8:44" s="1" customFormat="1" ht="14.25" x14ac:dyDescent="0.3">
      <c r="H418" s="50"/>
      <c r="J418" s="54"/>
      <c r="L418" s="54"/>
      <c r="R418" s="45"/>
      <c r="S418" s="54"/>
      <c r="T418" s="54"/>
      <c r="U418" s="54"/>
      <c r="V418" s="44"/>
      <c r="W418" s="27"/>
      <c r="Z418" s="27"/>
      <c r="AA418" s="8"/>
      <c r="AB418" s="81" t="str">
        <f t="shared" si="197"/>
        <v/>
      </c>
      <c r="AC418" s="6" t="str">
        <f t="shared" si="198"/>
        <v/>
      </c>
      <c r="AD418" s="1" t="str">
        <f t="shared" ca="1" si="199"/>
        <v/>
      </c>
      <c r="AE418" s="75" t="str">
        <f t="shared" si="200"/>
        <v/>
      </c>
      <c r="AF418" s="75" t="str">
        <f t="shared" si="201"/>
        <v/>
      </c>
      <c r="AG418" s="4" t="str">
        <f t="shared" si="202"/>
        <v/>
      </c>
      <c r="AH418" s="4" t="str">
        <f t="shared" si="203"/>
        <v/>
      </c>
      <c r="AI418" s="4" t="str">
        <f t="shared" si="204"/>
        <v/>
      </c>
      <c r="AJ418" s="4" t="str">
        <f t="shared" si="205"/>
        <v/>
      </c>
      <c r="AK418" s="4" t="str">
        <f t="shared" si="206"/>
        <v/>
      </c>
      <c r="AL418" s="2" t="str">
        <f t="shared" si="207"/>
        <v/>
      </c>
      <c r="AM418" s="6" t="str">
        <f t="shared" si="208"/>
        <v/>
      </c>
      <c r="AN418" s="4" t="str">
        <f t="shared" si="209"/>
        <v/>
      </c>
      <c r="AO418" s="4" t="str">
        <f t="shared" si="210"/>
        <v/>
      </c>
      <c r="AP418" s="4" t="str">
        <f t="shared" si="211"/>
        <v/>
      </c>
      <c r="AQ418" s="4" t="str">
        <f t="shared" si="212"/>
        <v/>
      </c>
      <c r="AR418" s="4" t="str">
        <f t="shared" si="213"/>
        <v/>
      </c>
    </row>
    <row r="419" spans="8:44" s="1" customFormat="1" ht="14.25" x14ac:dyDescent="0.3">
      <c r="H419" s="50"/>
      <c r="J419" s="54"/>
      <c r="L419" s="54"/>
      <c r="R419" s="45"/>
      <c r="S419" s="54"/>
      <c r="T419" s="54"/>
      <c r="U419" s="54"/>
      <c r="V419" s="44"/>
      <c r="W419" s="27"/>
      <c r="Z419" s="27"/>
      <c r="AA419" s="8"/>
      <c r="AB419" s="81" t="str">
        <f t="shared" si="197"/>
        <v/>
      </c>
      <c r="AC419" s="6" t="str">
        <f t="shared" si="198"/>
        <v/>
      </c>
      <c r="AD419" s="1" t="str">
        <f t="shared" ca="1" si="199"/>
        <v/>
      </c>
      <c r="AE419" s="75" t="str">
        <f t="shared" si="200"/>
        <v/>
      </c>
      <c r="AF419" s="75" t="str">
        <f t="shared" si="201"/>
        <v/>
      </c>
      <c r="AG419" s="4" t="str">
        <f t="shared" si="202"/>
        <v/>
      </c>
      <c r="AH419" s="4" t="str">
        <f t="shared" si="203"/>
        <v/>
      </c>
      <c r="AI419" s="4" t="str">
        <f t="shared" si="204"/>
        <v/>
      </c>
      <c r="AJ419" s="4" t="str">
        <f t="shared" si="205"/>
        <v/>
      </c>
      <c r="AK419" s="4" t="str">
        <f t="shared" si="206"/>
        <v/>
      </c>
      <c r="AL419" s="2" t="str">
        <f t="shared" si="207"/>
        <v/>
      </c>
      <c r="AM419" s="6" t="str">
        <f t="shared" si="208"/>
        <v/>
      </c>
      <c r="AN419" s="4" t="str">
        <f t="shared" si="209"/>
        <v/>
      </c>
      <c r="AO419" s="4" t="str">
        <f t="shared" si="210"/>
        <v/>
      </c>
      <c r="AP419" s="4" t="str">
        <f t="shared" si="211"/>
        <v/>
      </c>
      <c r="AQ419" s="4" t="str">
        <f t="shared" si="212"/>
        <v/>
      </c>
      <c r="AR419" s="4" t="str">
        <f t="shared" si="213"/>
        <v/>
      </c>
    </row>
    <row r="420" spans="8:44" s="1" customFormat="1" ht="14.25" x14ac:dyDescent="0.3">
      <c r="H420" s="50"/>
      <c r="J420" s="54"/>
      <c r="L420" s="54"/>
      <c r="R420" s="45"/>
      <c r="S420" s="54"/>
      <c r="T420" s="54"/>
      <c r="U420" s="54"/>
      <c r="V420" s="44"/>
      <c r="W420" s="27"/>
      <c r="Z420" s="27"/>
      <c r="AA420" s="8"/>
      <c r="AB420" s="81" t="str">
        <f t="shared" si="197"/>
        <v/>
      </c>
      <c r="AC420" s="6" t="str">
        <f t="shared" si="198"/>
        <v/>
      </c>
      <c r="AD420" s="1" t="str">
        <f t="shared" ca="1" si="199"/>
        <v/>
      </c>
      <c r="AE420" s="75" t="str">
        <f t="shared" si="200"/>
        <v/>
      </c>
      <c r="AF420" s="75" t="str">
        <f t="shared" si="201"/>
        <v/>
      </c>
      <c r="AG420" s="4" t="str">
        <f t="shared" si="202"/>
        <v/>
      </c>
      <c r="AH420" s="4" t="str">
        <f t="shared" si="203"/>
        <v/>
      </c>
      <c r="AI420" s="4" t="str">
        <f t="shared" si="204"/>
        <v/>
      </c>
      <c r="AJ420" s="4" t="str">
        <f t="shared" si="205"/>
        <v/>
      </c>
      <c r="AK420" s="4" t="str">
        <f t="shared" si="206"/>
        <v/>
      </c>
      <c r="AL420" s="2" t="str">
        <f t="shared" si="207"/>
        <v/>
      </c>
      <c r="AM420" s="6" t="str">
        <f t="shared" si="208"/>
        <v/>
      </c>
      <c r="AN420" s="4" t="str">
        <f t="shared" si="209"/>
        <v/>
      </c>
      <c r="AO420" s="4" t="str">
        <f t="shared" si="210"/>
        <v/>
      </c>
      <c r="AP420" s="4" t="str">
        <f t="shared" si="211"/>
        <v/>
      </c>
      <c r="AQ420" s="4" t="str">
        <f t="shared" si="212"/>
        <v/>
      </c>
      <c r="AR420" s="4" t="str">
        <f t="shared" si="213"/>
        <v/>
      </c>
    </row>
    <row r="421" spans="8:44" s="1" customFormat="1" ht="14.25" x14ac:dyDescent="0.3">
      <c r="H421" s="50"/>
      <c r="J421" s="54"/>
      <c r="L421" s="54"/>
      <c r="R421" s="45"/>
      <c r="S421" s="54"/>
      <c r="T421" s="54"/>
      <c r="U421" s="54"/>
      <c r="V421" s="44"/>
      <c r="W421" s="27"/>
      <c r="Z421" s="27"/>
      <c r="AA421" s="8"/>
      <c r="AB421" s="81" t="str">
        <f t="shared" si="197"/>
        <v/>
      </c>
      <c r="AC421" s="6" t="str">
        <f t="shared" si="198"/>
        <v/>
      </c>
      <c r="AD421" s="1" t="str">
        <f t="shared" ca="1" si="199"/>
        <v/>
      </c>
      <c r="AE421" s="75" t="str">
        <f t="shared" si="200"/>
        <v/>
      </c>
      <c r="AF421" s="75" t="str">
        <f t="shared" si="201"/>
        <v/>
      </c>
      <c r="AG421" s="4" t="str">
        <f t="shared" si="202"/>
        <v/>
      </c>
      <c r="AH421" s="4" t="str">
        <f t="shared" si="203"/>
        <v/>
      </c>
      <c r="AI421" s="4" t="str">
        <f t="shared" si="204"/>
        <v/>
      </c>
      <c r="AJ421" s="4" t="str">
        <f t="shared" si="205"/>
        <v/>
      </c>
      <c r="AK421" s="4" t="str">
        <f t="shared" si="206"/>
        <v/>
      </c>
      <c r="AL421" s="2" t="str">
        <f t="shared" si="207"/>
        <v/>
      </c>
      <c r="AM421" s="6" t="str">
        <f t="shared" si="208"/>
        <v/>
      </c>
      <c r="AN421" s="4" t="str">
        <f t="shared" si="209"/>
        <v/>
      </c>
      <c r="AO421" s="4" t="str">
        <f t="shared" si="210"/>
        <v/>
      </c>
      <c r="AP421" s="4" t="str">
        <f t="shared" si="211"/>
        <v/>
      </c>
      <c r="AQ421" s="4" t="str">
        <f t="shared" si="212"/>
        <v/>
      </c>
      <c r="AR421" s="4" t="str">
        <f t="shared" si="213"/>
        <v/>
      </c>
    </row>
    <row r="422" spans="8:44" s="1" customFormat="1" ht="14.25" x14ac:dyDescent="0.3">
      <c r="H422" s="50"/>
      <c r="J422" s="54"/>
      <c r="L422" s="54"/>
      <c r="R422" s="45"/>
      <c r="S422" s="54"/>
      <c r="T422" s="54"/>
      <c r="U422" s="54"/>
      <c r="V422" s="44"/>
      <c r="W422" s="27"/>
      <c r="Z422" s="27"/>
      <c r="AA422" s="8"/>
      <c r="AB422" s="81" t="str">
        <f t="shared" si="197"/>
        <v/>
      </c>
      <c r="AC422" s="6" t="str">
        <f t="shared" si="198"/>
        <v/>
      </c>
      <c r="AD422" s="1" t="str">
        <f t="shared" ca="1" si="199"/>
        <v/>
      </c>
      <c r="AE422" s="75" t="str">
        <f t="shared" si="200"/>
        <v/>
      </c>
      <c r="AF422" s="75" t="str">
        <f t="shared" si="201"/>
        <v/>
      </c>
      <c r="AG422" s="4" t="str">
        <f t="shared" si="202"/>
        <v/>
      </c>
      <c r="AH422" s="4" t="str">
        <f t="shared" si="203"/>
        <v/>
      </c>
      <c r="AI422" s="4" t="str">
        <f t="shared" si="204"/>
        <v/>
      </c>
      <c r="AJ422" s="4" t="str">
        <f t="shared" si="205"/>
        <v/>
      </c>
      <c r="AK422" s="4" t="str">
        <f t="shared" si="206"/>
        <v/>
      </c>
      <c r="AL422" s="2" t="str">
        <f t="shared" si="207"/>
        <v/>
      </c>
      <c r="AM422" s="6" t="str">
        <f t="shared" si="208"/>
        <v/>
      </c>
      <c r="AN422" s="4" t="str">
        <f t="shared" si="209"/>
        <v/>
      </c>
      <c r="AO422" s="4" t="str">
        <f t="shared" si="210"/>
        <v/>
      </c>
      <c r="AP422" s="4" t="str">
        <f t="shared" si="211"/>
        <v/>
      </c>
      <c r="AQ422" s="4" t="str">
        <f t="shared" si="212"/>
        <v/>
      </c>
      <c r="AR422" s="4" t="str">
        <f t="shared" si="213"/>
        <v/>
      </c>
    </row>
    <row r="423" spans="8:44" s="1" customFormat="1" ht="14.25" x14ac:dyDescent="0.3">
      <c r="H423" s="50"/>
      <c r="J423" s="54"/>
      <c r="L423" s="54"/>
      <c r="R423" s="45"/>
      <c r="S423" s="54"/>
      <c r="T423" s="54"/>
      <c r="U423" s="54"/>
      <c r="V423" s="44"/>
      <c r="W423" s="27"/>
      <c r="Z423" s="27"/>
      <c r="AA423" s="8"/>
      <c r="AB423" s="81" t="str">
        <f t="shared" si="197"/>
        <v/>
      </c>
      <c r="AC423" s="6" t="str">
        <f t="shared" si="198"/>
        <v/>
      </c>
      <c r="AD423" s="1" t="str">
        <f t="shared" ca="1" si="199"/>
        <v/>
      </c>
      <c r="AE423" s="75" t="str">
        <f t="shared" si="200"/>
        <v/>
      </c>
      <c r="AF423" s="75" t="str">
        <f t="shared" si="201"/>
        <v/>
      </c>
      <c r="AG423" s="4" t="str">
        <f t="shared" si="202"/>
        <v/>
      </c>
      <c r="AH423" s="4" t="str">
        <f t="shared" si="203"/>
        <v/>
      </c>
      <c r="AI423" s="4" t="str">
        <f t="shared" si="204"/>
        <v/>
      </c>
      <c r="AJ423" s="4" t="str">
        <f t="shared" si="205"/>
        <v/>
      </c>
      <c r="AK423" s="4" t="str">
        <f t="shared" si="206"/>
        <v/>
      </c>
      <c r="AL423" s="2" t="str">
        <f t="shared" si="207"/>
        <v/>
      </c>
      <c r="AM423" s="6" t="str">
        <f t="shared" si="208"/>
        <v/>
      </c>
      <c r="AN423" s="4" t="str">
        <f t="shared" si="209"/>
        <v/>
      </c>
      <c r="AO423" s="4" t="str">
        <f t="shared" si="210"/>
        <v/>
      </c>
      <c r="AP423" s="4" t="str">
        <f t="shared" si="211"/>
        <v/>
      </c>
      <c r="AQ423" s="4" t="str">
        <f t="shared" si="212"/>
        <v/>
      </c>
      <c r="AR423" s="4" t="str">
        <f t="shared" si="213"/>
        <v/>
      </c>
    </row>
    <row r="424" spans="8:44" s="1" customFormat="1" ht="14.25" x14ac:dyDescent="0.3">
      <c r="H424" s="50"/>
      <c r="J424" s="54"/>
      <c r="L424" s="54"/>
      <c r="R424" s="45"/>
      <c r="S424" s="54"/>
      <c r="T424" s="54"/>
      <c r="U424" s="54"/>
      <c r="V424" s="44"/>
      <c r="W424" s="27"/>
      <c r="Z424" s="27"/>
      <c r="AA424" s="8"/>
      <c r="AB424" s="81" t="str">
        <f t="shared" si="197"/>
        <v/>
      </c>
      <c r="AC424" s="6" t="str">
        <f t="shared" si="198"/>
        <v/>
      </c>
      <c r="AD424" s="1" t="str">
        <f t="shared" ca="1" si="199"/>
        <v/>
      </c>
      <c r="AE424" s="75" t="str">
        <f t="shared" si="200"/>
        <v/>
      </c>
      <c r="AF424" s="75" t="str">
        <f t="shared" si="201"/>
        <v/>
      </c>
      <c r="AG424" s="4" t="str">
        <f t="shared" si="202"/>
        <v/>
      </c>
      <c r="AH424" s="4" t="str">
        <f t="shared" si="203"/>
        <v/>
      </c>
      <c r="AI424" s="4" t="str">
        <f t="shared" si="204"/>
        <v/>
      </c>
      <c r="AJ424" s="4" t="str">
        <f t="shared" si="205"/>
        <v/>
      </c>
      <c r="AK424" s="4" t="str">
        <f t="shared" si="206"/>
        <v/>
      </c>
      <c r="AL424" s="2" t="str">
        <f t="shared" si="207"/>
        <v/>
      </c>
      <c r="AM424" s="6" t="str">
        <f t="shared" si="208"/>
        <v/>
      </c>
      <c r="AN424" s="4" t="str">
        <f t="shared" si="209"/>
        <v/>
      </c>
      <c r="AO424" s="4" t="str">
        <f t="shared" si="210"/>
        <v/>
      </c>
      <c r="AP424" s="4" t="str">
        <f t="shared" si="211"/>
        <v/>
      </c>
      <c r="AQ424" s="4" t="str">
        <f t="shared" si="212"/>
        <v/>
      </c>
      <c r="AR424" s="4" t="str">
        <f t="shared" si="213"/>
        <v/>
      </c>
    </row>
    <row r="425" spans="8:44" s="1" customFormat="1" ht="14.25" x14ac:dyDescent="0.3">
      <c r="H425" s="50"/>
      <c r="J425" s="54"/>
      <c r="L425" s="54"/>
      <c r="R425" s="45"/>
      <c r="S425" s="54"/>
      <c r="T425" s="54"/>
      <c r="U425" s="54"/>
      <c r="V425" s="44"/>
      <c r="W425" s="27"/>
      <c r="Z425" s="27"/>
      <c r="AA425" s="8"/>
      <c r="AB425" s="81" t="str">
        <f t="shared" si="197"/>
        <v/>
      </c>
      <c r="AC425" s="6" t="str">
        <f t="shared" si="198"/>
        <v/>
      </c>
      <c r="AD425" s="1" t="str">
        <f t="shared" ca="1" si="199"/>
        <v/>
      </c>
      <c r="AE425" s="75" t="str">
        <f t="shared" si="200"/>
        <v/>
      </c>
      <c r="AF425" s="75" t="str">
        <f t="shared" si="201"/>
        <v/>
      </c>
      <c r="AG425" s="4" t="str">
        <f t="shared" si="202"/>
        <v/>
      </c>
      <c r="AH425" s="4" t="str">
        <f t="shared" si="203"/>
        <v/>
      </c>
      <c r="AI425" s="4" t="str">
        <f t="shared" si="204"/>
        <v/>
      </c>
      <c r="AJ425" s="4" t="str">
        <f t="shared" si="205"/>
        <v/>
      </c>
      <c r="AK425" s="4" t="str">
        <f t="shared" si="206"/>
        <v/>
      </c>
      <c r="AL425" s="2" t="str">
        <f t="shared" si="207"/>
        <v/>
      </c>
      <c r="AM425" s="6" t="str">
        <f t="shared" si="208"/>
        <v/>
      </c>
      <c r="AN425" s="4" t="str">
        <f t="shared" si="209"/>
        <v/>
      </c>
      <c r="AO425" s="4" t="str">
        <f t="shared" si="210"/>
        <v/>
      </c>
      <c r="AP425" s="4" t="str">
        <f t="shared" si="211"/>
        <v/>
      </c>
      <c r="AQ425" s="4" t="str">
        <f t="shared" si="212"/>
        <v/>
      </c>
      <c r="AR425" s="4" t="str">
        <f t="shared" si="213"/>
        <v/>
      </c>
    </row>
    <row r="426" spans="8:44" s="1" customFormat="1" ht="14.25" x14ac:dyDescent="0.3">
      <c r="H426" s="50"/>
      <c r="J426" s="54"/>
      <c r="L426" s="54"/>
      <c r="R426" s="45"/>
      <c r="S426" s="54"/>
      <c r="T426" s="54"/>
      <c r="U426" s="54"/>
      <c r="V426" s="44"/>
      <c r="W426" s="27"/>
      <c r="Z426" s="27"/>
      <c r="AA426" s="8"/>
      <c r="AB426" s="81" t="str">
        <f t="shared" si="197"/>
        <v/>
      </c>
      <c r="AC426" s="6" t="str">
        <f t="shared" si="198"/>
        <v/>
      </c>
      <c r="AD426" s="1" t="str">
        <f t="shared" ca="1" si="199"/>
        <v/>
      </c>
      <c r="AE426" s="75" t="str">
        <f t="shared" si="200"/>
        <v/>
      </c>
      <c r="AF426" s="75" t="str">
        <f t="shared" si="201"/>
        <v/>
      </c>
      <c r="AG426" s="4" t="str">
        <f t="shared" si="202"/>
        <v/>
      </c>
      <c r="AH426" s="4" t="str">
        <f t="shared" si="203"/>
        <v/>
      </c>
      <c r="AI426" s="4" t="str">
        <f t="shared" si="204"/>
        <v/>
      </c>
      <c r="AJ426" s="4" t="str">
        <f t="shared" si="205"/>
        <v/>
      </c>
      <c r="AK426" s="4" t="str">
        <f t="shared" si="206"/>
        <v/>
      </c>
      <c r="AL426" s="2" t="str">
        <f t="shared" si="207"/>
        <v/>
      </c>
      <c r="AM426" s="6" t="str">
        <f t="shared" si="208"/>
        <v/>
      </c>
      <c r="AN426" s="4" t="str">
        <f t="shared" si="209"/>
        <v/>
      </c>
      <c r="AO426" s="4" t="str">
        <f t="shared" si="210"/>
        <v/>
      </c>
      <c r="AP426" s="4" t="str">
        <f t="shared" si="211"/>
        <v/>
      </c>
      <c r="AQ426" s="4" t="str">
        <f t="shared" si="212"/>
        <v/>
      </c>
      <c r="AR426" s="4" t="str">
        <f t="shared" si="213"/>
        <v/>
      </c>
    </row>
    <row r="427" spans="8:44" s="1" customFormat="1" ht="14.25" x14ac:dyDescent="0.3">
      <c r="H427" s="50"/>
      <c r="J427" s="54"/>
      <c r="L427" s="54"/>
      <c r="R427" s="45"/>
      <c r="S427" s="54"/>
      <c r="T427" s="54"/>
      <c r="U427" s="54"/>
      <c r="V427" s="44"/>
      <c r="W427" s="27"/>
      <c r="Z427" s="27"/>
      <c r="AA427" s="8"/>
      <c r="AB427" s="81" t="str">
        <f t="shared" si="197"/>
        <v/>
      </c>
      <c r="AC427" s="6" t="str">
        <f t="shared" si="198"/>
        <v/>
      </c>
      <c r="AD427" s="1" t="str">
        <f t="shared" ca="1" si="199"/>
        <v/>
      </c>
      <c r="AE427" s="75" t="str">
        <f t="shared" si="200"/>
        <v/>
      </c>
      <c r="AF427" s="75" t="str">
        <f t="shared" si="201"/>
        <v/>
      </c>
      <c r="AG427" s="4" t="str">
        <f t="shared" si="202"/>
        <v/>
      </c>
      <c r="AH427" s="4" t="str">
        <f t="shared" si="203"/>
        <v/>
      </c>
      <c r="AI427" s="4" t="str">
        <f t="shared" si="204"/>
        <v/>
      </c>
      <c r="AJ427" s="4" t="str">
        <f t="shared" si="205"/>
        <v/>
      </c>
      <c r="AK427" s="4" t="str">
        <f t="shared" si="206"/>
        <v/>
      </c>
      <c r="AL427" s="2" t="str">
        <f t="shared" si="207"/>
        <v/>
      </c>
      <c r="AM427" s="6" t="str">
        <f t="shared" si="208"/>
        <v/>
      </c>
      <c r="AN427" s="4" t="str">
        <f t="shared" si="209"/>
        <v/>
      </c>
      <c r="AO427" s="4" t="str">
        <f t="shared" si="210"/>
        <v/>
      </c>
      <c r="AP427" s="4" t="str">
        <f t="shared" si="211"/>
        <v/>
      </c>
      <c r="AQ427" s="4" t="str">
        <f t="shared" si="212"/>
        <v/>
      </c>
      <c r="AR427" s="4" t="str">
        <f t="shared" si="213"/>
        <v/>
      </c>
    </row>
    <row r="428" spans="8:44" s="1" customFormat="1" ht="14.25" x14ac:dyDescent="0.3">
      <c r="H428" s="50"/>
      <c r="J428" s="54"/>
      <c r="L428" s="54"/>
      <c r="R428" s="45"/>
      <c r="S428" s="54"/>
      <c r="T428" s="54"/>
      <c r="U428" s="54"/>
      <c r="V428" s="44"/>
      <c r="W428" s="27"/>
      <c r="Z428" s="27"/>
      <c r="AA428" s="8"/>
      <c r="AB428" s="81" t="str">
        <f t="shared" si="197"/>
        <v/>
      </c>
      <c r="AC428" s="6" t="str">
        <f t="shared" si="198"/>
        <v/>
      </c>
      <c r="AD428" s="1" t="str">
        <f t="shared" ca="1" si="199"/>
        <v/>
      </c>
      <c r="AE428" s="75" t="str">
        <f t="shared" si="200"/>
        <v/>
      </c>
      <c r="AF428" s="75" t="str">
        <f t="shared" si="201"/>
        <v/>
      </c>
      <c r="AG428" s="4" t="str">
        <f t="shared" si="202"/>
        <v/>
      </c>
      <c r="AH428" s="4" t="str">
        <f t="shared" si="203"/>
        <v/>
      </c>
      <c r="AI428" s="4" t="str">
        <f t="shared" si="204"/>
        <v/>
      </c>
      <c r="AJ428" s="4" t="str">
        <f t="shared" si="205"/>
        <v/>
      </c>
      <c r="AK428" s="4" t="str">
        <f t="shared" si="206"/>
        <v/>
      </c>
      <c r="AL428" s="2" t="str">
        <f t="shared" si="207"/>
        <v/>
      </c>
      <c r="AM428" s="6" t="str">
        <f t="shared" si="208"/>
        <v/>
      </c>
      <c r="AN428" s="4" t="str">
        <f t="shared" si="209"/>
        <v/>
      </c>
      <c r="AO428" s="4" t="str">
        <f t="shared" si="210"/>
        <v/>
      </c>
      <c r="AP428" s="4" t="str">
        <f t="shared" si="211"/>
        <v/>
      </c>
      <c r="AQ428" s="4" t="str">
        <f t="shared" si="212"/>
        <v/>
      </c>
      <c r="AR428" s="4" t="str">
        <f t="shared" si="213"/>
        <v/>
      </c>
    </row>
    <row r="429" spans="8:44" s="1" customFormat="1" ht="14.25" x14ac:dyDescent="0.3">
      <c r="H429" s="50"/>
      <c r="J429" s="54"/>
      <c r="L429" s="54"/>
      <c r="R429" s="45"/>
      <c r="S429" s="54"/>
      <c r="T429" s="54"/>
      <c r="U429" s="54"/>
      <c r="V429" s="44"/>
      <c r="W429" s="27"/>
      <c r="Z429" s="27"/>
      <c r="AA429" s="8"/>
      <c r="AB429" s="81" t="str">
        <f t="shared" si="197"/>
        <v/>
      </c>
      <c r="AC429" s="6" t="str">
        <f t="shared" si="198"/>
        <v/>
      </c>
      <c r="AD429" s="1" t="str">
        <f t="shared" ca="1" si="199"/>
        <v/>
      </c>
      <c r="AE429" s="75" t="str">
        <f t="shared" si="200"/>
        <v/>
      </c>
      <c r="AF429" s="75" t="str">
        <f t="shared" si="201"/>
        <v/>
      </c>
      <c r="AG429" s="4" t="str">
        <f t="shared" si="202"/>
        <v/>
      </c>
      <c r="AH429" s="4" t="str">
        <f t="shared" si="203"/>
        <v/>
      </c>
      <c r="AI429" s="4" t="str">
        <f t="shared" si="204"/>
        <v/>
      </c>
      <c r="AJ429" s="4" t="str">
        <f t="shared" si="205"/>
        <v/>
      </c>
      <c r="AK429" s="4" t="str">
        <f t="shared" si="206"/>
        <v/>
      </c>
      <c r="AL429" s="2" t="str">
        <f t="shared" si="207"/>
        <v/>
      </c>
      <c r="AM429" s="6" t="str">
        <f t="shared" si="208"/>
        <v/>
      </c>
      <c r="AN429" s="4" t="str">
        <f t="shared" si="209"/>
        <v/>
      </c>
      <c r="AO429" s="4" t="str">
        <f t="shared" si="210"/>
        <v/>
      </c>
      <c r="AP429" s="4" t="str">
        <f t="shared" si="211"/>
        <v/>
      </c>
      <c r="AQ429" s="4" t="str">
        <f t="shared" si="212"/>
        <v/>
      </c>
      <c r="AR429" s="4" t="str">
        <f t="shared" si="213"/>
        <v/>
      </c>
    </row>
    <row r="430" spans="8:44" s="1" customFormat="1" ht="14.25" x14ac:dyDescent="0.3">
      <c r="H430" s="50"/>
      <c r="J430" s="54"/>
      <c r="L430" s="54"/>
      <c r="R430" s="45"/>
      <c r="S430" s="54"/>
      <c r="T430" s="54"/>
      <c r="U430" s="54"/>
      <c r="V430" s="44"/>
      <c r="W430" s="27"/>
      <c r="Z430" s="27"/>
      <c r="AA430" s="8"/>
      <c r="AB430" s="81" t="str">
        <f t="shared" si="197"/>
        <v/>
      </c>
      <c r="AC430" s="6" t="str">
        <f t="shared" si="198"/>
        <v/>
      </c>
      <c r="AD430" s="1" t="str">
        <f t="shared" ca="1" si="199"/>
        <v/>
      </c>
      <c r="AE430" s="75" t="str">
        <f t="shared" si="200"/>
        <v/>
      </c>
      <c r="AF430" s="75" t="str">
        <f t="shared" si="201"/>
        <v/>
      </c>
      <c r="AG430" s="4" t="str">
        <f t="shared" si="202"/>
        <v/>
      </c>
      <c r="AH430" s="4" t="str">
        <f t="shared" si="203"/>
        <v/>
      </c>
      <c r="AI430" s="4" t="str">
        <f t="shared" si="204"/>
        <v/>
      </c>
      <c r="AJ430" s="4" t="str">
        <f t="shared" si="205"/>
        <v/>
      </c>
      <c r="AK430" s="4" t="str">
        <f t="shared" si="206"/>
        <v/>
      </c>
      <c r="AL430" s="2" t="str">
        <f t="shared" si="207"/>
        <v/>
      </c>
      <c r="AM430" s="6" t="str">
        <f t="shared" si="208"/>
        <v/>
      </c>
      <c r="AN430" s="4" t="str">
        <f t="shared" si="209"/>
        <v/>
      </c>
      <c r="AO430" s="4" t="str">
        <f t="shared" si="210"/>
        <v/>
      </c>
      <c r="AP430" s="4" t="str">
        <f t="shared" si="211"/>
        <v/>
      </c>
      <c r="AQ430" s="4" t="str">
        <f t="shared" si="212"/>
        <v/>
      </c>
      <c r="AR430" s="4" t="str">
        <f t="shared" si="213"/>
        <v/>
      </c>
    </row>
    <row r="431" spans="8:44" s="1" customFormat="1" ht="14.25" x14ac:dyDescent="0.3">
      <c r="H431" s="50"/>
      <c r="J431" s="54"/>
      <c r="L431" s="54"/>
      <c r="R431" s="45"/>
      <c r="S431" s="54"/>
      <c r="T431" s="54"/>
      <c r="U431" s="54"/>
      <c r="V431" s="44"/>
      <c r="W431" s="27"/>
      <c r="Z431" s="27"/>
      <c r="AA431" s="8"/>
      <c r="AB431" s="81" t="str">
        <f t="shared" si="197"/>
        <v/>
      </c>
      <c r="AC431" s="6" t="str">
        <f t="shared" si="198"/>
        <v/>
      </c>
      <c r="AD431" s="1" t="str">
        <f t="shared" ca="1" si="199"/>
        <v/>
      </c>
      <c r="AE431" s="75" t="str">
        <f t="shared" si="200"/>
        <v/>
      </c>
      <c r="AF431" s="75" t="str">
        <f t="shared" si="201"/>
        <v/>
      </c>
      <c r="AG431" s="4" t="str">
        <f t="shared" si="202"/>
        <v/>
      </c>
      <c r="AH431" s="4" t="str">
        <f t="shared" si="203"/>
        <v/>
      </c>
      <c r="AI431" s="4" t="str">
        <f t="shared" si="204"/>
        <v/>
      </c>
      <c r="AJ431" s="4" t="str">
        <f t="shared" si="205"/>
        <v/>
      </c>
      <c r="AK431" s="4" t="str">
        <f t="shared" si="206"/>
        <v/>
      </c>
      <c r="AL431" s="2" t="str">
        <f t="shared" si="207"/>
        <v/>
      </c>
      <c r="AM431" s="6" t="str">
        <f t="shared" si="208"/>
        <v/>
      </c>
      <c r="AN431" s="4" t="str">
        <f t="shared" si="209"/>
        <v/>
      </c>
      <c r="AO431" s="4" t="str">
        <f t="shared" si="210"/>
        <v/>
      </c>
      <c r="AP431" s="4" t="str">
        <f t="shared" si="211"/>
        <v/>
      </c>
      <c r="AQ431" s="4" t="str">
        <f t="shared" si="212"/>
        <v/>
      </c>
      <c r="AR431" s="4" t="str">
        <f t="shared" si="213"/>
        <v/>
      </c>
    </row>
    <row r="432" spans="8:44" s="1" customFormat="1" ht="14.25" x14ac:dyDescent="0.3">
      <c r="H432" s="50"/>
      <c r="J432" s="54"/>
      <c r="L432" s="54"/>
      <c r="R432" s="45"/>
      <c r="S432" s="54"/>
      <c r="T432" s="54"/>
      <c r="U432" s="54"/>
      <c r="V432" s="44"/>
      <c r="W432" s="27"/>
      <c r="Z432" s="27"/>
      <c r="AA432" s="8"/>
      <c r="AB432" s="81" t="str">
        <f t="shared" si="197"/>
        <v/>
      </c>
      <c r="AC432" s="6" t="str">
        <f t="shared" si="198"/>
        <v/>
      </c>
      <c r="AD432" s="1" t="str">
        <f t="shared" ca="1" si="199"/>
        <v/>
      </c>
      <c r="AE432" s="75" t="str">
        <f t="shared" si="200"/>
        <v/>
      </c>
      <c r="AF432" s="75" t="str">
        <f t="shared" si="201"/>
        <v/>
      </c>
      <c r="AG432" s="4" t="str">
        <f t="shared" si="202"/>
        <v/>
      </c>
      <c r="AH432" s="4" t="str">
        <f t="shared" si="203"/>
        <v/>
      </c>
      <c r="AI432" s="4" t="str">
        <f t="shared" si="204"/>
        <v/>
      </c>
      <c r="AJ432" s="4" t="str">
        <f t="shared" si="205"/>
        <v/>
      </c>
      <c r="AK432" s="4" t="str">
        <f t="shared" si="206"/>
        <v/>
      </c>
      <c r="AL432" s="2" t="str">
        <f t="shared" si="207"/>
        <v/>
      </c>
      <c r="AM432" s="6" t="str">
        <f t="shared" si="208"/>
        <v/>
      </c>
      <c r="AN432" s="4" t="str">
        <f t="shared" si="209"/>
        <v/>
      </c>
      <c r="AO432" s="4" t="str">
        <f t="shared" si="210"/>
        <v/>
      </c>
      <c r="AP432" s="4" t="str">
        <f t="shared" si="211"/>
        <v/>
      </c>
      <c r="AQ432" s="4" t="str">
        <f t="shared" si="212"/>
        <v/>
      </c>
      <c r="AR432" s="4" t="str">
        <f t="shared" si="213"/>
        <v/>
      </c>
    </row>
    <row r="433" spans="8:44" s="1" customFormat="1" ht="14.25" x14ac:dyDescent="0.3">
      <c r="H433" s="50"/>
      <c r="J433" s="54"/>
      <c r="L433" s="54"/>
      <c r="R433" s="45"/>
      <c r="S433" s="54"/>
      <c r="T433" s="54"/>
      <c r="U433" s="54"/>
      <c r="V433" s="44"/>
      <c r="W433" s="27"/>
      <c r="Z433" s="27"/>
      <c r="AA433" s="8"/>
      <c r="AB433" s="81" t="str">
        <f t="shared" si="197"/>
        <v/>
      </c>
      <c r="AC433" s="6" t="str">
        <f t="shared" si="198"/>
        <v/>
      </c>
      <c r="AD433" s="1" t="str">
        <f t="shared" ca="1" si="199"/>
        <v/>
      </c>
      <c r="AE433" s="75" t="str">
        <f t="shared" si="200"/>
        <v/>
      </c>
      <c r="AF433" s="75" t="str">
        <f t="shared" si="201"/>
        <v/>
      </c>
      <c r="AG433" s="4" t="str">
        <f t="shared" si="202"/>
        <v/>
      </c>
      <c r="AH433" s="4" t="str">
        <f t="shared" si="203"/>
        <v/>
      </c>
      <c r="AI433" s="4" t="str">
        <f t="shared" si="204"/>
        <v/>
      </c>
      <c r="AJ433" s="4" t="str">
        <f t="shared" si="205"/>
        <v/>
      </c>
      <c r="AK433" s="4" t="str">
        <f t="shared" si="206"/>
        <v/>
      </c>
      <c r="AL433" s="2" t="str">
        <f t="shared" si="207"/>
        <v/>
      </c>
      <c r="AM433" s="6" t="str">
        <f t="shared" si="208"/>
        <v/>
      </c>
      <c r="AN433" s="4" t="str">
        <f t="shared" si="209"/>
        <v/>
      </c>
      <c r="AO433" s="4" t="str">
        <f t="shared" si="210"/>
        <v/>
      </c>
      <c r="AP433" s="4" t="str">
        <f t="shared" si="211"/>
        <v/>
      </c>
      <c r="AQ433" s="4" t="str">
        <f t="shared" si="212"/>
        <v/>
      </c>
      <c r="AR433" s="4" t="str">
        <f t="shared" si="213"/>
        <v/>
      </c>
    </row>
    <row r="434" spans="8:44" s="1" customFormat="1" ht="14.25" x14ac:dyDescent="0.3">
      <c r="H434" s="50"/>
      <c r="J434" s="54"/>
      <c r="L434" s="54"/>
      <c r="R434" s="45"/>
      <c r="S434" s="54"/>
      <c r="T434" s="54"/>
      <c r="U434" s="54"/>
      <c r="V434" s="44"/>
      <c r="W434" s="27"/>
      <c r="Z434" s="27"/>
      <c r="AA434" s="8"/>
      <c r="AB434" s="81" t="str">
        <f t="shared" si="197"/>
        <v/>
      </c>
      <c r="AC434" s="6" t="str">
        <f t="shared" si="198"/>
        <v/>
      </c>
      <c r="AD434" s="1" t="str">
        <f t="shared" ca="1" si="199"/>
        <v/>
      </c>
      <c r="AE434" s="75" t="str">
        <f t="shared" si="200"/>
        <v/>
      </c>
      <c r="AF434" s="75" t="str">
        <f t="shared" si="201"/>
        <v/>
      </c>
      <c r="AG434" s="4" t="str">
        <f t="shared" si="202"/>
        <v/>
      </c>
      <c r="AH434" s="4" t="str">
        <f t="shared" si="203"/>
        <v/>
      </c>
      <c r="AI434" s="4" t="str">
        <f t="shared" si="204"/>
        <v/>
      </c>
      <c r="AJ434" s="4" t="str">
        <f t="shared" si="205"/>
        <v/>
      </c>
      <c r="AK434" s="4" t="str">
        <f t="shared" si="206"/>
        <v/>
      </c>
      <c r="AL434" s="2" t="str">
        <f t="shared" si="207"/>
        <v/>
      </c>
      <c r="AM434" s="6" t="str">
        <f t="shared" si="208"/>
        <v/>
      </c>
      <c r="AN434" s="4" t="str">
        <f t="shared" si="209"/>
        <v/>
      </c>
      <c r="AO434" s="4" t="str">
        <f t="shared" si="210"/>
        <v/>
      </c>
      <c r="AP434" s="4" t="str">
        <f t="shared" si="211"/>
        <v/>
      </c>
      <c r="AQ434" s="4" t="str">
        <f t="shared" si="212"/>
        <v/>
      </c>
      <c r="AR434" s="4" t="str">
        <f t="shared" si="213"/>
        <v/>
      </c>
    </row>
    <row r="435" spans="8:44" s="1" customFormat="1" ht="14.25" x14ac:dyDescent="0.3">
      <c r="H435" s="50"/>
      <c r="J435" s="54"/>
      <c r="L435" s="54"/>
      <c r="R435" s="45"/>
      <c r="S435" s="54"/>
      <c r="T435" s="54"/>
      <c r="U435" s="54"/>
      <c r="V435" s="44"/>
      <c r="W435" s="27"/>
      <c r="Z435" s="27"/>
      <c r="AA435" s="8"/>
      <c r="AB435" s="81" t="str">
        <f t="shared" si="197"/>
        <v/>
      </c>
      <c r="AC435" s="6" t="str">
        <f t="shared" si="198"/>
        <v/>
      </c>
      <c r="AD435" s="1" t="str">
        <f t="shared" ca="1" si="199"/>
        <v/>
      </c>
      <c r="AE435" s="75" t="str">
        <f t="shared" si="200"/>
        <v/>
      </c>
      <c r="AF435" s="75" t="str">
        <f t="shared" si="201"/>
        <v/>
      </c>
      <c r="AG435" s="4" t="str">
        <f t="shared" si="202"/>
        <v/>
      </c>
      <c r="AH435" s="4" t="str">
        <f t="shared" si="203"/>
        <v/>
      </c>
      <c r="AI435" s="4" t="str">
        <f t="shared" si="204"/>
        <v/>
      </c>
      <c r="AJ435" s="4" t="str">
        <f t="shared" si="205"/>
        <v/>
      </c>
      <c r="AK435" s="4" t="str">
        <f t="shared" si="206"/>
        <v/>
      </c>
      <c r="AL435" s="2" t="str">
        <f t="shared" si="207"/>
        <v/>
      </c>
      <c r="AM435" s="6" t="str">
        <f t="shared" si="208"/>
        <v/>
      </c>
      <c r="AN435" s="4" t="str">
        <f t="shared" si="209"/>
        <v/>
      </c>
      <c r="AO435" s="4" t="str">
        <f t="shared" si="210"/>
        <v/>
      </c>
      <c r="AP435" s="4" t="str">
        <f t="shared" si="211"/>
        <v/>
      </c>
      <c r="AQ435" s="4" t="str">
        <f t="shared" si="212"/>
        <v/>
      </c>
      <c r="AR435" s="4" t="str">
        <f t="shared" si="213"/>
        <v/>
      </c>
    </row>
    <row r="436" spans="8:44" s="1" customFormat="1" ht="14.25" x14ac:dyDescent="0.3">
      <c r="H436" s="50"/>
      <c r="J436" s="54"/>
      <c r="L436" s="54"/>
      <c r="R436" s="45"/>
      <c r="S436" s="54"/>
      <c r="T436" s="54"/>
      <c r="U436" s="54"/>
      <c r="V436" s="44"/>
      <c r="W436" s="27"/>
      <c r="Z436" s="27"/>
      <c r="AA436" s="8"/>
      <c r="AB436" s="81" t="str">
        <f t="shared" si="197"/>
        <v/>
      </c>
      <c r="AC436" s="6" t="str">
        <f t="shared" si="198"/>
        <v/>
      </c>
      <c r="AD436" s="1" t="str">
        <f t="shared" ca="1" si="199"/>
        <v/>
      </c>
      <c r="AE436" s="75" t="str">
        <f t="shared" si="200"/>
        <v/>
      </c>
      <c r="AF436" s="75" t="str">
        <f t="shared" si="201"/>
        <v/>
      </c>
      <c r="AG436" s="4" t="str">
        <f t="shared" si="202"/>
        <v/>
      </c>
      <c r="AH436" s="4" t="str">
        <f t="shared" si="203"/>
        <v/>
      </c>
      <c r="AI436" s="4" t="str">
        <f t="shared" si="204"/>
        <v/>
      </c>
      <c r="AJ436" s="4" t="str">
        <f t="shared" si="205"/>
        <v/>
      </c>
      <c r="AK436" s="4" t="str">
        <f t="shared" si="206"/>
        <v/>
      </c>
      <c r="AL436" s="2" t="str">
        <f t="shared" si="207"/>
        <v/>
      </c>
      <c r="AM436" s="6" t="str">
        <f t="shared" si="208"/>
        <v/>
      </c>
      <c r="AN436" s="4" t="str">
        <f t="shared" si="209"/>
        <v/>
      </c>
      <c r="AO436" s="4" t="str">
        <f t="shared" si="210"/>
        <v/>
      </c>
      <c r="AP436" s="4" t="str">
        <f t="shared" si="211"/>
        <v/>
      </c>
      <c r="AQ436" s="4" t="str">
        <f t="shared" si="212"/>
        <v/>
      </c>
      <c r="AR436" s="4" t="str">
        <f t="shared" si="213"/>
        <v/>
      </c>
    </row>
    <row r="437" spans="8:44" s="1" customFormat="1" ht="14.25" x14ac:dyDescent="0.3">
      <c r="H437" s="50"/>
      <c r="J437" s="54"/>
      <c r="L437" s="54"/>
      <c r="R437" s="45"/>
      <c r="S437" s="54"/>
      <c r="T437" s="54"/>
      <c r="U437" s="54"/>
      <c r="V437" s="44"/>
      <c r="W437" s="27"/>
      <c r="Z437" s="27"/>
      <c r="AA437" s="8"/>
      <c r="AB437" s="81" t="str">
        <f t="shared" si="197"/>
        <v/>
      </c>
      <c r="AC437" s="6" t="str">
        <f t="shared" si="198"/>
        <v/>
      </c>
      <c r="AD437" s="1" t="str">
        <f t="shared" ca="1" si="199"/>
        <v/>
      </c>
      <c r="AE437" s="75" t="str">
        <f t="shared" si="200"/>
        <v/>
      </c>
      <c r="AF437" s="75" t="str">
        <f t="shared" si="201"/>
        <v/>
      </c>
      <c r="AG437" s="4" t="str">
        <f t="shared" si="202"/>
        <v/>
      </c>
      <c r="AH437" s="4" t="str">
        <f t="shared" si="203"/>
        <v/>
      </c>
      <c r="AI437" s="4" t="str">
        <f t="shared" si="204"/>
        <v/>
      </c>
      <c r="AJ437" s="4" t="str">
        <f t="shared" si="205"/>
        <v/>
      </c>
      <c r="AK437" s="4" t="str">
        <f t="shared" si="206"/>
        <v/>
      </c>
      <c r="AL437" s="2" t="str">
        <f t="shared" si="207"/>
        <v/>
      </c>
      <c r="AM437" s="6" t="str">
        <f t="shared" si="208"/>
        <v/>
      </c>
      <c r="AN437" s="4" t="str">
        <f t="shared" si="209"/>
        <v/>
      </c>
      <c r="AO437" s="4" t="str">
        <f t="shared" si="210"/>
        <v/>
      </c>
      <c r="AP437" s="4" t="str">
        <f t="shared" si="211"/>
        <v/>
      </c>
      <c r="AQ437" s="4" t="str">
        <f t="shared" si="212"/>
        <v/>
      </c>
      <c r="AR437" s="4" t="str">
        <f t="shared" si="213"/>
        <v/>
      </c>
    </row>
    <row r="438" spans="8:44" s="1" customFormat="1" ht="14.25" x14ac:dyDescent="0.3">
      <c r="H438" s="50"/>
      <c r="J438" s="54"/>
      <c r="L438" s="54"/>
      <c r="R438" s="45"/>
      <c r="S438" s="54"/>
      <c r="T438" s="54"/>
      <c r="U438" s="54"/>
      <c r="V438" s="44"/>
      <c r="W438" s="27"/>
      <c r="Z438" s="27"/>
      <c r="AA438" s="8"/>
      <c r="AB438" s="81" t="str">
        <f t="shared" si="197"/>
        <v/>
      </c>
      <c r="AC438" s="6" t="str">
        <f t="shared" si="198"/>
        <v/>
      </c>
      <c r="AD438" s="1" t="str">
        <f t="shared" ca="1" si="199"/>
        <v/>
      </c>
      <c r="AE438" s="75" t="str">
        <f t="shared" si="200"/>
        <v/>
      </c>
      <c r="AF438" s="75" t="str">
        <f t="shared" si="201"/>
        <v/>
      </c>
      <c r="AG438" s="4" t="str">
        <f t="shared" si="202"/>
        <v/>
      </c>
      <c r="AH438" s="4" t="str">
        <f t="shared" si="203"/>
        <v/>
      </c>
      <c r="AI438" s="4" t="str">
        <f t="shared" si="204"/>
        <v/>
      </c>
      <c r="AJ438" s="4" t="str">
        <f t="shared" si="205"/>
        <v/>
      </c>
      <c r="AK438" s="4" t="str">
        <f t="shared" si="206"/>
        <v/>
      </c>
      <c r="AL438" s="2" t="str">
        <f t="shared" si="207"/>
        <v/>
      </c>
      <c r="AM438" s="6" t="str">
        <f t="shared" si="208"/>
        <v/>
      </c>
      <c r="AN438" s="4" t="str">
        <f t="shared" si="209"/>
        <v/>
      </c>
      <c r="AO438" s="4" t="str">
        <f t="shared" si="210"/>
        <v/>
      </c>
      <c r="AP438" s="4" t="str">
        <f t="shared" si="211"/>
        <v/>
      </c>
      <c r="AQ438" s="4" t="str">
        <f t="shared" si="212"/>
        <v/>
      </c>
      <c r="AR438" s="4" t="str">
        <f t="shared" si="213"/>
        <v/>
      </c>
    </row>
    <row r="439" spans="8:44" s="1" customFormat="1" ht="14.25" x14ac:dyDescent="0.3">
      <c r="H439" s="50"/>
      <c r="J439" s="54"/>
      <c r="L439" s="54"/>
      <c r="R439" s="45"/>
      <c r="S439" s="54"/>
      <c r="T439" s="54"/>
      <c r="U439" s="54"/>
      <c r="V439" s="44"/>
      <c r="W439" s="27"/>
      <c r="Z439" s="27"/>
      <c r="AA439" s="8"/>
      <c r="AB439" s="81" t="str">
        <f t="shared" si="197"/>
        <v/>
      </c>
      <c r="AC439" s="6" t="str">
        <f t="shared" si="198"/>
        <v/>
      </c>
      <c r="AD439" s="1" t="str">
        <f t="shared" ca="1" si="199"/>
        <v/>
      </c>
      <c r="AE439" s="75" t="str">
        <f t="shared" si="200"/>
        <v/>
      </c>
      <c r="AF439" s="75" t="str">
        <f t="shared" si="201"/>
        <v/>
      </c>
      <c r="AG439" s="4" t="str">
        <f t="shared" si="202"/>
        <v/>
      </c>
      <c r="AH439" s="4" t="str">
        <f t="shared" si="203"/>
        <v/>
      </c>
      <c r="AI439" s="4" t="str">
        <f t="shared" si="204"/>
        <v/>
      </c>
      <c r="AJ439" s="4" t="str">
        <f t="shared" si="205"/>
        <v/>
      </c>
      <c r="AK439" s="4" t="str">
        <f t="shared" si="206"/>
        <v/>
      </c>
      <c r="AL439" s="2" t="str">
        <f t="shared" si="207"/>
        <v/>
      </c>
      <c r="AM439" s="6" t="str">
        <f t="shared" si="208"/>
        <v/>
      </c>
      <c r="AN439" s="4" t="str">
        <f t="shared" si="209"/>
        <v/>
      </c>
      <c r="AO439" s="4" t="str">
        <f t="shared" si="210"/>
        <v/>
      </c>
      <c r="AP439" s="4" t="str">
        <f t="shared" si="211"/>
        <v/>
      </c>
      <c r="AQ439" s="4" t="str">
        <f t="shared" si="212"/>
        <v/>
      </c>
      <c r="AR439" s="4" t="str">
        <f t="shared" si="213"/>
        <v/>
      </c>
    </row>
    <row r="440" spans="8:44" s="1" customFormat="1" ht="14.25" x14ac:dyDescent="0.3">
      <c r="H440" s="50"/>
      <c r="J440" s="54"/>
      <c r="L440" s="54"/>
      <c r="R440" s="45"/>
      <c r="S440" s="54"/>
      <c r="T440" s="54"/>
      <c r="U440" s="54"/>
      <c r="V440" s="44"/>
      <c r="W440" s="27"/>
      <c r="Z440" s="27"/>
      <c r="AA440" s="8"/>
      <c r="AB440" s="81" t="str">
        <f t="shared" si="197"/>
        <v/>
      </c>
      <c r="AC440" s="6" t="str">
        <f t="shared" si="198"/>
        <v/>
      </c>
      <c r="AD440" s="1" t="str">
        <f t="shared" ca="1" si="199"/>
        <v/>
      </c>
      <c r="AE440" s="75" t="str">
        <f t="shared" si="200"/>
        <v/>
      </c>
      <c r="AF440" s="75" t="str">
        <f t="shared" si="201"/>
        <v/>
      </c>
      <c r="AG440" s="4" t="str">
        <f t="shared" si="202"/>
        <v/>
      </c>
      <c r="AH440" s="4" t="str">
        <f t="shared" si="203"/>
        <v/>
      </c>
      <c r="AI440" s="4" t="str">
        <f t="shared" si="204"/>
        <v/>
      </c>
      <c r="AJ440" s="4" t="str">
        <f t="shared" si="205"/>
        <v/>
      </c>
      <c r="AK440" s="4" t="str">
        <f t="shared" si="206"/>
        <v/>
      </c>
      <c r="AL440" s="2" t="str">
        <f t="shared" si="207"/>
        <v/>
      </c>
      <c r="AM440" s="6" t="str">
        <f t="shared" si="208"/>
        <v/>
      </c>
      <c r="AN440" s="4" t="str">
        <f t="shared" si="209"/>
        <v/>
      </c>
      <c r="AO440" s="4" t="str">
        <f t="shared" si="210"/>
        <v/>
      </c>
      <c r="AP440" s="4" t="str">
        <f t="shared" si="211"/>
        <v/>
      </c>
      <c r="AQ440" s="4" t="str">
        <f t="shared" si="212"/>
        <v/>
      </c>
      <c r="AR440" s="4" t="str">
        <f t="shared" si="213"/>
        <v/>
      </c>
    </row>
    <row r="441" spans="8:44" s="1" customFormat="1" ht="14.25" x14ac:dyDescent="0.3">
      <c r="H441" s="50"/>
      <c r="J441" s="54"/>
      <c r="L441" s="54"/>
      <c r="R441" s="45"/>
      <c r="S441" s="54"/>
      <c r="T441" s="54"/>
      <c r="U441" s="54"/>
      <c r="V441" s="44"/>
      <c r="W441" s="27"/>
      <c r="Z441" s="27"/>
      <c r="AA441" s="8"/>
      <c r="AB441" s="81" t="str">
        <f t="shared" si="197"/>
        <v/>
      </c>
      <c r="AC441" s="6" t="str">
        <f t="shared" si="198"/>
        <v/>
      </c>
      <c r="AD441" s="1" t="str">
        <f t="shared" ca="1" si="199"/>
        <v/>
      </c>
      <c r="AE441" s="75" t="str">
        <f t="shared" si="200"/>
        <v/>
      </c>
      <c r="AF441" s="75" t="str">
        <f t="shared" si="201"/>
        <v/>
      </c>
      <c r="AG441" s="4" t="str">
        <f t="shared" si="202"/>
        <v/>
      </c>
      <c r="AH441" s="4" t="str">
        <f t="shared" si="203"/>
        <v/>
      </c>
      <c r="AI441" s="4" t="str">
        <f t="shared" si="204"/>
        <v/>
      </c>
      <c r="AJ441" s="4" t="str">
        <f t="shared" si="205"/>
        <v/>
      </c>
      <c r="AK441" s="4" t="str">
        <f t="shared" si="206"/>
        <v/>
      </c>
      <c r="AL441" s="2" t="str">
        <f t="shared" si="207"/>
        <v/>
      </c>
      <c r="AM441" s="6" t="str">
        <f t="shared" si="208"/>
        <v/>
      </c>
      <c r="AN441" s="4" t="str">
        <f t="shared" si="209"/>
        <v/>
      </c>
      <c r="AO441" s="4" t="str">
        <f t="shared" si="210"/>
        <v/>
      </c>
      <c r="AP441" s="4" t="str">
        <f t="shared" si="211"/>
        <v/>
      </c>
      <c r="AQ441" s="4" t="str">
        <f t="shared" si="212"/>
        <v/>
      </c>
      <c r="AR441" s="4" t="str">
        <f t="shared" si="213"/>
        <v/>
      </c>
    </row>
    <row r="442" spans="8:44" s="1" customFormat="1" ht="14.25" x14ac:dyDescent="0.3">
      <c r="H442" s="50"/>
      <c r="J442" s="54"/>
      <c r="L442" s="54"/>
      <c r="R442" s="45"/>
      <c r="S442" s="54"/>
      <c r="T442" s="54"/>
      <c r="U442" s="54"/>
      <c r="V442" s="44"/>
      <c r="W442" s="27"/>
      <c r="Z442" s="27"/>
      <c r="AA442" s="8"/>
      <c r="AB442" s="81" t="str">
        <f t="shared" si="197"/>
        <v/>
      </c>
      <c r="AC442" s="6" t="str">
        <f t="shared" si="198"/>
        <v/>
      </c>
      <c r="AD442" s="1" t="str">
        <f t="shared" ca="1" si="199"/>
        <v/>
      </c>
      <c r="AE442" s="75" t="str">
        <f t="shared" si="200"/>
        <v/>
      </c>
      <c r="AF442" s="75" t="str">
        <f t="shared" si="201"/>
        <v/>
      </c>
      <c r="AG442" s="4" t="str">
        <f t="shared" si="202"/>
        <v/>
      </c>
      <c r="AH442" s="4" t="str">
        <f t="shared" si="203"/>
        <v/>
      </c>
      <c r="AI442" s="4" t="str">
        <f t="shared" si="204"/>
        <v/>
      </c>
      <c r="AJ442" s="4" t="str">
        <f t="shared" si="205"/>
        <v/>
      </c>
      <c r="AK442" s="4" t="str">
        <f t="shared" si="206"/>
        <v/>
      </c>
      <c r="AL442" s="2" t="str">
        <f t="shared" si="207"/>
        <v/>
      </c>
      <c r="AM442" s="6" t="str">
        <f t="shared" si="208"/>
        <v/>
      </c>
      <c r="AN442" s="4" t="str">
        <f t="shared" si="209"/>
        <v/>
      </c>
      <c r="AO442" s="4" t="str">
        <f t="shared" si="210"/>
        <v/>
      </c>
      <c r="AP442" s="4" t="str">
        <f t="shared" si="211"/>
        <v/>
      </c>
      <c r="AQ442" s="4" t="str">
        <f t="shared" si="212"/>
        <v/>
      </c>
      <c r="AR442" s="4" t="str">
        <f t="shared" si="213"/>
        <v/>
      </c>
    </row>
    <row r="443" spans="8:44" s="1" customFormat="1" ht="14.25" x14ac:dyDescent="0.3">
      <c r="H443" s="50"/>
      <c r="J443" s="54"/>
      <c r="L443" s="54"/>
      <c r="R443" s="45"/>
      <c r="S443" s="54"/>
      <c r="T443" s="54"/>
      <c r="U443" s="54"/>
      <c r="V443" s="44"/>
      <c r="W443" s="27"/>
      <c r="Z443" s="27"/>
      <c r="AA443" s="8"/>
      <c r="AB443" s="81" t="str">
        <f t="shared" si="197"/>
        <v/>
      </c>
      <c r="AC443" s="6" t="str">
        <f t="shared" si="198"/>
        <v/>
      </c>
      <c r="AD443" s="1" t="str">
        <f t="shared" ca="1" si="199"/>
        <v/>
      </c>
      <c r="AE443" s="75" t="str">
        <f t="shared" si="200"/>
        <v/>
      </c>
      <c r="AF443" s="75" t="str">
        <f t="shared" si="201"/>
        <v/>
      </c>
      <c r="AG443" s="4" t="str">
        <f t="shared" si="202"/>
        <v/>
      </c>
      <c r="AH443" s="4" t="str">
        <f t="shared" si="203"/>
        <v/>
      </c>
      <c r="AI443" s="4" t="str">
        <f t="shared" si="204"/>
        <v/>
      </c>
      <c r="AJ443" s="4" t="str">
        <f t="shared" si="205"/>
        <v/>
      </c>
      <c r="AK443" s="4" t="str">
        <f t="shared" si="206"/>
        <v/>
      </c>
      <c r="AL443" s="2" t="str">
        <f t="shared" si="207"/>
        <v/>
      </c>
      <c r="AM443" s="6" t="str">
        <f t="shared" si="208"/>
        <v/>
      </c>
      <c r="AN443" s="4" t="str">
        <f t="shared" si="209"/>
        <v/>
      </c>
      <c r="AO443" s="4" t="str">
        <f t="shared" si="210"/>
        <v/>
      </c>
      <c r="AP443" s="4" t="str">
        <f t="shared" si="211"/>
        <v/>
      </c>
      <c r="AQ443" s="4" t="str">
        <f t="shared" si="212"/>
        <v/>
      </c>
      <c r="AR443" s="4" t="str">
        <f t="shared" si="213"/>
        <v/>
      </c>
    </row>
    <row r="444" spans="8:44" s="1" customFormat="1" ht="14.25" x14ac:dyDescent="0.3">
      <c r="H444" s="50"/>
      <c r="J444" s="54"/>
      <c r="L444" s="54"/>
      <c r="R444" s="45"/>
      <c r="S444" s="54"/>
      <c r="T444" s="54"/>
      <c r="U444" s="54"/>
      <c r="V444" s="44"/>
      <c r="W444" s="27"/>
      <c r="Z444" s="27"/>
      <c r="AA444" s="8"/>
      <c r="AB444" s="81" t="str">
        <f t="shared" si="197"/>
        <v/>
      </c>
      <c r="AC444" s="6" t="str">
        <f t="shared" si="198"/>
        <v/>
      </c>
      <c r="AD444" s="1" t="str">
        <f t="shared" ca="1" si="199"/>
        <v/>
      </c>
      <c r="AE444" s="75" t="str">
        <f t="shared" si="200"/>
        <v/>
      </c>
      <c r="AF444" s="75" t="str">
        <f t="shared" si="201"/>
        <v/>
      </c>
      <c r="AG444" s="4" t="str">
        <f t="shared" si="202"/>
        <v/>
      </c>
      <c r="AH444" s="4" t="str">
        <f t="shared" si="203"/>
        <v/>
      </c>
      <c r="AI444" s="4" t="str">
        <f t="shared" si="204"/>
        <v/>
      </c>
      <c r="AJ444" s="4" t="str">
        <f t="shared" si="205"/>
        <v/>
      </c>
      <c r="AK444" s="4" t="str">
        <f t="shared" si="206"/>
        <v/>
      </c>
      <c r="AL444" s="2" t="str">
        <f t="shared" si="207"/>
        <v/>
      </c>
      <c r="AM444" s="6" t="str">
        <f t="shared" si="208"/>
        <v/>
      </c>
      <c r="AN444" s="4" t="str">
        <f t="shared" si="209"/>
        <v/>
      </c>
      <c r="AO444" s="4" t="str">
        <f t="shared" si="210"/>
        <v/>
      </c>
      <c r="AP444" s="4" t="str">
        <f t="shared" si="211"/>
        <v/>
      </c>
      <c r="AQ444" s="4" t="str">
        <f t="shared" si="212"/>
        <v/>
      </c>
      <c r="AR444" s="4" t="str">
        <f t="shared" si="213"/>
        <v/>
      </c>
    </row>
    <row r="445" spans="8:44" s="1" customFormat="1" ht="14.25" x14ac:dyDescent="0.3">
      <c r="H445" s="50"/>
      <c r="J445" s="54"/>
      <c r="L445" s="54"/>
      <c r="R445" s="45"/>
      <c r="S445" s="54"/>
      <c r="T445" s="54"/>
      <c r="U445" s="54"/>
      <c r="V445" s="44"/>
      <c r="W445" s="27"/>
      <c r="Z445" s="27"/>
      <c r="AA445" s="8"/>
      <c r="AB445" s="81" t="str">
        <f t="shared" ref="AB445:AB508" si="214">IF(X445="","",(AH445-AG445)/AG445)</f>
        <v/>
      </c>
      <c r="AC445" s="6" t="str">
        <f t="shared" ref="AC445:AC508" si="215">IF(X445="","",AH445-AG445)</f>
        <v/>
      </c>
      <c r="AD445" s="1" t="str">
        <f t="shared" ref="AD445:AD508" ca="1" si="216">IF(X445="","",IF(W445="","",IF(Z445="",TODAY()-W445,Z445-W445)))</f>
        <v/>
      </c>
      <c r="AE445" s="75" t="str">
        <f t="shared" ref="AE445:AE508" si="217">IF(X445="","",IF(AE444="",IF(AM445="","",AM445),IF(AM445="",AE444,AE444+AM445)))</f>
        <v/>
      </c>
      <c r="AF445" s="75" t="str">
        <f t="shared" ref="AF445:AF508" si="218">IF(X445="","",IF(AF444="",IF(AN445="","",AN445),IF(AN445="",AF444,AF444+AN445)))</f>
        <v/>
      </c>
      <c r="AG445" s="4" t="str">
        <f t="shared" ref="AG445:AG508" si="219">IF(X445="","",X445*Y445*100+AO445+AP445)</f>
        <v/>
      </c>
      <c r="AH445" s="4" t="str">
        <f t="shared" ref="AH445:AH508" si="220">IF(X445="","",IF(AA445="",C445*Y445*100-AO445-AQ445-AR445,AA445*Y445*100-AO445-AQ445-AR445))</f>
        <v/>
      </c>
      <c r="AI445" s="4" t="str">
        <f t="shared" ref="AI445:AI508" si="221">IF(X445="","",AI444+AC445)</f>
        <v/>
      </c>
      <c r="AJ445" s="4" t="str">
        <f t="shared" ref="AJ445:AJ508" si="222">IF(X445="","",AO445+AP445+AO445+AQ445+AR445)</f>
        <v/>
      </c>
      <c r="AK445" s="4" t="str">
        <f t="shared" ref="AK445:AK508" si="223">IF(X445="","",AK444+AJ445)</f>
        <v/>
      </c>
      <c r="AL445" s="2" t="str">
        <f t="shared" ref="AL445:AL508" si="224">IF(X445="","",0.18%)</f>
        <v/>
      </c>
      <c r="AM445" s="6" t="str">
        <f t="shared" ref="AM445:AM508" si="225">IF(X445="","",IF(Z445="",AC445,""))</f>
        <v/>
      </c>
      <c r="AN445" s="4" t="str">
        <f t="shared" ref="AN445:AN508" si="226">IF(X445="","",IF(Z445="",AH445,""))</f>
        <v/>
      </c>
      <c r="AO445" s="4" t="str">
        <f t="shared" ref="AO445:AO508" si="227">IF(X445="","",IF(LEFT(A445,2)="sh",IF(Y445*100/1000&lt;=1,1,Y445*100/1000),0))</f>
        <v/>
      </c>
      <c r="AP445" s="4" t="str">
        <f t="shared" ref="AP445:AP508" si="228">IF(X445="","",IF(X445*Y445*100*AL445&lt;=5,5,X445*Y445*100*AL445))</f>
        <v/>
      </c>
      <c r="AQ445" s="4" t="str">
        <f t="shared" ref="AQ445:AQ508" si="229">IF(X445="","",IF(AA445="",IF(C445*Y445*100*AL445&lt;=5,5,C445*Y445*100*AL445),IF(AA445*Y445*100*AL445&lt;=5,5,AA445*Y445*100*AL445)))</f>
        <v/>
      </c>
      <c r="AR445" s="4" t="str">
        <f t="shared" ref="AR445:AR508" si="230">IF(X445="","",IF(AA445="",C445*Y445*100*0.001,AA445*Y445*100*0.001))</f>
        <v/>
      </c>
    </row>
    <row r="446" spans="8:44" s="1" customFormat="1" ht="14.25" x14ac:dyDescent="0.3">
      <c r="H446" s="50"/>
      <c r="J446" s="54"/>
      <c r="L446" s="54"/>
      <c r="R446" s="45"/>
      <c r="S446" s="54"/>
      <c r="T446" s="54"/>
      <c r="U446" s="54"/>
      <c r="V446" s="44"/>
      <c r="W446" s="27"/>
      <c r="Z446" s="27"/>
      <c r="AA446" s="8"/>
      <c r="AB446" s="81" t="str">
        <f t="shared" si="214"/>
        <v/>
      </c>
      <c r="AC446" s="6" t="str">
        <f t="shared" si="215"/>
        <v/>
      </c>
      <c r="AD446" s="1" t="str">
        <f t="shared" ca="1" si="216"/>
        <v/>
      </c>
      <c r="AE446" s="75" t="str">
        <f t="shared" si="217"/>
        <v/>
      </c>
      <c r="AF446" s="75" t="str">
        <f t="shared" si="218"/>
        <v/>
      </c>
      <c r="AG446" s="4" t="str">
        <f t="shared" si="219"/>
        <v/>
      </c>
      <c r="AH446" s="4" t="str">
        <f t="shared" si="220"/>
        <v/>
      </c>
      <c r="AI446" s="4" t="str">
        <f t="shared" si="221"/>
        <v/>
      </c>
      <c r="AJ446" s="4" t="str">
        <f t="shared" si="222"/>
        <v/>
      </c>
      <c r="AK446" s="4" t="str">
        <f t="shared" si="223"/>
        <v/>
      </c>
      <c r="AL446" s="2" t="str">
        <f t="shared" si="224"/>
        <v/>
      </c>
      <c r="AM446" s="6" t="str">
        <f t="shared" si="225"/>
        <v/>
      </c>
      <c r="AN446" s="4" t="str">
        <f t="shared" si="226"/>
        <v/>
      </c>
      <c r="AO446" s="4" t="str">
        <f t="shared" si="227"/>
        <v/>
      </c>
      <c r="AP446" s="4" t="str">
        <f t="shared" si="228"/>
        <v/>
      </c>
      <c r="AQ446" s="4" t="str">
        <f t="shared" si="229"/>
        <v/>
      </c>
      <c r="AR446" s="4" t="str">
        <f t="shared" si="230"/>
        <v/>
      </c>
    </row>
    <row r="447" spans="8:44" s="1" customFormat="1" ht="14.25" x14ac:dyDescent="0.3">
      <c r="H447" s="50"/>
      <c r="J447" s="54"/>
      <c r="L447" s="54"/>
      <c r="R447" s="45"/>
      <c r="S447" s="54"/>
      <c r="T447" s="54"/>
      <c r="U447" s="54"/>
      <c r="V447" s="44"/>
      <c r="W447" s="27"/>
      <c r="Z447" s="27"/>
      <c r="AA447" s="8"/>
      <c r="AB447" s="81" t="str">
        <f t="shared" si="214"/>
        <v/>
      </c>
      <c r="AC447" s="6" t="str">
        <f t="shared" si="215"/>
        <v/>
      </c>
      <c r="AD447" s="1" t="str">
        <f t="shared" ca="1" si="216"/>
        <v/>
      </c>
      <c r="AE447" s="75" t="str">
        <f t="shared" si="217"/>
        <v/>
      </c>
      <c r="AF447" s="75" t="str">
        <f t="shared" si="218"/>
        <v/>
      </c>
      <c r="AG447" s="4" t="str">
        <f t="shared" si="219"/>
        <v/>
      </c>
      <c r="AH447" s="4" t="str">
        <f t="shared" si="220"/>
        <v/>
      </c>
      <c r="AI447" s="4" t="str">
        <f t="shared" si="221"/>
        <v/>
      </c>
      <c r="AJ447" s="4" t="str">
        <f t="shared" si="222"/>
        <v/>
      </c>
      <c r="AK447" s="4" t="str">
        <f t="shared" si="223"/>
        <v/>
      </c>
      <c r="AL447" s="2" t="str">
        <f t="shared" si="224"/>
        <v/>
      </c>
      <c r="AM447" s="6" t="str">
        <f t="shared" si="225"/>
        <v/>
      </c>
      <c r="AN447" s="4" t="str">
        <f t="shared" si="226"/>
        <v/>
      </c>
      <c r="AO447" s="4" t="str">
        <f t="shared" si="227"/>
        <v/>
      </c>
      <c r="AP447" s="4" t="str">
        <f t="shared" si="228"/>
        <v/>
      </c>
      <c r="AQ447" s="4" t="str">
        <f t="shared" si="229"/>
        <v/>
      </c>
      <c r="AR447" s="4" t="str">
        <f t="shared" si="230"/>
        <v/>
      </c>
    </row>
    <row r="448" spans="8:44" s="1" customFormat="1" ht="14.25" x14ac:dyDescent="0.3">
      <c r="H448" s="50"/>
      <c r="J448" s="54"/>
      <c r="L448" s="54"/>
      <c r="R448" s="45"/>
      <c r="S448" s="54"/>
      <c r="T448" s="54"/>
      <c r="U448" s="54"/>
      <c r="V448" s="44"/>
      <c r="W448" s="27"/>
      <c r="Z448" s="27"/>
      <c r="AA448" s="8"/>
      <c r="AB448" s="81" t="str">
        <f t="shared" si="214"/>
        <v/>
      </c>
      <c r="AC448" s="6" t="str">
        <f t="shared" si="215"/>
        <v/>
      </c>
      <c r="AD448" s="1" t="str">
        <f t="shared" ca="1" si="216"/>
        <v/>
      </c>
      <c r="AE448" s="75" t="str">
        <f t="shared" si="217"/>
        <v/>
      </c>
      <c r="AF448" s="75" t="str">
        <f t="shared" si="218"/>
        <v/>
      </c>
      <c r="AG448" s="4" t="str">
        <f t="shared" si="219"/>
        <v/>
      </c>
      <c r="AH448" s="4" t="str">
        <f t="shared" si="220"/>
        <v/>
      </c>
      <c r="AI448" s="4" t="str">
        <f t="shared" si="221"/>
        <v/>
      </c>
      <c r="AJ448" s="4" t="str">
        <f t="shared" si="222"/>
        <v/>
      </c>
      <c r="AK448" s="4" t="str">
        <f t="shared" si="223"/>
        <v/>
      </c>
      <c r="AL448" s="2" t="str">
        <f t="shared" si="224"/>
        <v/>
      </c>
      <c r="AM448" s="6" t="str">
        <f t="shared" si="225"/>
        <v/>
      </c>
      <c r="AN448" s="4" t="str">
        <f t="shared" si="226"/>
        <v/>
      </c>
      <c r="AO448" s="4" t="str">
        <f t="shared" si="227"/>
        <v/>
      </c>
      <c r="AP448" s="4" t="str">
        <f t="shared" si="228"/>
        <v/>
      </c>
      <c r="AQ448" s="4" t="str">
        <f t="shared" si="229"/>
        <v/>
      </c>
      <c r="AR448" s="4" t="str">
        <f t="shared" si="230"/>
        <v/>
      </c>
    </row>
    <row r="449" spans="8:44" s="1" customFormat="1" ht="14.25" x14ac:dyDescent="0.3">
      <c r="H449" s="50"/>
      <c r="J449" s="54"/>
      <c r="L449" s="54"/>
      <c r="R449" s="45"/>
      <c r="S449" s="54"/>
      <c r="T449" s="54"/>
      <c r="U449" s="54"/>
      <c r="V449" s="44"/>
      <c r="W449" s="27"/>
      <c r="Z449" s="27"/>
      <c r="AA449" s="8"/>
      <c r="AB449" s="81" t="str">
        <f t="shared" si="214"/>
        <v/>
      </c>
      <c r="AC449" s="6" t="str">
        <f t="shared" si="215"/>
        <v/>
      </c>
      <c r="AD449" s="1" t="str">
        <f t="shared" ca="1" si="216"/>
        <v/>
      </c>
      <c r="AE449" s="75" t="str">
        <f t="shared" si="217"/>
        <v/>
      </c>
      <c r="AF449" s="75" t="str">
        <f t="shared" si="218"/>
        <v/>
      </c>
      <c r="AG449" s="4" t="str">
        <f t="shared" si="219"/>
        <v/>
      </c>
      <c r="AH449" s="4" t="str">
        <f t="shared" si="220"/>
        <v/>
      </c>
      <c r="AI449" s="4" t="str">
        <f t="shared" si="221"/>
        <v/>
      </c>
      <c r="AJ449" s="4" t="str">
        <f t="shared" si="222"/>
        <v/>
      </c>
      <c r="AK449" s="4" t="str">
        <f t="shared" si="223"/>
        <v/>
      </c>
      <c r="AL449" s="2" t="str">
        <f t="shared" si="224"/>
        <v/>
      </c>
      <c r="AM449" s="6" t="str">
        <f t="shared" si="225"/>
        <v/>
      </c>
      <c r="AN449" s="4" t="str">
        <f t="shared" si="226"/>
        <v/>
      </c>
      <c r="AO449" s="4" t="str">
        <f t="shared" si="227"/>
        <v/>
      </c>
      <c r="AP449" s="4" t="str">
        <f t="shared" si="228"/>
        <v/>
      </c>
      <c r="AQ449" s="4" t="str">
        <f t="shared" si="229"/>
        <v/>
      </c>
      <c r="AR449" s="4" t="str">
        <f t="shared" si="230"/>
        <v/>
      </c>
    </row>
    <row r="450" spans="8:44" s="1" customFormat="1" ht="14.25" x14ac:dyDescent="0.3">
      <c r="H450" s="50"/>
      <c r="J450" s="54"/>
      <c r="L450" s="54"/>
      <c r="R450" s="45"/>
      <c r="S450" s="54"/>
      <c r="T450" s="54"/>
      <c r="U450" s="54"/>
      <c r="V450" s="44"/>
      <c r="W450" s="27"/>
      <c r="Z450" s="27"/>
      <c r="AA450" s="8"/>
      <c r="AB450" s="81" t="str">
        <f t="shared" si="214"/>
        <v/>
      </c>
      <c r="AC450" s="6" t="str">
        <f t="shared" si="215"/>
        <v/>
      </c>
      <c r="AD450" s="1" t="str">
        <f t="shared" ca="1" si="216"/>
        <v/>
      </c>
      <c r="AE450" s="75" t="str">
        <f t="shared" si="217"/>
        <v/>
      </c>
      <c r="AF450" s="75" t="str">
        <f t="shared" si="218"/>
        <v/>
      </c>
      <c r="AG450" s="4" t="str">
        <f t="shared" si="219"/>
        <v/>
      </c>
      <c r="AH450" s="4" t="str">
        <f t="shared" si="220"/>
        <v/>
      </c>
      <c r="AI450" s="4" t="str">
        <f t="shared" si="221"/>
        <v/>
      </c>
      <c r="AJ450" s="4" t="str">
        <f t="shared" si="222"/>
        <v/>
      </c>
      <c r="AK450" s="4" t="str">
        <f t="shared" si="223"/>
        <v/>
      </c>
      <c r="AL450" s="2" t="str">
        <f t="shared" si="224"/>
        <v/>
      </c>
      <c r="AM450" s="6" t="str">
        <f t="shared" si="225"/>
        <v/>
      </c>
      <c r="AN450" s="4" t="str">
        <f t="shared" si="226"/>
        <v/>
      </c>
      <c r="AO450" s="4" t="str">
        <f t="shared" si="227"/>
        <v/>
      </c>
      <c r="AP450" s="4" t="str">
        <f t="shared" si="228"/>
        <v/>
      </c>
      <c r="AQ450" s="4" t="str">
        <f t="shared" si="229"/>
        <v/>
      </c>
      <c r="AR450" s="4" t="str">
        <f t="shared" si="230"/>
        <v/>
      </c>
    </row>
    <row r="451" spans="8:44" s="1" customFormat="1" ht="14.25" x14ac:dyDescent="0.3">
      <c r="H451" s="50"/>
      <c r="J451" s="54"/>
      <c r="L451" s="54"/>
      <c r="R451" s="45"/>
      <c r="S451" s="54"/>
      <c r="T451" s="54"/>
      <c r="U451" s="54"/>
      <c r="V451" s="44"/>
      <c r="W451" s="27"/>
      <c r="Z451" s="27"/>
      <c r="AA451" s="8"/>
      <c r="AB451" s="81" t="str">
        <f t="shared" si="214"/>
        <v/>
      </c>
      <c r="AC451" s="6" t="str">
        <f t="shared" si="215"/>
        <v/>
      </c>
      <c r="AD451" s="1" t="str">
        <f t="shared" ca="1" si="216"/>
        <v/>
      </c>
      <c r="AE451" s="75" t="str">
        <f t="shared" si="217"/>
        <v/>
      </c>
      <c r="AF451" s="75" t="str">
        <f t="shared" si="218"/>
        <v/>
      </c>
      <c r="AG451" s="4" t="str">
        <f t="shared" si="219"/>
        <v/>
      </c>
      <c r="AH451" s="4" t="str">
        <f t="shared" si="220"/>
        <v/>
      </c>
      <c r="AI451" s="4" t="str">
        <f t="shared" si="221"/>
        <v/>
      </c>
      <c r="AJ451" s="4" t="str">
        <f t="shared" si="222"/>
        <v/>
      </c>
      <c r="AK451" s="4" t="str">
        <f t="shared" si="223"/>
        <v/>
      </c>
      <c r="AL451" s="2" t="str">
        <f t="shared" si="224"/>
        <v/>
      </c>
      <c r="AM451" s="6" t="str">
        <f t="shared" si="225"/>
        <v/>
      </c>
      <c r="AN451" s="4" t="str">
        <f t="shared" si="226"/>
        <v/>
      </c>
      <c r="AO451" s="4" t="str">
        <f t="shared" si="227"/>
        <v/>
      </c>
      <c r="AP451" s="4" t="str">
        <f t="shared" si="228"/>
        <v/>
      </c>
      <c r="AQ451" s="4" t="str">
        <f t="shared" si="229"/>
        <v/>
      </c>
      <c r="AR451" s="4" t="str">
        <f t="shared" si="230"/>
        <v/>
      </c>
    </row>
    <row r="452" spans="8:44" s="1" customFormat="1" ht="14.25" x14ac:dyDescent="0.3">
      <c r="H452" s="50"/>
      <c r="J452" s="54"/>
      <c r="L452" s="54"/>
      <c r="R452" s="45"/>
      <c r="S452" s="54"/>
      <c r="T452" s="54"/>
      <c r="U452" s="54"/>
      <c r="V452" s="44"/>
      <c r="W452" s="27"/>
      <c r="Z452" s="27"/>
      <c r="AA452" s="8"/>
      <c r="AB452" s="81" t="str">
        <f t="shared" si="214"/>
        <v/>
      </c>
      <c r="AC452" s="6" t="str">
        <f t="shared" si="215"/>
        <v/>
      </c>
      <c r="AD452" s="1" t="str">
        <f t="shared" ca="1" si="216"/>
        <v/>
      </c>
      <c r="AE452" s="75" t="str">
        <f t="shared" si="217"/>
        <v/>
      </c>
      <c r="AF452" s="75" t="str">
        <f t="shared" si="218"/>
        <v/>
      </c>
      <c r="AG452" s="4" t="str">
        <f t="shared" si="219"/>
        <v/>
      </c>
      <c r="AH452" s="4" t="str">
        <f t="shared" si="220"/>
        <v/>
      </c>
      <c r="AI452" s="4" t="str">
        <f t="shared" si="221"/>
        <v/>
      </c>
      <c r="AJ452" s="4" t="str">
        <f t="shared" si="222"/>
        <v/>
      </c>
      <c r="AK452" s="4" t="str">
        <f t="shared" si="223"/>
        <v/>
      </c>
      <c r="AL452" s="2" t="str">
        <f t="shared" si="224"/>
        <v/>
      </c>
      <c r="AM452" s="6" t="str">
        <f t="shared" si="225"/>
        <v/>
      </c>
      <c r="AN452" s="4" t="str">
        <f t="shared" si="226"/>
        <v/>
      </c>
      <c r="AO452" s="4" t="str">
        <f t="shared" si="227"/>
        <v/>
      </c>
      <c r="AP452" s="4" t="str">
        <f t="shared" si="228"/>
        <v/>
      </c>
      <c r="AQ452" s="4" t="str">
        <f t="shared" si="229"/>
        <v/>
      </c>
      <c r="AR452" s="4" t="str">
        <f t="shared" si="230"/>
        <v/>
      </c>
    </row>
    <row r="453" spans="8:44" s="1" customFormat="1" ht="14.25" x14ac:dyDescent="0.3">
      <c r="H453" s="50"/>
      <c r="J453" s="54"/>
      <c r="L453" s="54"/>
      <c r="R453" s="45"/>
      <c r="S453" s="54"/>
      <c r="T453" s="54"/>
      <c r="U453" s="54"/>
      <c r="V453" s="44"/>
      <c r="W453" s="27"/>
      <c r="Z453" s="27"/>
      <c r="AA453" s="8"/>
      <c r="AB453" s="81" t="str">
        <f t="shared" si="214"/>
        <v/>
      </c>
      <c r="AC453" s="6" t="str">
        <f t="shared" si="215"/>
        <v/>
      </c>
      <c r="AD453" s="1" t="str">
        <f t="shared" ca="1" si="216"/>
        <v/>
      </c>
      <c r="AE453" s="75" t="str">
        <f t="shared" si="217"/>
        <v/>
      </c>
      <c r="AF453" s="75" t="str">
        <f t="shared" si="218"/>
        <v/>
      </c>
      <c r="AG453" s="4" t="str">
        <f t="shared" si="219"/>
        <v/>
      </c>
      <c r="AH453" s="4" t="str">
        <f t="shared" si="220"/>
        <v/>
      </c>
      <c r="AI453" s="4" t="str">
        <f t="shared" si="221"/>
        <v/>
      </c>
      <c r="AJ453" s="4" t="str">
        <f t="shared" si="222"/>
        <v/>
      </c>
      <c r="AK453" s="4" t="str">
        <f t="shared" si="223"/>
        <v/>
      </c>
      <c r="AL453" s="2" t="str">
        <f t="shared" si="224"/>
        <v/>
      </c>
      <c r="AM453" s="6" t="str">
        <f t="shared" si="225"/>
        <v/>
      </c>
      <c r="AN453" s="4" t="str">
        <f t="shared" si="226"/>
        <v/>
      </c>
      <c r="AO453" s="4" t="str">
        <f t="shared" si="227"/>
        <v/>
      </c>
      <c r="AP453" s="4" t="str">
        <f t="shared" si="228"/>
        <v/>
      </c>
      <c r="AQ453" s="4" t="str">
        <f t="shared" si="229"/>
        <v/>
      </c>
      <c r="AR453" s="4" t="str">
        <f t="shared" si="230"/>
        <v/>
      </c>
    </row>
    <row r="454" spans="8:44" s="1" customFormat="1" ht="14.25" x14ac:dyDescent="0.3">
      <c r="H454" s="50"/>
      <c r="J454" s="54"/>
      <c r="L454" s="54"/>
      <c r="R454" s="45"/>
      <c r="S454" s="54"/>
      <c r="T454" s="54"/>
      <c r="U454" s="54"/>
      <c r="V454" s="44"/>
      <c r="W454" s="27"/>
      <c r="Z454" s="27"/>
      <c r="AA454" s="8"/>
      <c r="AB454" s="81" t="str">
        <f t="shared" si="214"/>
        <v/>
      </c>
      <c r="AC454" s="6" t="str">
        <f t="shared" si="215"/>
        <v/>
      </c>
      <c r="AD454" s="1" t="str">
        <f t="shared" ca="1" si="216"/>
        <v/>
      </c>
      <c r="AE454" s="75" t="str">
        <f t="shared" si="217"/>
        <v/>
      </c>
      <c r="AF454" s="75" t="str">
        <f t="shared" si="218"/>
        <v/>
      </c>
      <c r="AG454" s="4" t="str">
        <f t="shared" si="219"/>
        <v/>
      </c>
      <c r="AH454" s="4" t="str">
        <f t="shared" si="220"/>
        <v/>
      </c>
      <c r="AI454" s="4" t="str">
        <f t="shared" si="221"/>
        <v/>
      </c>
      <c r="AJ454" s="4" t="str">
        <f t="shared" si="222"/>
        <v/>
      </c>
      <c r="AK454" s="4" t="str">
        <f t="shared" si="223"/>
        <v/>
      </c>
      <c r="AL454" s="2" t="str">
        <f t="shared" si="224"/>
        <v/>
      </c>
      <c r="AM454" s="6" t="str">
        <f t="shared" si="225"/>
        <v/>
      </c>
      <c r="AN454" s="4" t="str">
        <f t="shared" si="226"/>
        <v/>
      </c>
      <c r="AO454" s="4" t="str">
        <f t="shared" si="227"/>
        <v/>
      </c>
      <c r="AP454" s="4" t="str">
        <f t="shared" si="228"/>
        <v/>
      </c>
      <c r="AQ454" s="4" t="str">
        <f t="shared" si="229"/>
        <v/>
      </c>
      <c r="AR454" s="4" t="str">
        <f t="shared" si="230"/>
        <v/>
      </c>
    </row>
    <row r="455" spans="8:44" s="1" customFormat="1" ht="14.25" x14ac:dyDescent="0.3">
      <c r="H455" s="50"/>
      <c r="J455" s="54"/>
      <c r="L455" s="54"/>
      <c r="R455" s="45"/>
      <c r="S455" s="54"/>
      <c r="T455" s="54"/>
      <c r="U455" s="54"/>
      <c r="V455" s="44"/>
      <c r="W455" s="27"/>
      <c r="Z455" s="27"/>
      <c r="AA455" s="8"/>
      <c r="AB455" s="81" t="str">
        <f t="shared" si="214"/>
        <v/>
      </c>
      <c r="AC455" s="6" t="str">
        <f t="shared" si="215"/>
        <v/>
      </c>
      <c r="AD455" s="1" t="str">
        <f t="shared" ca="1" si="216"/>
        <v/>
      </c>
      <c r="AE455" s="75" t="str">
        <f t="shared" si="217"/>
        <v/>
      </c>
      <c r="AF455" s="75" t="str">
        <f t="shared" si="218"/>
        <v/>
      </c>
      <c r="AG455" s="4" t="str">
        <f t="shared" si="219"/>
        <v/>
      </c>
      <c r="AH455" s="4" t="str">
        <f t="shared" si="220"/>
        <v/>
      </c>
      <c r="AI455" s="4" t="str">
        <f t="shared" si="221"/>
        <v/>
      </c>
      <c r="AJ455" s="4" t="str">
        <f t="shared" si="222"/>
        <v/>
      </c>
      <c r="AK455" s="4" t="str">
        <f t="shared" si="223"/>
        <v/>
      </c>
      <c r="AL455" s="2" t="str">
        <f t="shared" si="224"/>
        <v/>
      </c>
      <c r="AM455" s="6" t="str">
        <f t="shared" si="225"/>
        <v/>
      </c>
      <c r="AN455" s="4" t="str">
        <f t="shared" si="226"/>
        <v/>
      </c>
      <c r="AO455" s="4" t="str">
        <f t="shared" si="227"/>
        <v/>
      </c>
      <c r="AP455" s="4" t="str">
        <f t="shared" si="228"/>
        <v/>
      </c>
      <c r="AQ455" s="4" t="str">
        <f t="shared" si="229"/>
        <v/>
      </c>
      <c r="AR455" s="4" t="str">
        <f t="shared" si="230"/>
        <v/>
      </c>
    </row>
    <row r="456" spans="8:44" s="1" customFormat="1" ht="14.25" x14ac:dyDescent="0.3">
      <c r="H456" s="50"/>
      <c r="J456" s="54"/>
      <c r="L456" s="54"/>
      <c r="R456" s="45"/>
      <c r="S456" s="54"/>
      <c r="T456" s="54"/>
      <c r="U456" s="54"/>
      <c r="V456" s="44"/>
      <c r="W456" s="27"/>
      <c r="Z456" s="27"/>
      <c r="AA456" s="8"/>
      <c r="AB456" s="81" t="str">
        <f t="shared" si="214"/>
        <v/>
      </c>
      <c r="AC456" s="6" t="str">
        <f t="shared" si="215"/>
        <v/>
      </c>
      <c r="AD456" s="1" t="str">
        <f t="shared" ca="1" si="216"/>
        <v/>
      </c>
      <c r="AE456" s="75" t="str">
        <f t="shared" si="217"/>
        <v/>
      </c>
      <c r="AF456" s="75" t="str">
        <f t="shared" si="218"/>
        <v/>
      </c>
      <c r="AG456" s="4" t="str">
        <f t="shared" si="219"/>
        <v/>
      </c>
      <c r="AH456" s="4" t="str">
        <f t="shared" si="220"/>
        <v/>
      </c>
      <c r="AI456" s="4" t="str">
        <f t="shared" si="221"/>
        <v/>
      </c>
      <c r="AJ456" s="4" t="str">
        <f t="shared" si="222"/>
        <v/>
      </c>
      <c r="AK456" s="4" t="str">
        <f t="shared" si="223"/>
        <v/>
      </c>
      <c r="AL456" s="2" t="str">
        <f t="shared" si="224"/>
        <v/>
      </c>
      <c r="AM456" s="6" t="str">
        <f t="shared" si="225"/>
        <v/>
      </c>
      <c r="AN456" s="4" t="str">
        <f t="shared" si="226"/>
        <v/>
      </c>
      <c r="AO456" s="4" t="str">
        <f t="shared" si="227"/>
        <v/>
      </c>
      <c r="AP456" s="4" t="str">
        <f t="shared" si="228"/>
        <v/>
      </c>
      <c r="AQ456" s="4" t="str">
        <f t="shared" si="229"/>
        <v/>
      </c>
      <c r="AR456" s="4" t="str">
        <f t="shared" si="230"/>
        <v/>
      </c>
    </row>
    <row r="457" spans="8:44" s="1" customFormat="1" ht="14.25" x14ac:dyDescent="0.3">
      <c r="H457" s="50"/>
      <c r="J457" s="54"/>
      <c r="L457" s="54"/>
      <c r="R457" s="45"/>
      <c r="S457" s="54"/>
      <c r="T457" s="54"/>
      <c r="U457" s="54"/>
      <c r="V457" s="44"/>
      <c r="W457" s="27"/>
      <c r="Z457" s="27"/>
      <c r="AA457" s="8"/>
      <c r="AB457" s="81" t="str">
        <f t="shared" si="214"/>
        <v/>
      </c>
      <c r="AC457" s="6" t="str">
        <f t="shared" si="215"/>
        <v/>
      </c>
      <c r="AD457" s="1" t="str">
        <f t="shared" ca="1" si="216"/>
        <v/>
      </c>
      <c r="AE457" s="75" t="str">
        <f t="shared" si="217"/>
        <v/>
      </c>
      <c r="AF457" s="75" t="str">
        <f t="shared" si="218"/>
        <v/>
      </c>
      <c r="AG457" s="4" t="str">
        <f t="shared" si="219"/>
        <v/>
      </c>
      <c r="AH457" s="4" t="str">
        <f t="shared" si="220"/>
        <v/>
      </c>
      <c r="AI457" s="4" t="str">
        <f t="shared" si="221"/>
        <v/>
      </c>
      <c r="AJ457" s="4" t="str">
        <f t="shared" si="222"/>
        <v/>
      </c>
      <c r="AK457" s="4" t="str">
        <f t="shared" si="223"/>
        <v/>
      </c>
      <c r="AL457" s="2" t="str">
        <f t="shared" si="224"/>
        <v/>
      </c>
      <c r="AM457" s="6" t="str">
        <f t="shared" si="225"/>
        <v/>
      </c>
      <c r="AN457" s="4" t="str">
        <f t="shared" si="226"/>
        <v/>
      </c>
      <c r="AO457" s="4" t="str">
        <f t="shared" si="227"/>
        <v/>
      </c>
      <c r="AP457" s="4" t="str">
        <f t="shared" si="228"/>
        <v/>
      </c>
      <c r="AQ457" s="4" t="str">
        <f t="shared" si="229"/>
        <v/>
      </c>
      <c r="AR457" s="4" t="str">
        <f t="shared" si="230"/>
        <v/>
      </c>
    </row>
    <row r="458" spans="8:44" s="1" customFormat="1" ht="14.25" x14ac:dyDescent="0.3">
      <c r="H458" s="50"/>
      <c r="J458" s="54"/>
      <c r="L458" s="54"/>
      <c r="R458" s="45"/>
      <c r="S458" s="54"/>
      <c r="T458" s="54"/>
      <c r="U458" s="54"/>
      <c r="V458" s="44"/>
      <c r="W458" s="27"/>
      <c r="Z458" s="27"/>
      <c r="AA458" s="8"/>
      <c r="AB458" s="81" t="str">
        <f t="shared" si="214"/>
        <v/>
      </c>
      <c r="AC458" s="6" t="str">
        <f t="shared" si="215"/>
        <v/>
      </c>
      <c r="AD458" s="1" t="str">
        <f t="shared" ca="1" si="216"/>
        <v/>
      </c>
      <c r="AE458" s="75" t="str">
        <f t="shared" si="217"/>
        <v/>
      </c>
      <c r="AF458" s="75" t="str">
        <f t="shared" si="218"/>
        <v/>
      </c>
      <c r="AG458" s="4" t="str">
        <f t="shared" si="219"/>
        <v/>
      </c>
      <c r="AH458" s="4" t="str">
        <f t="shared" si="220"/>
        <v/>
      </c>
      <c r="AI458" s="4" t="str">
        <f t="shared" si="221"/>
        <v/>
      </c>
      <c r="AJ458" s="4" t="str">
        <f t="shared" si="222"/>
        <v/>
      </c>
      <c r="AK458" s="4" t="str">
        <f t="shared" si="223"/>
        <v/>
      </c>
      <c r="AL458" s="2" t="str">
        <f t="shared" si="224"/>
        <v/>
      </c>
      <c r="AM458" s="6" t="str">
        <f t="shared" si="225"/>
        <v/>
      </c>
      <c r="AN458" s="4" t="str">
        <f t="shared" si="226"/>
        <v/>
      </c>
      <c r="AO458" s="4" t="str">
        <f t="shared" si="227"/>
        <v/>
      </c>
      <c r="AP458" s="4" t="str">
        <f t="shared" si="228"/>
        <v/>
      </c>
      <c r="AQ458" s="4" t="str">
        <f t="shared" si="229"/>
        <v/>
      </c>
      <c r="AR458" s="4" t="str">
        <f t="shared" si="230"/>
        <v/>
      </c>
    </row>
    <row r="459" spans="8:44" s="1" customFormat="1" ht="14.25" x14ac:dyDescent="0.3">
      <c r="H459" s="50"/>
      <c r="J459" s="54"/>
      <c r="L459" s="54"/>
      <c r="R459" s="45"/>
      <c r="S459" s="54"/>
      <c r="T459" s="54"/>
      <c r="U459" s="54"/>
      <c r="V459" s="44"/>
      <c r="W459" s="27"/>
      <c r="Z459" s="27"/>
      <c r="AA459" s="8"/>
      <c r="AB459" s="81" t="str">
        <f t="shared" si="214"/>
        <v/>
      </c>
      <c r="AC459" s="6" t="str">
        <f t="shared" si="215"/>
        <v/>
      </c>
      <c r="AD459" s="1" t="str">
        <f t="shared" ca="1" si="216"/>
        <v/>
      </c>
      <c r="AE459" s="75" t="str">
        <f t="shared" si="217"/>
        <v/>
      </c>
      <c r="AF459" s="75" t="str">
        <f t="shared" si="218"/>
        <v/>
      </c>
      <c r="AG459" s="4" t="str">
        <f t="shared" si="219"/>
        <v/>
      </c>
      <c r="AH459" s="4" t="str">
        <f t="shared" si="220"/>
        <v/>
      </c>
      <c r="AI459" s="4" t="str">
        <f t="shared" si="221"/>
        <v/>
      </c>
      <c r="AJ459" s="4" t="str">
        <f t="shared" si="222"/>
        <v/>
      </c>
      <c r="AK459" s="4" t="str">
        <f t="shared" si="223"/>
        <v/>
      </c>
      <c r="AL459" s="2" t="str">
        <f t="shared" si="224"/>
        <v/>
      </c>
      <c r="AM459" s="6" t="str">
        <f t="shared" si="225"/>
        <v/>
      </c>
      <c r="AN459" s="4" t="str">
        <f t="shared" si="226"/>
        <v/>
      </c>
      <c r="AO459" s="4" t="str">
        <f t="shared" si="227"/>
        <v/>
      </c>
      <c r="AP459" s="4" t="str">
        <f t="shared" si="228"/>
        <v/>
      </c>
      <c r="AQ459" s="4" t="str">
        <f t="shared" si="229"/>
        <v/>
      </c>
      <c r="AR459" s="4" t="str">
        <f t="shared" si="230"/>
        <v/>
      </c>
    </row>
    <row r="460" spans="8:44" s="1" customFormat="1" ht="14.25" x14ac:dyDescent="0.3">
      <c r="H460" s="50"/>
      <c r="J460" s="54"/>
      <c r="L460" s="54"/>
      <c r="R460" s="45"/>
      <c r="S460" s="54"/>
      <c r="T460" s="54"/>
      <c r="U460" s="54"/>
      <c r="V460" s="44"/>
      <c r="W460" s="27"/>
      <c r="Z460" s="27"/>
      <c r="AA460" s="8"/>
      <c r="AB460" s="81" t="str">
        <f t="shared" si="214"/>
        <v/>
      </c>
      <c r="AC460" s="6" t="str">
        <f t="shared" si="215"/>
        <v/>
      </c>
      <c r="AD460" s="1" t="str">
        <f t="shared" ca="1" si="216"/>
        <v/>
      </c>
      <c r="AE460" s="75" t="str">
        <f t="shared" si="217"/>
        <v/>
      </c>
      <c r="AF460" s="75" t="str">
        <f t="shared" si="218"/>
        <v/>
      </c>
      <c r="AG460" s="4" t="str">
        <f t="shared" si="219"/>
        <v/>
      </c>
      <c r="AH460" s="4" t="str">
        <f t="shared" si="220"/>
        <v/>
      </c>
      <c r="AI460" s="4" t="str">
        <f t="shared" si="221"/>
        <v/>
      </c>
      <c r="AJ460" s="4" t="str">
        <f t="shared" si="222"/>
        <v/>
      </c>
      <c r="AK460" s="4" t="str">
        <f t="shared" si="223"/>
        <v/>
      </c>
      <c r="AL460" s="2" t="str">
        <f t="shared" si="224"/>
        <v/>
      </c>
      <c r="AM460" s="6" t="str">
        <f t="shared" si="225"/>
        <v/>
      </c>
      <c r="AN460" s="4" t="str">
        <f t="shared" si="226"/>
        <v/>
      </c>
      <c r="AO460" s="4" t="str">
        <f t="shared" si="227"/>
        <v/>
      </c>
      <c r="AP460" s="4" t="str">
        <f t="shared" si="228"/>
        <v/>
      </c>
      <c r="AQ460" s="4" t="str">
        <f t="shared" si="229"/>
        <v/>
      </c>
      <c r="AR460" s="4" t="str">
        <f t="shared" si="230"/>
        <v/>
      </c>
    </row>
    <row r="461" spans="8:44" s="1" customFormat="1" ht="14.25" x14ac:dyDescent="0.3">
      <c r="H461" s="50"/>
      <c r="J461" s="54"/>
      <c r="L461" s="54"/>
      <c r="R461" s="45"/>
      <c r="S461" s="54"/>
      <c r="T461" s="54"/>
      <c r="U461" s="54"/>
      <c r="V461" s="44"/>
      <c r="W461" s="27"/>
      <c r="Z461" s="27"/>
      <c r="AA461" s="8"/>
      <c r="AB461" s="81" t="str">
        <f t="shared" si="214"/>
        <v/>
      </c>
      <c r="AC461" s="6" t="str">
        <f t="shared" si="215"/>
        <v/>
      </c>
      <c r="AD461" s="1" t="str">
        <f t="shared" ca="1" si="216"/>
        <v/>
      </c>
      <c r="AE461" s="75" t="str">
        <f t="shared" si="217"/>
        <v/>
      </c>
      <c r="AF461" s="75" t="str">
        <f t="shared" si="218"/>
        <v/>
      </c>
      <c r="AG461" s="4" t="str">
        <f t="shared" si="219"/>
        <v/>
      </c>
      <c r="AH461" s="4" t="str">
        <f t="shared" si="220"/>
        <v/>
      </c>
      <c r="AI461" s="4" t="str">
        <f t="shared" si="221"/>
        <v/>
      </c>
      <c r="AJ461" s="4" t="str">
        <f t="shared" si="222"/>
        <v/>
      </c>
      <c r="AK461" s="4" t="str">
        <f t="shared" si="223"/>
        <v/>
      </c>
      <c r="AL461" s="2" t="str">
        <f t="shared" si="224"/>
        <v/>
      </c>
      <c r="AM461" s="6" t="str">
        <f t="shared" si="225"/>
        <v/>
      </c>
      <c r="AN461" s="4" t="str">
        <f t="shared" si="226"/>
        <v/>
      </c>
      <c r="AO461" s="4" t="str">
        <f t="shared" si="227"/>
        <v/>
      </c>
      <c r="AP461" s="4" t="str">
        <f t="shared" si="228"/>
        <v/>
      </c>
      <c r="AQ461" s="4" t="str">
        <f t="shared" si="229"/>
        <v/>
      </c>
      <c r="AR461" s="4" t="str">
        <f t="shared" si="230"/>
        <v/>
      </c>
    </row>
    <row r="462" spans="8:44" s="1" customFormat="1" ht="14.25" x14ac:dyDescent="0.3">
      <c r="H462" s="50"/>
      <c r="J462" s="54"/>
      <c r="L462" s="54"/>
      <c r="R462" s="45"/>
      <c r="S462" s="54"/>
      <c r="T462" s="54"/>
      <c r="U462" s="54"/>
      <c r="V462" s="44"/>
      <c r="W462" s="27"/>
      <c r="Z462" s="27"/>
      <c r="AA462" s="8"/>
      <c r="AB462" s="81" t="str">
        <f t="shared" si="214"/>
        <v/>
      </c>
      <c r="AC462" s="6" t="str">
        <f t="shared" si="215"/>
        <v/>
      </c>
      <c r="AD462" s="1" t="str">
        <f t="shared" ca="1" si="216"/>
        <v/>
      </c>
      <c r="AE462" s="75" t="str">
        <f t="shared" si="217"/>
        <v/>
      </c>
      <c r="AF462" s="75" t="str">
        <f t="shared" si="218"/>
        <v/>
      </c>
      <c r="AG462" s="4" t="str">
        <f t="shared" si="219"/>
        <v/>
      </c>
      <c r="AH462" s="4" t="str">
        <f t="shared" si="220"/>
        <v/>
      </c>
      <c r="AI462" s="4" t="str">
        <f t="shared" si="221"/>
        <v/>
      </c>
      <c r="AJ462" s="4" t="str">
        <f t="shared" si="222"/>
        <v/>
      </c>
      <c r="AK462" s="4" t="str">
        <f t="shared" si="223"/>
        <v/>
      </c>
      <c r="AL462" s="2" t="str">
        <f t="shared" si="224"/>
        <v/>
      </c>
      <c r="AM462" s="6" t="str">
        <f t="shared" si="225"/>
        <v/>
      </c>
      <c r="AN462" s="4" t="str">
        <f t="shared" si="226"/>
        <v/>
      </c>
      <c r="AO462" s="4" t="str">
        <f t="shared" si="227"/>
        <v/>
      </c>
      <c r="AP462" s="4" t="str">
        <f t="shared" si="228"/>
        <v/>
      </c>
      <c r="AQ462" s="4" t="str">
        <f t="shared" si="229"/>
        <v/>
      </c>
      <c r="AR462" s="4" t="str">
        <f t="shared" si="230"/>
        <v/>
      </c>
    </row>
    <row r="463" spans="8:44" s="1" customFormat="1" ht="14.25" x14ac:dyDescent="0.3">
      <c r="H463" s="50"/>
      <c r="J463" s="54"/>
      <c r="L463" s="54"/>
      <c r="R463" s="45"/>
      <c r="S463" s="54"/>
      <c r="T463" s="54"/>
      <c r="U463" s="54"/>
      <c r="V463" s="44"/>
      <c r="W463" s="27"/>
      <c r="Z463" s="27"/>
      <c r="AA463" s="8"/>
      <c r="AB463" s="81" t="str">
        <f t="shared" si="214"/>
        <v/>
      </c>
      <c r="AC463" s="6" t="str">
        <f t="shared" si="215"/>
        <v/>
      </c>
      <c r="AD463" s="1" t="str">
        <f t="shared" ca="1" si="216"/>
        <v/>
      </c>
      <c r="AE463" s="75" t="str">
        <f t="shared" si="217"/>
        <v/>
      </c>
      <c r="AF463" s="75" t="str">
        <f t="shared" si="218"/>
        <v/>
      </c>
      <c r="AG463" s="4" t="str">
        <f t="shared" si="219"/>
        <v/>
      </c>
      <c r="AH463" s="4" t="str">
        <f t="shared" si="220"/>
        <v/>
      </c>
      <c r="AI463" s="4" t="str">
        <f t="shared" si="221"/>
        <v/>
      </c>
      <c r="AJ463" s="4" t="str">
        <f t="shared" si="222"/>
        <v/>
      </c>
      <c r="AK463" s="4" t="str">
        <f t="shared" si="223"/>
        <v/>
      </c>
      <c r="AL463" s="2" t="str">
        <f t="shared" si="224"/>
        <v/>
      </c>
      <c r="AM463" s="6" t="str">
        <f t="shared" si="225"/>
        <v/>
      </c>
      <c r="AN463" s="4" t="str">
        <f t="shared" si="226"/>
        <v/>
      </c>
      <c r="AO463" s="4" t="str">
        <f t="shared" si="227"/>
        <v/>
      </c>
      <c r="AP463" s="4" t="str">
        <f t="shared" si="228"/>
        <v/>
      </c>
      <c r="AQ463" s="4" t="str">
        <f t="shared" si="229"/>
        <v/>
      </c>
      <c r="AR463" s="4" t="str">
        <f t="shared" si="230"/>
        <v/>
      </c>
    </row>
    <row r="464" spans="8:44" s="1" customFormat="1" ht="14.25" x14ac:dyDescent="0.3">
      <c r="H464" s="50"/>
      <c r="J464" s="54"/>
      <c r="L464" s="54"/>
      <c r="R464" s="45"/>
      <c r="S464" s="54"/>
      <c r="T464" s="54"/>
      <c r="U464" s="54"/>
      <c r="V464" s="44"/>
      <c r="W464" s="27"/>
      <c r="Z464" s="27"/>
      <c r="AA464" s="8"/>
      <c r="AB464" s="81" t="str">
        <f t="shared" si="214"/>
        <v/>
      </c>
      <c r="AC464" s="6" t="str">
        <f t="shared" si="215"/>
        <v/>
      </c>
      <c r="AD464" s="1" t="str">
        <f t="shared" ca="1" si="216"/>
        <v/>
      </c>
      <c r="AE464" s="75" t="str">
        <f t="shared" si="217"/>
        <v/>
      </c>
      <c r="AF464" s="75" t="str">
        <f t="shared" si="218"/>
        <v/>
      </c>
      <c r="AG464" s="4" t="str">
        <f t="shared" si="219"/>
        <v/>
      </c>
      <c r="AH464" s="4" t="str">
        <f t="shared" si="220"/>
        <v/>
      </c>
      <c r="AI464" s="4" t="str">
        <f t="shared" si="221"/>
        <v/>
      </c>
      <c r="AJ464" s="4" t="str">
        <f t="shared" si="222"/>
        <v/>
      </c>
      <c r="AK464" s="4" t="str">
        <f t="shared" si="223"/>
        <v/>
      </c>
      <c r="AL464" s="2" t="str">
        <f t="shared" si="224"/>
        <v/>
      </c>
      <c r="AM464" s="6" t="str">
        <f t="shared" si="225"/>
        <v/>
      </c>
      <c r="AN464" s="4" t="str">
        <f t="shared" si="226"/>
        <v/>
      </c>
      <c r="AO464" s="4" t="str">
        <f t="shared" si="227"/>
        <v/>
      </c>
      <c r="AP464" s="4" t="str">
        <f t="shared" si="228"/>
        <v/>
      </c>
      <c r="AQ464" s="4" t="str">
        <f t="shared" si="229"/>
        <v/>
      </c>
      <c r="AR464" s="4" t="str">
        <f t="shared" si="230"/>
        <v/>
      </c>
    </row>
    <row r="465" spans="8:44" s="1" customFormat="1" ht="14.25" x14ac:dyDescent="0.3">
      <c r="H465" s="50"/>
      <c r="J465" s="54"/>
      <c r="L465" s="54"/>
      <c r="R465" s="45"/>
      <c r="S465" s="54"/>
      <c r="T465" s="54"/>
      <c r="U465" s="54"/>
      <c r="V465" s="44"/>
      <c r="W465" s="27"/>
      <c r="Z465" s="27"/>
      <c r="AA465" s="8"/>
      <c r="AB465" s="81" t="str">
        <f t="shared" si="214"/>
        <v/>
      </c>
      <c r="AC465" s="6" t="str">
        <f t="shared" si="215"/>
        <v/>
      </c>
      <c r="AD465" s="1" t="str">
        <f t="shared" ca="1" si="216"/>
        <v/>
      </c>
      <c r="AE465" s="75" t="str">
        <f t="shared" si="217"/>
        <v/>
      </c>
      <c r="AF465" s="75" t="str">
        <f t="shared" si="218"/>
        <v/>
      </c>
      <c r="AG465" s="4" t="str">
        <f t="shared" si="219"/>
        <v/>
      </c>
      <c r="AH465" s="4" t="str">
        <f t="shared" si="220"/>
        <v/>
      </c>
      <c r="AI465" s="4" t="str">
        <f t="shared" si="221"/>
        <v/>
      </c>
      <c r="AJ465" s="4" t="str">
        <f t="shared" si="222"/>
        <v/>
      </c>
      <c r="AK465" s="4" t="str">
        <f t="shared" si="223"/>
        <v/>
      </c>
      <c r="AL465" s="2" t="str">
        <f t="shared" si="224"/>
        <v/>
      </c>
      <c r="AM465" s="6" t="str">
        <f t="shared" si="225"/>
        <v/>
      </c>
      <c r="AN465" s="4" t="str">
        <f t="shared" si="226"/>
        <v/>
      </c>
      <c r="AO465" s="4" t="str">
        <f t="shared" si="227"/>
        <v/>
      </c>
      <c r="AP465" s="4" t="str">
        <f t="shared" si="228"/>
        <v/>
      </c>
      <c r="AQ465" s="4" t="str">
        <f t="shared" si="229"/>
        <v/>
      </c>
      <c r="AR465" s="4" t="str">
        <f t="shared" si="230"/>
        <v/>
      </c>
    </row>
    <row r="466" spans="8:44" s="1" customFormat="1" ht="14.25" x14ac:dyDescent="0.3">
      <c r="H466" s="50"/>
      <c r="J466" s="54"/>
      <c r="L466" s="54"/>
      <c r="R466" s="45"/>
      <c r="S466" s="54"/>
      <c r="T466" s="54"/>
      <c r="U466" s="54"/>
      <c r="V466" s="44"/>
      <c r="W466" s="27"/>
      <c r="Z466" s="27"/>
      <c r="AA466" s="8"/>
      <c r="AB466" s="81" t="str">
        <f t="shared" si="214"/>
        <v/>
      </c>
      <c r="AC466" s="6" t="str">
        <f t="shared" si="215"/>
        <v/>
      </c>
      <c r="AD466" s="1" t="str">
        <f t="shared" ca="1" si="216"/>
        <v/>
      </c>
      <c r="AE466" s="75" t="str">
        <f t="shared" si="217"/>
        <v/>
      </c>
      <c r="AF466" s="75" t="str">
        <f t="shared" si="218"/>
        <v/>
      </c>
      <c r="AG466" s="4" t="str">
        <f t="shared" si="219"/>
        <v/>
      </c>
      <c r="AH466" s="4" t="str">
        <f t="shared" si="220"/>
        <v/>
      </c>
      <c r="AI466" s="4" t="str">
        <f t="shared" si="221"/>
        <v/>
      </c>
      <c r="AJ466" s="4" t="str">
        <f t="shared" si="222"/>
        <v/>
      </c>
      <c r="AK466" s="4" t="str">
        <f t="shared" si="223"/>
        <v/>
      </c>
      <c r="AL466" s="2" t="str">
        <f t="shared" si="224"/>
        <v/>
      </c>
      <c r="AM466" s="6" t="str">
        <f t="shared" si="225"/>
        <v/>
      </c>
      <c r="AN466" s="4" t="str">
        <f t="shared" si="226"/>
        <v/>
      </c>
      <c r="AO466" s="4" t="str">
        <f t="shared" si="227"/>
        <v/>
      </c>
      <c r="AP466" s="4" t="str">
        <f t="shared" si="228"/>
        <v/>
      </c>
      <c r="AQ466" s="4" t="str">
        <f t="shared" si="229"/>
        <v/>
      </c>
      <c r="AR466" s="4" t="str">
        <f t="shared" si="230"/>
        <v/>
      </c>
    </row>
    <row r="467" spans="8:44" s="1" customFormat="1" ht="14.25" x14ac:dyDescent="0.3">
      <c r="H467" s="50"/>
      <c r="J467" s="54"/>
      <c r="L467" s="54"/>
      <c r="R467" s="45"/>
      <c r="S467" s="54"/>
      <c r="T467" s="54"/>
      <c r="U467" s="54"/>
      <c r="V467" s="44"/>
      <c r="W467" s="27"/>
      <c r="Z467" s="27"/>
      <c r="AA467" s="8"/>
      <c r="AB467" s="81" t="str">
        <f t="shared" si="214"/>
        <v/>
      </c>
      <c r="AC467" s="6" t="str">
        <f t="shared" si="215"/>
        <v/>
      </c>
      <c r="AD467" s="1" t="str">
        <f t="shared" ca="1" si="216"/>
        <v/>
      </c>
      <c r="AE467" s="75" t="str">
        <f t="shared" si="217"/>
        <v/>
      </c>
      <c r="AF467" s="75" t="str">
        <f t="shared" si="218"/>
        <v/>
      </c>
      <c r="AG467" s="4" t="str">
        <f t="shared" si="219"/>
        <v/>
      </c>
      <c r="AH467" s="4" t="str">
        <f t="shared" si="220"/>
        <v/>
      </c>
      <c r="AI467" s="4" t="str">
        <f t="shared" si="221"/>
        <v/>
      </c>
      <c r="AJ467" s="4" t="str">
        <f t="shared" si="222"/>
        <v/>
      </c>
      <c r="AK467" s="4" t="str">
        <f t="shared" si="223"/>
        <v/>
      </c>
      <c r="AL467" s="2" t="str">
        <f t="shared" si="224"/>
        <v/>
      </c>
      <c r="AM467" s="6" t="str">
        <f t="shared" si="225"/>
        <v/>
      </c>
      <c r="AN467" s="4" t="str">
        <f t="shared" si="226"/>
        <v/>
      </c>
      <c r="AO467" s="4" t="str">
        <f t="shared" si="227"/>
        <v/>
      </c>
      <c r="AP467" s="4" t="str">
        <f t="shared" si="228"/>
        <v/>
      </c>
      <c r="AQ467" s="4" t="str">
        <f t="shared" si="229"/>
        <v/>
      </c>
      <c r="AR467" s="4" t="str">
        <f t="shared" si="230"/>
        <v/>
      </c>
    </row>
    <row r="468" spans="8:44" s="1" customFormat="1" ht="14.25" x14ac:dyDescent="0.3">
      <c r="H468" s="50"/>
      <c r="J468" s="54"/>
      <c r="L468" s="54"/>
      <c r="R468" s="45"/>
      <c r="S468" s="54"/>
      <c r="T468" s="54"/>
      <c r="U468" s="54"/>
      <c r="V468" s="44"/>
      <c r="W468" s="27"/>
      <c r="Z468" s="27"/>
      <c r="AA468" s="8"/>
      <c r="AB468" s="81" t="str">
        <f t="shared" si="214"/>
        <v/>
      </c>
      <c r="AC468" s="6" t="str">
        <f t="shared" si="215"/>
        <v/>
      </c>
      <c r="AD468" s="1" t="str">
        <f t="shared" ca="1" si="216"/>
        <v/>
      </c>
      <c r="AE468" s="75" t="str">
        <f t="shared" si="217"/>
        <v/>
      </c>
      <c r="AF468" s="75" t="str">
        <f t="shared" si="218"/>
        <v/>
      </c>
      <c r="AG468" s="4" t="str">
        <f t="shared" si="219"/>
        <v/>
      </c>
      <c r="AH468" s="4" t="str">
        <f t="shared" si="220"/>
        <v/>
      </c>
      <c r="AI468" s="4" t="str">
        <f t="shared" si="221"/>
        <v/>
      </c>
      <c r="AJ468" s="4" t="str">
        <f t="shared" si="222"/>
        <v/>
      </c>
      <c r="AK468" s="4" t="str">
        <f t="shared" si="223"/>
        <v/>
      </c>
      <c r="AL468" s="2" t="str">
        <f t="shared" si="224"/>
        <v/>
      </c>
      <c r="AM468" s="6" t="str">
        <f t="shared" si="225"/>
        <v/>
      </c>
      <c r="AN468" s="4" t="str">
        <f t="shared" si="226"/>
        <v/>
      </c>
      <c r="AO468" s="4" t="str">
        <f t="shared" si="227"/>
        <v/>
      </c>
      <c r="AP468" s="4" t="str">
        <f t="shared" si="228"/>
        <v/>
      </c>
      <c r="AQ468" s="4" t="str">
        <f t="shared" si="229"/>
        <v/>
      </c>
      <c r="AR468" s="4" t="str">
        <f t="shared" si="230"/>
        <v/>
      </c>
    </row>
    <row r="469" spans="8:44" s="1" customFormat="1" ht="14.25" x14ac:dyDescent="0.3">
      <c r="H469" s="50"/>
      <c r="J469" s="54"/>
      <c r="L469" s="54"/>
      <c r="R469" s="45"/>
      <c r="S469" s="54"/>
      <c r="T469" s="54"/>
      <c r="U469" s="54"/>
      <c r="V469" s="44"/>
      <c r="W469" s="27"/>
      <c r="Z469" s="27"/>
      <c r="AA469" s="8"/>
      <c r="AB469" s="81" t="str">
        <f t="shared" si="214"/>
        <v/>
      </c>
      <c r="AC469" s="6" t="str">
        <f t="shared" si="215"/>
        <v/>
      </c>
      <c r="AD469" s="1" t="str">
        <f t="shared" ca="1" si="216"/>
        <v/>
      </c>
      <c r="AE469" s="75" t="str">
        <f t="shared" si="217"/>
        <v/>
      </c>
      <c r="AF469" s="75" t="str">
        <f t="shared" si="218"/>
        <v/>
      </c>
      <c r="AG469" s="4" t="str">
        <f t="shared" si="219"/>
        <v/>
      </c>
      <c r="AH469" s="4" t="str">
        <f t="shared" si="220"/>
        <v/>
      </c>
      <c r="AI469" s="4" t="str">
        <f t="shared" si="221"/>
        <v/>
      </c>
      <c r="AJ469" s="4" t="str">
        <f t="shared" si="222"/>
        <v/>
      </c>
      <c r="AK469" s="4" t="str">
        <f t="shared" si="223"/>
        <v/>
      </c>
      <c r="AL469" s="2" t="str">
        <f t="shared" si="224"/>
        <v/>
      </c>
      <c r="AM469" s="6" t="str">
        <f t="shared" si="225"/>
        <v/>
      </c>
      <c r="AN469" s="4" t="str">
        <f t="shared" si="226"/>
        <v/>
      </c>
      <c r="AO469" s="4" t="str">
        <f t="shared" si="227"/>
        <v/>
      </c>
      <c r="AP469" s="4" t="str">
        <f t="shared" si="228"/>
        <v/>
      </c>
      <c r="AQ469" s="4" t="str">
        <f t="shared" si="229"/>
        <v/>
      </c>
      <c r="AR469" s="4" t="str">
        <f t="shared" si="230"/>
        <v/>
      </c>
    </row>
    <row r="470" spans="8:44" s="1" customFormat="1" ht="14.25" x14ac:dyDescent="0.3">
      <c r="H470" s="50"/>
      <c r="J470" s="54"/>
      <c r="L470" s="54"/>
      <c r="R470" s="45"/>
      <c r="S470" s="54"/>
      <c r="T470" s="54"/>
      <c r="U470" s="54"/>
      <c r="V470" s="44"/>
      <c r="W470" s="27"/>
      <c r="Z470" s="27"/>
      <c r="AA470" s="8"/>
      <c r="AB470" s="81" t="str">
        <f t="shared" si="214"/>
        <v/>
      </c>
      <c r="AC470" s="6" t="str">
        <f t="shared" si="215"/>
        <v/>
      </c>
      <c r="AD470" s="1" t="str">
        <f t="shared" ca="1" si="216"/>
        <v/>
      </c>
      <c r="AE470" s="75" t="str">
        <f t="shared" si="217"/>
        <v/>
      </c>
      <c r="AF470" s="75" t="str">
        <f t="shared" si="218"/>
        <v/>
      </c>
      <c r="AG470" s="4" t="str">
        <f t="shared" si="219"/>
        <v/>
      </c>
      <c r="AH470" s="4" t="str">
        <f t="shared" si="220"/>
        <v/>
      </c>
      <c r="AI470" s="4" t="str">
        <f t="shared" si="221"/>
        <v/>
      </c>
      <c r="AJ470" s="4" t="str">
        <f t="shared" si="222"/>
        <v/>
      </c>
      <c r="AK470" s="4" t="str">
        <f t="shared" si="223"/>
        <v/>
      </c>
      <c r="AL470" s="2" t="str">
        <f t="shared" si="224"/>
        <v/>
      </c>
      <c r="AM470" s="6" t="str">
        <f t="shared" si="225"/>
        <v/>
      </c>
      <c r="AN470" s="4" t="str">
        <f t="shared" si="226"/>
        <v/>
      </c>
      <c r="AO470" s="4" t="str">
        <f t="shared" si="227"/>
        <v/>
      </c>
      <c r="AP470" s="4" t="str">
        <f t="shared" si="228"/>
        <v/>
      </c>
      <c r="AQ470" s="4" t="str">
        <f t="shared" si="229"/>
        <v/>
      </c>
      <c r="AR470" s="4" t="str">
        <f t="shared" si="230"/>
        <v/>
      </c>
    </row>
    <row r="471" spans="8:44" s="1" customFormat="1" ht="14.25" x14ac:dyDescent="0.3">
      <c r="H471" s="50"/>
      <c r="J471" s="54"/>
      <c r="L471" s="54"/>
      <c r="R471" s="45"/>
      <c r="S471" s="54"/>
      <c r="T471" s="54"/>
      <c r="U471" s="54"/>
      <c r="V471" s="44"/>
      <c r="W471" s="27"/>
      <c r="Z471" s="27"/>
      <c r="AA471" s="8"/>
      <c r="AB471" s="81" t="str">
        <f t="shared" si="214"/>
        <v/>
      </c>
      <c r="AC471" s="6" t="str">
        <f t="shared" si="215"/>
        <v/>
      </c>
      <c r="AD471" s="1" t="str">
        <f t="shared" ca="1" si="216"/>
        <v/>
      </c>
      <c r="AE471" s="75" t="str">
        <f t="shared" si="217"/>
        <v/>
      </c>
      <c r="AF471" s="75" t="str">
        <f t="shared" si="218"/>
        <v/>
      </c>
      <c r="AG471" s="4" t="str">
        <f t="shared" si="219"/>
        <v/>
      </c>
      <c r="AH471" s="4" t="str">
        <f t="shared" si="220"/>
        <v/>
      </c>
      <c r="AI471" s="4" t="str">
        <f t="shared" si="221"/>
        <v/>
      </c>
      <c r="AJ471" s="4" t="str">
        <f t="shared" si="222"/>
        <v/>
      </c>
      <c r="AK471" s="4" t="str">
        <f t="shared" si="223"/>
        <v/>
      </c>
      <c r="AL471" s="2" t="str">
        <f t="shared" si="224"/>
        <v/>
      </c>
      <c r="AM471" s="6" t="str">
        <f t="shared" si="225"/>
        <v/>
      </c>
      <c r="AN471" s="4" t="str">
        <f t="shared" si="226"/>
        <v/>
      </c>
      <c r="AO471" s="4" t="str">
        <f t="shared" si="227"/>
        <v/>
      </c>
      <c r="AP471" s="4" t="str">
        <f t="shared" si="228"/>
        <v/>
      </c>
      <c r="AQ471" s="4" t="str">
        <f t="shared" si="229"/>
        <v/>
      </c>
      <c r="AR471" s="4" t="str">
        <f t="shared" si="230"/>
        <v/>
      </c>
    </row>
    <row r="472" spans="8:44" s="1" customFormat="1" ht="14.25" x14ac:dyDescent="0.3">
      <c r="H472" s="50"/>
      <c r="J472" s="54"/>
      <c r="L472" s="54"/>
      <c r="R472" s="45"/>
      <c r="S472" s="54"/>
      <c r="T472" s="54"/>
      <c r="U472" s="54"/>
      <c r="V472" s="44"/>
      <c r="W472" s="27"/>
      <c r="Z472" s="27"/>
      <c r="AA472" s="8"/>
      <c r="AB472" s="81" t="str">
        <f t="shared" si="214"/>
        <v/>
      </c>
      <c r="AC472" s="6" t="str">
        <f t="shared" si="215"/>
        <v/>
      </c>
      <c r="AD472" s="1" t="str">
        <f t="shared" ca="1" si="216"/>
        <v/>
      </c>
      <c r="AE472" s="75" t="str">
        <f t="shared" si="217"/>
        <v/>
      </c>
      <c r="AF472" s="75" t="str">
        <f t="shared" si="218"/>
        <v/>
      </c>
      <c r="AG472" s="4" t="str">
        <f t="shared" si="219"/>
        <v/>
      </c>
      <c r="AH472" s="4" t="str">
        <f t="shared" si="220"/>
        <v/>
      </c>
      <c r="AI472" s="4" t="str">
        <f t="shared" si="221"/>
        <v/>
      </c>
      <c r="AJ472" s="4" t="str">
        <f t="shared" si="222"/>
        <v/>
      </c>
      <c r="AK472" s="4" t="str">
        <f t="shared" si="223"/>
        <v/>
      </c>
      <c r="AL472" s="2" t="str">
        <f t="shared" si="224"/>
        <v/>
      </c>
      <c r="AM472" s="6" t="str">
        <f t="shared" si="225"/>
        <v/>
      </c>
      <c r="AN472" s="4" t="str">
        <f t="shared" si="226"/>
        <v/>
      </c>
      <c r="AO472" s="4" t="str">
        <f t="shared" si="227"/>
        <v/>
      </c>
      <c r="AP472" s="4" t="str">
        <f t="shared" si="228"/>
        <v/>
      </c>
      <c r="AQ472" s="4" t="str">
        <f t="shared" si="229"/>
        <v/>
      </c>
      <c r="AR472" s="4" t="str">
        <f t="shared" si="230"/>
        <v/>
      </c>
    </row>
    <row r="473" spans="8:44" s="1" customFormat="1" ht="14.25" x14ac:dyDescent="0.3">
      <c r="H473" s="50"/>
      <c r="J473" s="54"/>
      <c r="L473" s="54"/>
      <c r="R473" s="45"/>
      <c r="S473" s="54"/>
      <c r="T473" s="54"/>
      <c r="U473" s="54"/>
      <c r="V473" s="44"/>
      <c r="W473" s="27"/>
      <c r="Z473" s="27"/>
      <c r="AA473" s="8"/>
      <c r="AB473" s="81" t="str">
        <f t="shared" si="214"/>
        <v/>
      </c>
      <c r="AC473" s="6" t="str">
        <f t="shared" si="215"/>
        <v/>
      </c>
      <c r="AD473" s="1" t="str">
        <f t="shared" ca="1" si="216"/>
        <v/>
      </c>
      <c r="AE473" s="75" t="str">
        <f t="shared" si="217"/>
        <v/>
      </c>
      <c r="AF473" s="75" t="str">
        <f t="shared" si="218"/>
        <v/>
      </c>
      <c r="AG473" s="4" t="str">
        <f t="shared" si="219"/>
        <v/>
      </c>
      <c r="AH473" s="4" t="str">
        <f t="shared" si="220"/>
        <v/>
      </c>
      <c r="AI473" s="4" t="str">
        <f t="shared" si="221"/>
        <v/>
      </c>
      <c r="AJ473" s="4" t="str">
        <f t="shared" si="222"/>
        <v/>
      </c>
      <c r="AK473" s="4" t="str">
        <f t="shared" si="223"/>
        <v/>
      </c>
      <c r="AL473" s="2" t="str">
        <f t="shared" si="224"/>
        <v/>
      </c>
      <c r="AM473" s="6" t="str">
        <f t="shared" si="225"/>
        <v/>
      </c>
      <c r="AN473" s="4" t="str">
        <f t="shared" si="226"/>
        <v/>
      </c>
      <c r="AO473" s="4" t="str">
        <f t="shared" si="227"/>
        <v/>
      </c>
      <c r="AP473" s="4" t="str">
        <f t="shared" si="228"/>
        <v/>
      </c>
      <c r="AQ473" s="4" t="str">
        <f t="shared" si="229"/>
        <v/>
      </c>
      <c r="AR473" s="4" t="str">
        <f t="shared" si="230"/>
        <v/>
      </c>
    </row>
    <row r="474" spans="8:44" s="1" customFormat="1" ht="14.25" x14ac:dyDescent="0.3">
      <c r="H474" s="50"/>
      <c r="J474" s="54"/>
      <c r="L474" s="54"/>
      <c r="R474" s="45"/>
      <c r="S474" s="54"/>
      <c r="T474" s="54"/>
      <c r="U474" s="54"/>
      <c r="V474" s="44"/>
      <c r="W474" s="27"/>
      <c r="Z474" s="27"/>
      <c r="AA474" s="8"/>
      <c r="AB474" s="81" t="str">
        <f t="shared" si="214"/>
        <v/>
      </c>
      <c r="AC474" s="6" t="str">
        <f t="shared" si="215"/>
        <v/>
      </c>
      <c r="AD474" s="1" t="str">
        <f t="shared" ca="1" si="216"/>
        <v/>
      </c>
      <c r="AE474" s="75" t="str">
        <f t="shared" si="217"/>
        <v/>
      </c>
      <c r="AF474" s="75" t="str">
        <f t="shared" si="218"/>
        <v/>
      </c>
      <c r="AG474" s="4" t="str">
        <f t="shared" si="219"/>
        <v/>
      </c>
      <c r="AH474" s="4" t="str">
        <f t="shared" si="220"/>
        <v/>
      </c>
      <c r="AI474" s="4" t="str">
        <f t="shared" si="221"/>
        <v/>
      </c>
      <c r="AJ474" s="4" t="str">
        <f t="shared" si="222"/>
        <v/>
      </c>
      <c r="AK474" s="4" t="str">
        <f t="shared" si="223"/>
        <v/>
      </c>
      <c r="AL474" s="2" t="str">
        <f t="shared" si="224"/>
        <v/>
      </c>
      <c r="AM474" s="6" t="str">
        <f t="shared" si="225"/>
        <v/>
      </c>
      <c r="AN474" s="4" t="str">
        <f t="shared" si="226"/>
        <v/>
      </c>
      <c r="AO474" s="4" t="str">
        <f t="shared" si="227"/>
        <v/>
      </c>
      <c r="AP474" s="4" t="str">
        <f t="shared" si="228"/>
        <v/>
      </c>
      <c r="AQ474" s="4" t="str">
        <f t="shared" si="229"/>
        <v/>
      </c>
      <c r="AR474" s="4" t="str">
        <f t="shared" si="230"/>
        <v/>
      </c>
    </row>
    <row r="475" spans="8:44" s="1" customFormat="1" ht="14.25" x14ac:dyDescent="0.3">
      <c r="H475" s="50"/>
      <c r="J475" s="54"/>
      <c r="L475" s="54"/>
      <c r="R475" s="45"/>
      <c r="S475" s="54"/>
      <c r="T475" s="54"/>
      <c r="U475" s="54"/>
      <c r="V475" s="44"/>
      <c r="W475" s="27"/>
      <c r="Z475" s="27"/>
      <c r="AA475" s="8"/>
      <c r="AB475" s="81" t="str">
        <f t="shared" si="214"/>
        <v/>
      </c>
      <c r="AC475" s="6" t="str">
        <f t="shared" si="215"/>
        <v/>
      </c>
      <c r="AD475" s="1" t="str">
        <f t="shared" ca="1" si="216"/>
        <v/>
      </c>
      <c r="AE475" s="75" t="str">
        <f t="shared" si="217"/>
        <v/>
      </c>
      <c r="AF475" s="75" t="str">
        <f t="shared" si="218"/>
        <v/>
      </c>
      <c r="AG475" s="4" t="str">
        <f t="shared" si="219"/>
        <v/>
      </c>
      <c r="AH475" s="4" t="str">
        <f t="shared" si="220"/>
        <v/>
      </c>
      <c r="AI475" s="4" t="str">
        <f t="shared" si="221"/>
        <v/>
      </c>
      <c r="AJ475" s="4" t="str">
        <f t="shared" si="222"/>
        <v/>
      </c>
      <c r="AK475" s="4" t="str">
        <f t="shared" si="223"/>
        <v/>
      </c>
      <c r="AL475" s="2" t="str">
        <f t="shared" si="224"/>
        <v/>
      </c>
      <c r="AM475" s="6" t="str">
        <f t="shared" si="225"/>
        <v/>
      </c>
      <c r="AN475" s="4" t="str">
        <f t="shared" si="226"/>
        <v/>
      </c>
      <c r="AO475" s="4" t="str">
        <f t="shared" si="227"/>
        <v/>
      </c>
      <c r="AP475" s="4" t="str">
        <f t="shared" si="228"/>
        <v/>
      </c>
      <c r="AQ475" s="4" t="str">
        <f t="shared" si="229"/>
        <v/>
      </c>
      <c r="AR475" s="4" t="str">
        <f t="shared" si="230"/>
        <v/>
      </c>
    </row>
    <row r="476" spans="8:44" s="1" customFormat="1" ht="14.25" x14ac:dyDescent="0.3">
      <c r="H476" s="50"/>
      <c r="J476" s="54"/>
      <c r="L476" s="54"/>
      <c r="R476" s="45"/>
      <c r="S476" s="54"/>
      <c r="T476" s="54"/>
      <c r="U476" s="54"/>
      <c r="V476" s="44"/>
      <c r="W476" s="27"/>
      <c r="Z476" s="27"/>
      <c r="AA476" s="8"/>
      <c r="AB476" s="81" t="str">
        <f t="shared" si="214"/>
        <v/>
      </c>
      <c r="AC476" s="6" t="str">
        <f t="shared" si="215"/>
        <v/>
      </c>
      <c r="AD476" s="1" t="str">
        <f t="shared" ca="1" si="216"/>
        <v/>
      </c>
      <c r="AE476" s="75" t="str">
        <f t="shared" si="217"/>
        <v/>
      </c>
      <c r="AF476" s="75" t="str">
        <f t="shared" si="218"/>
        <v/>
      </c>
      <c r="AG476" s="4" t="str">
        <f t="shared" si="219"/>
        <v/>
      </c>
      <c r="AH476" s="4" t="str">
        <f t="shared" si="220"/>
        <v/>
      </c>
      <c r="AI476" s="4" t="str">
        <f t="shared" si="221"/>
        <v/>
      </c>
      <c r="AJ476" s="4" t="str">
        <f t="shared" si="222"/>
        <v/>
      </c>
      <c r="AK476" s="4" t="str">
        <f t="shared" si="223"/>
        <v/>
      </c>
      <c r="AL476" s="2" t="str">
        <f t="shared" si="224"/>
        <v/>
      </c>
      <c r="AM476" s="6" t="str">
        <f t="shared" si="225"/>
        <v/>
      </c>
      <c r="AN476" s="4" t="str">
        <f t="shared" si="226"/>
        <v/>
      </c>
      <c r="AO476" s="4" t="str">
        <f t="shared" si="227"/>
        <v/>
      </c>
      <c r="AP476" s="4" t="str">
        <f t="shared" si="228"/>
        <v/>
      </c>
      <c r="AQ476" s="4" t="str">
        <f t="shared" si="229"/>
        <v/>
      </c>
      <c r="AR476" s="4" t="str">
        <f t="shared" si="230"/>
        <v/>
      </c>
    </row>
    <row r="477" spans="8:44" s="1" customFormat="1" ht="14.25" x14ac:dyDescent="0.3">
      <c r="H477" s="50"/>
      <c r="J477" s="54"/>
      <c r="L477" s="54"/>
      <c r="R477" s="45"/>
      <c r="S477" s="54"/>
      <c r="T477" s="54"/>
      <c r="U477" s="54"/>
      <c r="V477" s="44"/>
      <c r="W477" s="27"/>
      <c r="Z477" s="27"/>
      <c r="AA477" s="8"/>
      <c r="AB477" s="81" t="str">
        <f t="shared" si="214"/>
        <v/>
      </c>
      <c r="AC477" s="6" t="str">
        <f t="shared" si="215"/>
        <v/>
      </c>
      <c r="AD477" s="1" t="str">
        <f t="shared" ca="1" si="216"/>
        <v/>
      </c>
      <c r="AE477" s="75" t="str">
        <f t="shared" si="217"/>
        <v/>
      </c>
      <c r="AF477" s="75" t="str">
        <f t="shared" si="218"/>
        <v/>
      </c>
      <c r="AG477" s="4" t="str">
        <f t="shared" si="219"/>
        <v/>
      </c>
      <c r="AH477" s="4" t="str">
        <f t="shared" si="220"/>
        <v/>
      </c>
      <c r="AI477" s="4" t="str">
        <f t="shared" si="221"/>
        <v/>
      </c>
      <c r="AJ477" s="4" t="str">
        <f t="shared" si="222"/>
        <v/>
      </c>
      <c r="AK477" s="4" t="str">
        <f t="shared" si="223"/>
        <v/>
      </c>
      <c r="AL477" s="2" t="str">
        <f t="shared" si="224"/>
        <v/>
      </c>
      <c r="AM477" s="6" t="str">
        <f t="shared" si="225"/>
        <v/>
      </c>
      <c r="AN477" s="4" t="str">
        <f t="shared" si="226"/>
        <v/>
      </c>
      <c r="AO477" s="4" t="str">
        <f t="shared" si="227"/>
        <v/>
      </c>
      <c r="AP477" s="4" t="str">
        <f t="shared" si="228"/>
        <v/>
      </c>
      <c r="AQ477" s="4" t="str">
        <f t="shared" si="229"/>
        <v/>
      </c>
      <c r="AR477" s="4" t="str">
        <f t="shared" si="230"/>
        <v/>
      </c>
    </row>
    <row r="478" spans="8:44" s="1" customFormat="1" ht="14.25" x14ac:dyDescent="0.3">
      <c r="H478" s="50"/>
      <c r="J478" s="54"/>
      <c r="L478" s="54"/>
      <c r="R478" s="45"/>
      <c r="S478" s="54"/>
      <c r="T478" s="54"/>
      <c r="U478" s="54"/>
      <c r="V478" s="44"/>
      <c r="W478" s="27"/>
      <c r="Z478" s="27"/>
      <c r="AA478" s="8"/>
      <c r="AB478" s="81" t="str">
        <f t="shared" si="214"/>
        <v/>
      </c>
      <c r="AC478" s="6" t="str">
        <f t="shared" si="215"/>
        <v/>
      </c>
      <c r="AD478" s="1" t="str">
        <f t="shared" ca="1" si="216"/>
        <v/>
      </c>
      <c r="AE478" s="75" t="str">
        <f t="shared" si="217"/>
        <v/>
      </c>
      <c r="AF478" s="75" t="str">
        <f t="shared" si="218"/>
        <v/>
      </c>
      <c r="AG478" s="4" t="str">
        <f t="shared" si="219"/>
        <v/>
      </c>
      <c r="AH478" s="4" t="str">
        <f t="shared" si="220"/>
        <v/>
      </c>
      <c r="AI478" s="4" t="str">
        <f t="shared" si="221"/>
        <v/>
      </c>
      <c r="AJ478" s="4" t="str">
        <f t="shared" si="222"/>
        <v/>
      </c>
      <c r="AK478" s="4" t="str">
        <f t="shared" si="223"/>
        <v/>
      </c>
      <c r="AL478" s="2" t="str">
        <f t="shared" si="224"/>
        <v/>
      </c>
      <c r="AM478" s="6" t="str">
        <f t="shared" si="225"/>
        <v/>
      </c>
      <c r="AN478" s="4" t="str">
        <f t="shared" si="226"/>
        <v/>
      </c>
      <c r="AO478" s="4" t="str">
        <f t="shared" si="227"/>
        <v/>
      </c>
      <c r="AP478" s="4" t="str">
        <f t="shared" si="228"/>
        <v/>
      </c>
      <c r="AQ478" s="4" t="str">
        <f t="shared" si="229"/>
        <v/>
      </c>
      <c r="AR478" s="4" t="str">
        <f t="shared" si="230"/>
        <v/>
      </c>
    </row>
    <row r="479" spans="8:44" s="1" customFormat="1" ht="14.25" x14ac:dyDescent="0.3">
      <c r="H479" s="50"/>
      <c r="J479" s="54"/>
      <c r="L479" s="54"/>
      <c r="R479" s="45"/>
      <c r="S479" s="54"/>
      <c r="T479" s="54"/>
      <c r="U479" s="54"/>
      <c r="V479" s="44"/>
      <c r="W479" s="27"/>
      <c r="Z479" s="27"/>
      <c r="AA479" s="8"/>
      <c r="AB479" s="81" t="str">
        <f t="shared" si="214"/>
        <v/>
      </c>
      <c r="AC479" s="6" t="str">
        <f t="shared" si="215"/>
        <v/>
      </c>
      <c r="AD479" s="1" t="str">
        <f t="shared" ca="1" si="216"/>
        <v/>
      </c>
      <c r="AE479" s="75" t="str">
        <f t="shared" si="217"/>
        <v/>
      </c>
      <c r="AF479" s="75" t="str">
        <f t="shared" si="218"/>
        <v/>
      </c>
      <c r="AG479" s="4" t="str">
        <f t="shared" si="219"/>
        <v/>
      </c>
      <c r="AH479" s="4" t="str">
        <f t="shared" si="220"/>
        <v/>
      </c>
      <c r="AI479" s="4" t="str">
        <f t="shared" si="221"/>
        <v/>
      </c>
      <c r="AJ479" s="4" t="str">
        <f t="shared" si="222"/>
        <v/>
      </c>
      <c r="AK479" s="4" t="str">
        <f t="shared" si="223"/>
        <v/>
      </c>
      <c r="AL479" s="2" t="str">
        <f t="shared" si="224"/>
        <v/>
      </c>
      <c r="AM479" s="6" t="str">
        <f t="shared" si="225"/>
        <v/>
      </c>
      <c r="AN479" s="4" t="str">
        <f t="shared" si="226"/>
        <v/>
      </c>
      <c r="AO479" s="4" t="str">
        <f t="shared" si="227"/>
        <v/>
      </c>
      <c r="AP479" s="4" t="str">
        <f t="shared" si="228"/>
        <v/>
      </c>
      <c r="AQ479" s="4" t="str">
        <f t="shared" si="229"/>
        <v/>
      </c>
      <c r="AR479" s="4" t="str">
        <f t="shared" si="230"/>
        <v/>
      </c>
    </row>
    <row r="480" spans="8:44" s="1" customFormat="1" ht="14.25" x14ac:dyDescent="0.3">
      <c r="H480" s="50"/>
      <c r="J480" s="54"/>
      <c r="L480" s="54"/>
      <c r="R480" s="45"/>
      <c r="S480" s="54"/>
      <c r="T480" s="54"/>
      <c r="U480" s="54"/>
      <c r="V480" s="44"/>
      <c r="W480" s="27"/>
      <c r="Z480" s="27"/>
      <c r="AA480" s="8"/>
      <c r="AB480" s="81" t="str">
        <f t="shared" si="214"/>
        <v/>
      </c>
      <c r="AC480" s="6" t="str">
        <f t="shared" si="215"/>
        <v/>
      </c>
      <c r="AD480" s="1" t="str">
        <f t="shared" ca="1" si="216"/>
        <v/>
      </c>
      <c r="AE480" s="75" t="str">
        <f t="shared" si="217"/>
        <v/>
      </c>
      <c r="AF480" s="75" t="str">
        <f t="shared" si="218"/>
        <v/>
      </c>
      <c r="AG480" s="4" t="str">
        <f t="shared" si="219"/>
        <v/>
      </c>
      <c r="AH480" s="4" t="str">
        <f t="shared" si="220"/>
        <v/>
      </c>
      <c r="AI480" s="4" t="str">
        <f t="shared" si="221"/>
        <v/>
      </c>
      <c r="AJ480" s="4" t="str">
        <f t="shared" si="222"/>
        <v/>
      </c>
      <c r="AK480" s="4" t="str">
        <f t="shared" si="223"/>
        <v/>
      </c>
      <c r="AL480" s="2" t="str">
        <f t="shared" si="224"/>
        <v/>
      </c>
      <c r="AM480" s="6" t="str">
        <f t="shared" si="225"/>
        <v/>
      </c>
      <c r="AN480" s="4" t="str">
        <f t="shared" si="226"/>
        <v/>
      </c>
      <c r="AO480" s="4" t="str">
        <f t="shared" si="227"/>
        <v/>
      </c>
      <c r="AP480" s="4" t="str">
        <f t="shared" si="228"/>
        <v/>
      </c>
      <c r="AQ480" s="4" t="str">
        <f t="shared" si="229"/>
        <v/>
      </c>
      <c r="AR480" s="4" t="str">
        <f t="shared" si="230"/>
        <v/>
      </c>
    </row>
    <row r="481" spans="8:44" s="1" customFormat="1" ht="14.25" x14ac:dyDescent="0.3">
      <c r="H481" s="50"/>
      <c r="J481" s="54"/>
      <c r="L481" s="54"/>
      <c r="R481" s="45"/>
      <c r="S481" s="54"/>
      <c r="T481" s="54"/>
      <c r="U481" s="54"/>
      <c r="V481" s="44"/>
      <c r="W481" s="27"/>
      <c r="Z481" s="27"/>
      <c r="AA481" s="8"/>
      <c r="AB481" s="81" t="str">
        <f t="shared" si="214"/>
        <v/>
      </c>
      <c r="AC481" s="6" t="str">
        <f t="shared" si="215"/>
        <v/>
      </c>
      <c r="AD481" s="1" t="str">
        <f t="shared" ca="1" si="216"/>
        <v/>
      </c>
      <c r="AE481" s="75" t="str">
        <f t="shared" si="217"/>
        <v/>
      </c>
      <c r="AF481" s="75" t="str">
        <f t="shared" si="218"/>
        <v/>
      </c>
      <c r="AG481" s="4" t="str">
        <f t="shared" si="219"/>
        <v/>
      </c>
      <c r="AH481" s="4" t="str">
        <f t="shared" si="220"/>
        <v/>
      </c>
      <c r="AI481" s="4" t="str">
        <f t="shared" si="221"/>
        <v/>
      </c>
      <c r="AJ481" s="4" t="str">
        <f t="shared" si="222"/>
        <v/>
      </c>
      <c r="AK481" s="4" t="str">
        <f t="shared" si="223"/>
        <v/>
      </c>
      <c r="AL481" s="2" t="str">
        <f t="shared" si="224"/>
        <v/>
      </c>
      <c r="AM481" s="6" t="str">
        <f t="shared" si="225"/>
        <v/>
      </c>
      <c r="AN481" s="4" t="str">
        <f t="shared" si="226"/>
        <v/>
      </c>
      <c r="AO481" s="4" t="str">
        <f t="shared" si="227"/>
        <v/>
      </c>
      <c r="AP481" s="4" t="str">
        <f t="shared" si="228"/>
        <v/>
      </c>
      <c r="AQ481" s="4" t="str">
        <f t="shared" si="229"/>
        <v/>
      </c>
      <c r="AR481" s="4" t="str">
        <f t="shared" si="230"/>
        <v/>
      </c>
    </row>
    <row r="482" spans="8:44" s="1" customFormat="1" ht="14.25" x14ac:dyDescent="0.3">
      <c r="H482" s="50"/>
      <c r="J482" s="54"/>
      <c r="L482" s="54"/>
      <c r="R482" s="45"/>
      <c r="S482" s="54"/>
      <c r="T482" s="54"/>
      <c r="U482" s="54"/>
      <c r="V482" s="44"/>
      <c r="W482" s="27"/>
      <c r="Z482" s="27"/>
      <c r="AA482" s="8"/>
      <c r="AB482" s="81" t="str">
        <f t="shared" si="214"/>
        <v/>
      </c>
      <c r="AC482" s="6" t="str">
        <f t="shared" si="215"/>
        <v/>
      </c>
      <c r="AD482" s="1" t="str">
        <f t="shared" ca="1" si="216"/>
        <v/>
      </c>
      <c r="AE482" s="75" t="str">
        <f t="shared" si="217"/>
        <v/>
      </c>
      <c r="AF482" s="75" t="str">
        <f t="shared" si="218"/>
        <v/>
      </c>
      <c r="AG482" s="4" t="str">
        <f t="shared" si="219"/>
        <v/>
      </c>
      <c r="AH482" s="4" t="str">
        <f t="shared" si="220"/>
        <v/>
      </c>
      <c r="AI482" s="4" t="str">
        <f t="shared" si="221"/>
        <v/>
      </c>
      <c r="AJ482" s="4" t="str">
        <f t="shared" si="222"/>
        <v/>
      </c>
      <c r="AK482" s="4" t="str">
        <f t="shared" si="223"/>
        <v/>
      </c>
      <c r="AL482" s="2" t="str">
        <f t="shared" si="224"/>
        <v/>
      </c>
      <c r="AM482" s="6" t="str">
        <f t="shared" si="225"/>
        <v/>
      </c>
      <c r="AN482" s="4" t="str">
        <f t="shared" si="226"/>
        <v/>
      </c>
      <c r="AO482" s="4" t="str">
        <f t="shared" si="227"/>
        <v/>
      </c>
      <c r="AP482" s="4" t="str">
        <f t="shared" si="228"/>
        <v/>
      </c>
      <c r="AQ482" s="4" t="str">
        <f t="shared" si="229"/>
        <v/>
      </c>
      <c r="AR482" s="4" t="str">
        <f t="shared" si="230"/>
        <v/>
      </c>
    </row>
    <row r="483" spans="8:44" s="1" customFormat="1" ht="14.25" x14ac:dyDescent="0.3">
      <c r="H483" s="50"/>
      <c r="J483" s="54"/>
      <c r="L483" s="54"/>
      <c r="R483" s="45"/>
      <c r="S483" s="54"/>
      <c r="T483" s="54"/>
      <c r="U483" s="54"/>
      <c r="V483" s="44"/>
      <c r="W483" s="27"/>
      <c r="Z483" s="27"/>
      <c r="AA483" s="8"/>
      <c r="AB483" s="81" t="str">
        <f t="shared" si="214"/>
        <v/>
      </c>
      <c r="AC483" s="6" t="str">
        <f t="shared" si="215"/>
        <v/>
      </c>
      <c r="AD483" s="1" t="str">
        <f t="shared" ca="1" si="216"/>
        <v/>
      </c>
      <c r="AE483" s="75" t="str">
        <f t="shared" si="217"/>
        <v/>
      </c>
      <c r="AF483" s="75" t="str">
        <f t="shared" si="218"/>
        <v/>
      </c>
      <c r="AG483" s="4" t="str">
        <f t="shared" si="219"/>
        <v/>
      </c>
      <c r="AH483" s="4" t="str">
        <f t="shared" si="220"/>
        <v/>
      </c>
      <c r="AI483" s="4" t="str">
        <f t="shared" si="221"/>
        <v/>
      </c>
      <c r="AJ483" s="4" t="str">
        <f t="shared" si="222"/>
        <v/>
      </c>
      <c r="AK483" s="4" t="str">
        <f t="shared" si="223"/>
        <v/>
      </c>
      <c r="AL483" s="2" t="str">
        <f t="shared" si="224"/>
        <v/>
      </c>
      <c r="AM483" s="6" t="str">
        <f t="shared" si="225"/>
        <v/>
      </c>
      <c r="AN483" s="4" t="str">
        <f t="shared" si="226"/>
        <v/>
      </c>
      <c r="AO483" s="4" t="str">
        <f t="shared" si="227"/>
        <v/>
      </c>
      <c r="AP483" s="4" t="str">
        <f t="shared" si="228"/>
        <v/>
      </c>
      <c r="AQ483" s="4" t="str">
        <f t="shared" si="229"/>
        <v/>
      </c>
      <c r="AR483" s="4" t="str">
        <f t="shared" si="230"/>
        <v/>
      </c>
    </row>
    <row r="484" spans="8:44" s="1" customFormat="1" ht="14.25" x14ac:dyDescent="0.3">
      <c r="H484" s="50"/>
      <c r="J484" s="54"/>
      <c r="L484" s="54"/>
      <c r="R484" s="45"/>
      <c r="S484" s="54"/>
      <c r="T484" s="54"/>
      <c r="U484" s="54"/>
      <c r="V484" s="44"/>
      <c r="W484" s="27"/>
      <c r="Z484" s="27"/>
      <c r="AA484" s="8"/>
      <c r="AB484" s="81" t="str">
        <f t="shared" si="214"/>
        <v/>
      </c>
      <c r="AC484" s="6" t="str">
        <f t="shared" si="215"/>
        <v/>
      </c>
      <c r="AD484" s="1" t="str">
        <f t="shared" ca="1" si="216"/>
        <v/>
      </c>
      <c r="AE484" s="75" t="str">
        <f t="shared" si="217"/>
        <v/>
      </c>
      <c r="AF484" s="75" t="str">
        <f t="shared" si="218"/>
        <v/>
      </c>
      <c r="AG484" s="4" t="str">
        <f t="shared" si="219"/>
        <v/>
      </c>
      <c r="AH484" s="4" t="str">
        <f t="shared" si="220"/>
        <v/>
      </c>
      <c r="AI484" s="4" t="str">
        <f t="shared" si="221"/>
        <v/>
      </c>
      <c r="AJ484" s="4" t="str">
        <f t="shared" si="222"/>
        <v/>
      </c>
      <c r="AK484" s="4" t="str">
        <f t="shared" si="223"/>
        <v/>
      </c>
      <c r="AL484" s="2" t="str">
        <f t="shared" si="224"/>
        <v/>
      </c>
      <c r="AM484" s="6" t="str">
        <f t="shared" si="225"/>
        <v/>
      </c>
      <c r="AN484" s="4" t="str">
        <f t="shared" si="226"/>
        <v/>
      </c>
      <c r="AO484" s="4" t="str">
        <f t="shared" si="227"/>
        <v/>
      </c>
      <c r="AP484" s="4" t="str">
        <f t="shared" si="228"/>
        <v/>
      </c>
      <c r="AQ484" s="4" t="str">
        <f t="shared" si="229"/>
        <v/>
      </c>
      <c r="AR484" s="4" t="str">
        <f t="shared" si="230"/>
        <v/>
      </c>
    </row>
    <row r="485" spans="8:44" s="1" customFormat="1" ht="14.25" x14ac:dyDescent="0.3">
      <c r="H485" s="50"/>
      <c r="J485" s="54"/>
      <c r="L485" s="54"/>
      <c r="R485" s="45"/>
      <c r="S485" s="54"/>
      <c r="T485" s="54"/>
      <c r="U485" s="54"/>
      <c r="V485" s="44"/>
      <c r="W485" s="27"/>
      <c r="Z485" s="27"/>
      <c r="AA485" s="8"/>
      <c r="AB485" s="81" t="str">
        <f t="shared" si="214"/>
        <v/>
      </c>
      <c r="AC485" s="6" t="str">
        <f t="shared" si="215"/>
        <v/>
      </c>
      <c r="AD485" s="1" t="str">
        <f t="shared" ca="1" si="216"/>
        <v/>
      </c>
      <c r="AE485" s="75" t="str">
        <f t="shared" si="217"/>
        <v/>
      </c>
      <c r="AF485" s="75" t="str">
        <f t="shared" si="218"/>
        <v/>
      </c>
      <c r="AG485" s="4" t="str">
        <f t="shared" si="219"/>
        <v/>
      </c>
      <c r="AH485" s="4" t="str">
        <f t="shared" si="220"/>
        <v/>
      </c>
      <c r="AI485" s="4" t="str">
        <f t="shared" si="221"/>
        <v/>
      </c>
      <c r="AJ485" s="4" t="str">
        <f t="shared" si="222"/>
        <v/>
      </c>
      <c r="AK485" s="4" t="str">
        <f t="shared" si="223"/>
        <v/>
      </c>
      <c r="AL485" s="2" t="str">
        <f t="shared" si="224"/>
        <v/>
      </c>
      <c r="AM485" s="6" t="str">
        <f t="shared" si="225"/>
        <v/>
      </c>
      <c r="AN485" s="4" t="str">
        <f t="shared" si="226"/>
        <v/>
      </c>
      <c r="AO485" s="4" t="str">
        <f t="shared" si="227"/>
        <v/>
      </c>
      <c r="AP485" s="4" t="str">
        <f t="shared" si="228"/>
        <v/>
      </c>
      <c r="AQ485" s="4" t="str">
        <f t="shared" si="229"/>
        <v/>
      </c>
      <c r="AR485" s="4" t="str">
        <f t="shared" si="230"/>
        <v/>
      </c>
    </row>
    <row r="486" spans="8:44" s="1" customFormat="1" ht="14.25" x14ac:dyDescent="0.3">
      <c r="H486" s="50"/>
      <c r="J486" s="54"/>
      <c r="L486" s="54"/>
      <c r="R486" s="45"/>
      <c r="S486" s="54"/>
      <c r="T486" s="54"/>
      <c r="U486" s="54"/>
      <c r="V486" s="44"/>
      <c r="W486" s="27"/>
      <c r="Z486" s="27"/>
      <c r="AA486" s="8"/>
      <c r="AB486" s="81" t="str">
        <f t="shared" si="214"/>
        <v/>
      </c>
      <c r="AC486" s="6" t="str">
        <f t="shared" si="215"/>
        <v/>
      </c>
      <c r="AD486" s="1" t="str">
        <f t="shared" ca="1" si="216"/>
        <v/>
      </c>
      <c r="AE486" s="75" t="str">
        <f t="shared" si="217"/>
        <v/>
      </c>
      <c r="AF486" s="75" t="str">
        <f t="shared" si="218"/>
        <v/>
      </c>
      <c r="AG486" s="4" t="str">
        <f t="shared" si="219"/>
        <v/>
      </c>
      <c r="AH486" s="4" t="str">
        <f t="shared" si="220"/>
        <v/>
      </c>
      <c r="AI486" s="4" t="str">
        <f t="shared" si="221"/>
        <v/>
      </c>
      <c r="AJ486" s="4" t="str">
        <f t="shared" si="222"/>
        <v/>
      </c>
      <c r="AK486" s="4" t="str">
        <f t="shared" si="223"/>
        <v/>
      </c>
      <c r="AL486" s="2" t="str">
        <f t="shared" si="224"/>
        <v/>
      </c>
      <c r="AM486" s="6" t="str">
        <f t="shared" si="225"/>
        <v/>
      </c>
      <c r="AN486" s="4" t="str">
        <f t="shared" si="226"/>
        <v/>
      </c>
      <c r="AO486" s="4" t="str">
        <f t="shared" si="227"/>
        <v/>
      </c>
      <c r="AP486" s="4" t="str">
        <f t="shared" si="228"/>
        <v/>
      </c>
      <c r="AQ486" s="4" t="str">
        <f t="shared" si="229"/>
        <v/>
      </c>
      <c r="AR486" s="4" t="str">
        <f t="shared" si="230"/>
        <v/>
      </c>
    </row>
    <row r="487" spans="8:44" s="1" customFormat="1" ht="14.25" x14ac:dyDescent="0.3">
      <c r="H487" s="50"/>
      <c r="J487" s="54"/>
      <c r="L487" s="54"/>
      <c r="R487" s="45"/>
      <c r="S487" s="54"/>
      <c r="T487" s="54"/>
      <c r="U487" s="54"/>
      <c r="V487" s="44"/>
      <c r="W487" s="27"/>
      <c r="Z487" s="27"/>
      <c r="AA487" s="8"/>
      <c r="AB487" s="81" t="str">
        <f t="shared" si="214"/>
        <v/>
      </c>
      <c r="AC487" s="6" t="str">
        <f t="shared" si="215"/>
        <v/>
      </c>
      <c r="AD487" s="1" t="str">
        <f t="shared" ca="1" si="216"/>
        <v/>
      </c>
      <c r="AE487" s="75" t="str">
        <f t="shared" si="217"/>
        <v/>
      </c>
      <c r="AF487" s="75" t="str">
        <f t="shared" si="218"/>
        <v/>
      </c>
      <c r="AG487" s="4" t="str">
        <f t="shared" si="219"/>
        <v/>
      </c>
      <c r="AH487" s="4" t="str">
        <f t="shared" si="220"/>
        <v/>
      </c>
      <c r="AI487" s="4" t="str">
        <f t="shared" si="221"/>
        <v/>
      </c>
      <c r="AJ487" s="4" t="str">
        <f t="shared" si="222"/>
        <v/>
      </c>
      <c r="AK487" s="4" t="str">
        <f t="shared" si="223"/>
        <v/>
      </c>
      <c r="AL487" s="2" t="str">
        <f t="shared" si="224"/>
        <v/>
      </c>
      <c r="AM487" s="6" t="str">
        <f t="shared" si="225"/>
        <v/>
      </c>
      <c r="AN487" s="4" t="str">
        <f t="shared" si="226"/>
        <v/>
      </c>
      <c r="AO487" s="4" t="str">
        <f t="shared" si="227"/>
        <v/>
      </c>
      <c r="AP487" s="4" t="str">
        <f t="shared" si="228"/>
        <v/>
      </c>
      <c r="AQ487" s="4" t="str">
        <f t="shared" si="229"/>
        <v/>
      </c>
      <c r="AR487" s="4" t="str">
        <f t="shared" si="230"/>
        <v/>
      </c>
    </row>
    <row r="488" spans="8:44" s="1" customFormat="1" ht="14.25" x14ac:dyDescent="0.3">
      <c r="H488" s="50"/>
      <c r="J488" s="54"/>
      <c r="L488" s="54"/>
      <c r="R488" s="45"/>
      <c r="S488" s="54"/>
      <c r="T488" s="54"/>
      <c r="U488" s="54"/>
      <c r="V488" s="44"/>
      <c r="W488" s="27"/>
      <c r="Z488" s="27"/>
      <c r="AA488" s="8"/>
      <c r="AB488" s="81" t="str">
        <f t="shared" si="214"/>
        <v/>
      </c>
      <c r="AC488" s="6" t="str">
        <f t="shared" si="215"/>
        <v/>
      </c>
      <c r="AD488" s="1" t="str">
        <f t="shared" ca="1" si="216"/>
        <v/>
      </c>
      <c r="AE488" s="75" t="str">
        <f t="shared" si="217"/>
        <v/>
      </c>
      <c r="AF488" s="75" t="str">
        <f t="shared" si="218"/>
        <v/>
      </c>
      <c r="AG488" s="4" t="str">
        <f t="shared" si="219"/>
        <v/>
      </c>
      <c r="AH488" s="4" t="str">
        <f t="shared" si="220"/>
        <v/>
      </c>
      <c r="AI488" s="4" t="str">
        <f t="shared" si="221"/>
        <v/>
      </c>
      <c r="AJ488" s="4" t="str">
        <f t="shared" si="222"/>
        <v/>
      </c>
      <c r="AK488" s="4" t="str">
        <f t="shared" si="223"/>
        <v/>
      </c>
      <c r="AL488" s="2" t="str">
        <f t="shared" si="224"/>
        <v/>
      </c>
      <c r="AM488" s="6" t="str">
        <f t="shared" si="225"/>
        <v/>
      </c>
      <c r="AN488" s="4" t="str">
        <f t="shared" si="226"/>
        <v/>
      </c>
      <c r="AO488" s="4" t="str">
        <f t="shared" si="227"/>
        <v/>
      </c>
      <c r="AP488" s="4" t="str">
        <f t="shared" si="228"/>
        <v/>
      </c>
      <c r="AQ488" s="4" t="str">
        <f t="shared" si="229"/>
        <v/>
      </c>
      <c r="AR488" s="4" t="str">
        <f t="shared" si="230"/>
        <v/>
      </c>
    </row>
    <row r="489" spans="8:44" s="1" customFormat="1" ht="14.25" x14ac:dyDescent="0.3">
      <c r="H489" s="50"/>
      <c r="J489" s="54"/>
      <c r="L489" s="54"/>
      <c r="R489" s="45"/>
      <c r="S489" s="54"/>
      <c r="T489" s="54"/>
      <c r="U489" s="54"/>
      <c r="V489" s="44"/>
      <c r="W489" s="27"/>
      <c r="Z489" s="27"/>
      <c r="AA489" s="8"/>
      <c r="AB489" s="81" t="str">
        <f t="shared" si="214"/>
        <v/>
      </c>
      <c r="AC489" s="6" t="str">
        <f t="shared" si="215"/>
        <v/>
      </c>
      <c r="AD489" s="1" t="str">
        <f t="shared" ca="1" si="216"/>
        <v/>
      </c>
      <c r="AE489" s="75" t="str">
        <f t="shared" si="217"/>
        <v/>
      </c>
      <c r="AF489" s="75" t="str">
        <f t="shared" si="218"/>
        <v/>
      </c>
      <c r="AG489" s="4" t="str">
        <f t="shared" si="219"/>
        <v/>
      </c>
      <c r="AH489" s="4" t="str">
        <f t="shared" si="220"/>
        <v/>
      </c>
      <c r="AI489" s="4" t="str">
        <f t="shared" si="221"/>
        <v/>
      </c>
      <c r="AJ489" s="4" t="str">
        <f t="shared" si="222"/>
        <v/>
      </c>
      <c r="AK489" s="4" t="str">
        <f t="shared" si="223"/>
        <v/>
      </c>
      <c r="AL489" s="2" t="str">
        <f t="shared" si="224"/>
        <v/>
      </c>
      <c r="AM489" s="6" t="str">
        <f t="shared" si="225"/>
        <v/>
      </c>
      <c r="AN489" s="4" t="str">
        <f t="shared" si="226"/>
        <v/>
      </c>
      <c r="AO489" s="4" t="str">
        <f t="shared" si="227"/>
        <v/>
      </c>
      <c r="AP489" s="4" t="str">
        <f t="shared" si="228"/>
        <v/>
      </c>
      <c r="AQ489" s="4" t="str">
        <f t="shared" si="229"/>
        <v/>
      </c>
      <c r="AR489" s="4" t="str">
        <f t="shared" si="230"/>
        <v/>
      </c>
    </row>
    <row r="490" spans="8:44" s="1" customFormat="1" ht="14.25" x14ac:dyDescent="0.3">
      <c r="H490" s="50"/>
      <c r="J490" s="54"/>
      <c r="L490" s="54"/>
      <c r="R490" s="45"/>
      <c r="S490" s="54"/>
      <c r="T490" s="54"/>
      <c r="U490" s="54"/>
      <c r="V490" s="44"/>
      <c r="W490" s="27"/>
      <c r="Z490" s="27"/>
      <c r="AA490" s="8"/>
      <c r="AB490" s="81" t="str">
        <f t="shared" si="214"/>
        <v/>
      </c>
      <c r="AC490" s="6" t="str">
        <f t="shared" si="215"/>
        <v/>
      </c>
      <c r="AD490" s="1" t="str">
        <f t="shared" ca="1" si="216"/>
        <v/>
      </c>
      <c r="AE490" s="75" t="str">
        <f t="shared" si="217"/>
        <v/>
      </c>
      <c r="AF490" s="75" t="str">
        <f t="shared" si="218"/>
        <v/>
      </c>
      <c r="AG490" s="4" t="str">
        <f t="shared" si="219"/>
        <v/>
      </c>
      <c r="AH490" s="4" t="str">
        <f t="shared" si="220"/>
        <v/>
      </c>
      <c r="AI490" s="4" t="str">
        <f t="shared" si="221"/>
        <v/>
      </c>
      <c r="AJ490" s="4" t="str">
        <f t="shared" si="222"/>
        <v/>
      </c>
      <c r="AK490" s="4" t="str">
        <f t="shared" si="223"/>
        <v/>
      </c>
      <c r="AL490" s="2" t="str">
        <f t="shared" si="224"/>
        <v/>
      </c>
      <c r="AM490" s="6" t="str">
        <f t="shared" si="225"/>
        <v/>
      </c>
      <c r="AN490" s="4" t="str">
        <f t="shared" si="226"/>
        <v/>
      </c>
      <c r="AO490" s="4" t="str">
        <f t="shared" si="227"/>
        <v/>
      </c>
      <c r="AP490" s="4" t="str">
        <f t="shared" si="228"/>
        <v/>
      </c>
      <c r="AQ490" s="4" t="str">
        <f t="shared" si="229"/>
        <v/>
      </c>
      <c r="AR490" s="4" t="str">
        <f t="shared" si="230"/>
        <v/>
      </c>
    </row>
    <row r="491" spans="8:44" s="1" customFormat="1" ht="14.25" x14ac:dyDescent="0.3">
      <c r="H491" s="50"/>
      <c r="J491" s="54"/>
      <c r="L491" s="54"/>
      <c r="R491" s="45"/>
      <c r="S491" s="54"/>
      <c r="T491" s="54"/>
      <c r="U491" s="54"/>
      <c r="V491" s="44"/>
      <c r="W491" s="27"/>
      <c r="Z491" s="27"/>
      <c r="AA491" s="8"/>
      <c r="AB491" s="81" t="str">
        <f t="shared" si="214"/>
        <v/>
      </c>
      <c r="AC491" s="6" t="str">
        <f t="shared" si="215"/>
        <v/>
      </c>
      <c r="AD491" s="1" t="str">
        <f t="shared" ca="1" si="216"/>
        <v/>
      </c>
      <c r="AE491" s="75" t="str">
        <f t="shared" si="217"/>
        <v/>
      </c>
      <c r="AF491" s="75" t="str">
        <f t="shared" si="218"/>
        <v/>
      </c>
      <c r="AG491" s="4" t="str">
        <f t="shared" si="219"/>
        <v/>
      </c>
      <c r="AH491" s="4" t="str">
        <f t="shared" si="220"/>
        <v/>
      </c>
      <c r="AI491" s="4" t="str">
        <f t="shared" si="221"/>
        <v/>
      </c>
      <c r="AJ491" s="4" t="str">
        <f t="shared" si="222"/>
        <v/>
      </c>
      <c r="AK491" s="4" t="str">
        <f t="shared" si="223"/>
        <v/>
      </c>
      <c r="AL491" s="2" t="str">
        <f t="shared" si="224"/>
        <v/>
      </c>
      <c r="AM491" s="6" t="str">
        <f t="shared" si="225"/>
        <v/>
      </c>
      <c r="AN491" s="4" t="str">
        <f t="shared" si="226"/>
        <v/>
      </c>
      <c r="AO491" s="4" t="str">
        <f t="shared" si="227"/>
        <v/>
      </c>
      <c r="AP491" s="4" t="str">
        <f t="shared" si="228"/>
        <v/>
      </c>
      <c r="AQ491" s="4" t="str">
        <f t="shared" si="229"/>
        <v/>
      </c>
      <c r="AR491" s="4" t="str">
        <f t="shared" si="230"/>
        <v/>
      </c>
    </row>
    <row r="492" spans="8:44" s="1" customFormat="1" ht="14.25" x14ac:dyDescent="0.3">
      <c r="H492" s="50"/>
      <c r="J492" s="54"/>
      <c r="L492" s="54"/>
      <c r="R492" s="45"/>
      <c r="S492" s="54"/>
      <c r="T492" s="54"/>
      <c r="U492" s="54"/>
      <c r="V492" s="44"/>
      <c r="W492" s="27"/>
      <c r="Z492" s="27"/>
      <c r="AA492" s="8"/>
      <c r="AB492" s="81" t="str">
        <f t="shared" si="214"/>
        <v/>
      </c>
      <c r="AC492" s="6" t="str">
        <f t="shared" si="215"/>
        <v/>
      </c>
      <c r="AD492" s="1" t="str">
        <f t="shared" ca="1" si="216"/>
        <v/>
      </c>
      <c r="AE492" s="75" t="str">
        <f t="shared" si="217"/>
        <v/>
      </c>
      <c r="AF492" s="75" t="str">
        <f t="shared" si="218"/>
        <v/>
      </c>
      <c r="AG492" s="4" t="str">
        <f t="shared" si="219"/>
        <v/>
      </c>
      <c r="AH492" s="4" t="str">
        <f t="shared" si="220"/>
        <v/>
      </c>
      <c r="AI492" s="4" t="str">
        <f t="shared" si="221"/>
        <v/>
      </c>
      <c r="AJ492" s="4" t="str">
        <f t="shared" si="222"/>
        <v/>
      </c>
      <c r="AK492" s="4" t="str">
        <f t="shared" si="223"/>
        <v/>
      </c>
      <c r="AL492" s="2" t="str">
        <f t="shared" si="224"/>
        <v/>
      </c>
      <c r="AM492" s="6" t="str">
        <f t="shared" si="225"/>
        <v/>
      </c>
      <c r="AN492" s="4" t="str">
        <f t="shared" si="226"/>
        <v/>
      </c>
      <c r="AO492" s="4" t="str">
        <f t="shared" si="227"/>
        <v/>
      </c>
      <c r="AP492" s="4" t="str">
        <f t="shared" si="228"/>
        <v/>
      </c>
      <c r="AQ492" s="4" t="str">
        <f t="shared" si="229"/>
        <v/>
      </c>
      <c r="AR492" s="4" t="str">
        <f t="shared" si="230"/>
        <v/>
      </c>
    </row>
    <row r="493" spans="8:44" s="1" customFormat="1" ht="14.25" x14ac:dyDescent="0.3">
      <c r="H493" s="50"/>
      <c r="J493" s="54"/>
      <c r="L493" s="54"/>
      <c r="R493" s="45"/>
      <c r="S493" s="54"/>
      <c r="T493" s="54"/>
      <c r="U493" s="54"/>
      <c r="V493" s="44"/>
      <c r="W493" s="27"/>
      <c r="Z493" s="27"/>
      <c r="AA493" s="8"/>
      <c r="AB493" s="81" t="str">
        <f t="shared" si="214"/>
        <v/>
      </c>
      <c r="AC493" s="6" t="str">
        <f t="shared" si="215"/>
        <v/>
      </c>
      <c r="AD493" s="1" t="str">
        <f t="shared" ca="1" si="216"/>
        <v/>
      </c>
      <c r="AE493" s="75" t="str">
        <f t="shared" si="217"/>
        <v/>
      </c>
      <c r="AF493" s="75" t="str">
        <f t="shared" si="218"/>
        <v/>
      </c>
      <c r="AG493" s="4" t="str">
        <f t="shared" si="219"/>
        <v/>
      </c>
      <c r="AH493" s="4" t="str">
        <f t="shared" si="220"/>
        <v/>
      </c>
      <c r="AI493" s="4" t="str">
        <f t="shared" si="221"/>
        <v/>
      </c>
      <c r="AJ493" s="4" t="str">
        <f t="shared" si="222"/>
        <v/>
      </c>
      <c r="AK493" s="4" t="str">
        <f t="shared" si="223"/>
        <v/>
      </c>
      <c r="AL493" s="2" t="str">
        <f t="shared" si="224"/>
        <v/>
      </c>
      <c r="AM493" s="6" t="str">
        <f t="shared" si="225"/>
        <v/>
      </c>
      <c r="AN493" s="4" t="str">
        <f t="shared" si="226"/>
        <v/>
      </c>
      <c r="AO493" s="4" t="str">
        <f t="shared" si="227"/>
        <v/>
      </c>
      <c r="AP493" s="4" t="str">
        <f t="shared" si="228"/>
        <v/>
      </c>
      <c r="AQ493" s="4" t="str">
        <f t="shared" si="229"/>
        <v/>
      </c>
      <c r="AR493" s="4" t="str">
        <f t="shared" si="230"/>
        <v/>
      </c>
    </row>
    <row r="494" spans="8:44" s="1" customFormat="1" ht="14.25" x14ac:dyDescent="0.3">
      <c r="H494" s="50"/>
      <c r="J494" s="54"/>
      <c r="L494" s="54"/>
      <c r="R494" s="45"/>
      <c r="S494" s="54"/>
      <c r="T494" s="54"/>
      <c r="U494" s="54"/>
      <c r="V494" s="44"/>
      <c r="W494" s="27"/>
      <c r="Z494" s="27"/>
      <c r="AA494" s="8"/>
      <c r="AB494" s="81" t="str">
        <f t="shared" si="214"/>
        <v/>
      </c>
      <c r="AC494" s="6" t="str">
        <f t="shared" si="215"/>
        <v/>
      </c>
      <c r="AD494" s="1" t="str">
        <f t="shared" ca="1" si="216"/>
        <v/>
      </c>
      <c r="AE494" s="75" t="str">
        <f t="shared" si="217"/>
        <v/>
      </c>
      <c r="AF494" s="75" t="str">
        <f t="shared" si="218"/>
        <v/>
      </c>
      <c r="AG494" s="4" t="str">
        <f t="shared" si="219"/>
        <v/>
      </c>
      <c r="AH494" s="4" t="str">
        <f t="shared" si="220"/>
        <v/>
      </c>
      <c r="AI494" s="4" t="str">
        <f t="shared" si="221"/>
        <v/>
      </c>
      <c r="AJ494" s="4" t="str">
        <f t="shared" si="222"/>
        <v/>
      </c>
      <c r="AK494" s="4" t="str">
        <f t="shared" si="223"/>
        <v/>
      </c>
      <c r="AL494" s="2" t="str">
        <f t="shared" si="224"/>
        <v/>
      </c>
      <c r="AM494" s="6" t="str">
        <f t="shared" si="225"/>
        <v/>
      </c>
      <c r="AN494" s="4" t="str">
        <f t="shared" si="226"/>
        <v/>
      </c>
      <c r="AO494" s="4" t="str">
        <f t="shared" si="227"/>
        <v/>
      </c>
      <c r="AP494" s="4" t="str">
        <f t="shared" si="228"/>
        <v/>
      </c>
      <c r="AQ494" s="4" t="str">
        <f t="shared" si="229"/>
        <v/>
      </c>
      <c r="AR494" s="4" t="str">
        <f t="shared" si="230"/>
        <v/>
      </c>
    </row>
    <row r="495" spans="8:44" s="1" customFormat="1" ht="14.25" x14ac:dyDescent="0.3">
      <c r="H495" s="50"/>
      <c r="J495" s="54"/>
      <c r="L495" s="54"/>
      <c r="R495" s="45"/>
      <c r="S495" s="54"/>
      <c r="T495" s="54"/>
      <c r="U495" s="54"/>
      <c r="V495" s="44"/>
      <c r="W495" s="27"/>
      <c r="Z495" s="27"/>
      <c r="AA495" s="8"/>
      <c r="AB495" s="81" t="str">
        <f t="shared" si="214"/>
        <v/>
      </c>
      <c r="AC495" s="6" t="str">
        <f t="shared" si="215"/>
        <v/>
      </c>
      <c r="AD495" s="1" t="str">
        <f t="shared" ca="1" si="216"/>
        <v/>
      </c>
      <c r="AE495" s="75" t="str">
        <f t="shared" si="217"/>
        <v/>
      </c>
      <c r="AF495" s="75" t="str">
        <f t="shared" si="218"/>
        <v/>
      </c>
      <c r="AG495" s="4" t="str">
        <f t="shared" si="219"/>
        <v/>
      </c>
      <c r="AH495" s="4" t="str">
        <f t="shared" si="220"/>
        <v/>
      </c>
      <c r="AI495" s="4" t="str">
        <f t="shared" si="221"/>
        <v/>
      </c>
      <c r="AJ495" s="4" t="str">
        <f t="shared" si="222"/>
        <v/>
      </c>
      <c r="AK495" s="4" t="str">
        <f t="shared" si="223"/>
        <v/>
      </c>
      <c r="AL495" s="2" t="str">
        <f t="shared" si="224"/>
        <v/>
      </c>
      <c r="AM495" s="6" t="str">
        <f t="shared" si="225"/>
        <v/>
      </c>
      <c r="AN495" s="4" t="str">
        <f t="shared" si="226"/>
        <v/>
      </c>
      <c r="AO495" s="4" t="str">
        <f t="shared" si="227"/>
        <v/>
      </c>
      <c r="AP495" s="4" t="str">
        <f t="shared" si="228"/>
        <v/>
      </c>
      <c r="AQ495" s="4" t="str">
        <f t="shared" si="229"/>
        <v/>
      </c>
      <c r="AR495" s="4" t="str">
        <f t="shared" si="230"/>
        <v/>
      </c>
    </row>
    <row r="496" spans="8:44" s="1" customFormat="1" ht="14.25" x14ac:dyDescent="0.3">
      <c r="H496" s="50"/>
      <c r="J496" s="54"/>
      <c r="L496" s="54"/>
      <c r="R496" s="45"/>
      <c r="S496" s="54"/>
      <c r="T496" s="54"/>
      <c r="U496" s="54"/>
      <c r="V496" s="44"/>
      <c r="W496" s="27"/>
      <c r="Z496" s="27"/>
      <c r="AA496" s="8"/>
      <c r="AB496" s="81" t="str">
        <f t="shared" si="214"/>
        <v/>
      </c>
      <c r="AC496" s="6" t="str">
        <f t="shared" si="215"/>
        <v/>
      </c>
      <c r="AD496" s="1" t="str">
        <f t="shared" ca="1" si="216"/>
        <v/>
      </c>
      <c r="AE496" s="75" t="str">
        <f t="shared" si="217"/>
        <v/>
      </c>
      <c r="AF496" s="75" t="str">
        <f t="shared" si="218"/>
        <v/>
      </c>
      <c r="AG496" s="4" t="str">
        <f t="shared" si="219"/>
        <v/>
      </c>
      <c r="AH496" s="4" t="str">
        <f t="shared" si="220"/>
        <v/>
      </c>
      <c r="AI496" s="4" t="str">
        <f t="shared" si="221"/>
        <v/>
      </c>
      <c r="AJ496" s="4" t="str">
        <f t="shared" si="222"/>
        <v/>
      </c>
      <c r="AK496" s="4" t="str">
        <f t="shared" si="223"/>
        <v/>
      </c>
      <c r="AL496" s="2" t="str">
        <f t="shared" si="224"/>
        <v/>
      </c>
      <c r="AM496" s="6" t="str">
        <f t="shared" si="225"/>
        <v/>
      </c>
      <c r="AN496" s="4" t="str">
        <f t="shared" si="226"/>
        <v/>
      </c>
      <c r="AO496" s="4" t="str">
        <f t="shared" si="227"/>
        <v/>
      </c>
      <c r="AP496" s="4" t="str">
        <f t="shared" si="228"/>
        <v/>
      </c>
      <c r="AQ496" s="4" t="str">
        <f t="shared" si="229"/>
        <v/>
      </c>
      <c r="AR496" s="4" t="str">
        <f t="shared" si="230"/>
        <v/>
      </c>
    </row>
    <row r="497" spans="8:44" s="1" customFormat="1" ht="14.25" x14ac:dyDescent="0.3">
      <c r="H497" s="50"/>
      <c r="J497" s="54"/>
      <c r="L497" s="54"/>
      <c r="R497" s="45"/>
      <c r="S497" s="54"/>
      <c r="T497" s="54"/>
      <c r="U497" s="54"/>
      <c r="V497" s="44"/>
      <c r="W497" s="27"/>
      <c r="Z497" s="27"/>
      <c r="AA497" s="8"/>
      <c r="AB497" s="81" t="str">
        <f t="shared" si="214"/>
        <v/>
      </c>
      <c r="AC497" s="6" t="str">
        <f t="shared" si="215"/>
        <v/>
      </c>
      <c r="AD497" s="1" t="str">
        <f t="shared" ca="1" si="216"/>
        <v/>
      </c>
      <c r="AE497" s="75" t="str">
        <f t="shared" si="217"/>
        <v/>
      </c>
      <c r="AF497" s="75" t="str">
        <f t="shared" si="218"/>
        <v/>
      </c>
      <c r="AG497" s="4" t="str">
        <f t="shared" si="219"/>
        <v/>
      </c>
      <c r="AH497" s="4" t="str">
        <f t="shared" si="220"/>
        <v/>
      </c>
      <c r="AI497" s="4" t="str">
        <f t="shared" si="221"/>
        <v/>
      </c>
      <c r="AJ497" s="4" t="str">
        <f t="shared" si="222"/>
        <v/>
      </c>
      <c r="AK497" s="4" t="str">
        <f t="shared" si="223"/>
        <v/>
      </c>
      <c r="AL497" s="2" t="str">
        <f t="shared" si="224"/>
        <v/>
      </c>
      <c r="AM497" s="6" t="str">
        <f t="shared" si="225"/>
        <v/>
      </c>
      <c r="AN497" s="4" t="str">
        <f t="shared" si="226"/>
        <v/>
      </c>
      <c r="AO497" s="4" t="str">
        <f t="shared" si="227"/>
        <v/>
      </c>
      <c r="AP497" s="4" t="str">
        <f t="shared" si="228"/>
        <v/>
      </c>
      <c r="AQ497" s="4" t="str">
        <f t="shared" si="229"/>
        <v/>
      </c>
      <c r="AR497" s="4" t="str">
        <f t="shared" si="230"/>
        <v/>
      </c>
    </row>
    <row r="498" spans="8:44" s="1" customFormat="1" ht="14.25" x14ac:dyDescent="0.3">
      <c r="H498" s="50"/>
      <c r="J498" s="54"/>
      <c r="L498" s="54"/>
      <c r="R498" s="45"/>
      <c r="S498" s="54"/>
      <c r="T498" s="54"/>
      <c r="U498" s="54"/>
      <c r="V498" s="44"/>
      <c r="W498" s="27"/>
      <c r="Z498" s="27"/>
      <c r="AA498" s="8"/>
      <c r="AB498" s="81" t="str">
        <f t="shared" si="214"/>
        <v/>
      </c>
      <c r="AC498" s="6" t="str">
        <f t="shared" si="215"/>
        <v/>
      </c>
      <c r="AD498" s="1" t="str">
        <f t="shared" ca="1" si="216"/>
        <v/>
      </c>
      <c r="AE498" s="75" t="str">
        <f t="shared" si="217"/>
        <v/>
      </c>
      <c r="AF498" s="75" t="str">
        <f t="shared" si="218"/>
        <v/>
      </c>
      <c r="AG498" s="4" t="str">
        <f t="shared" si="219"/>
        <v/>
      </c>
      <c r="AH498" s="4" t="str">
        <f t="shared" si="220"/>
        <v/>
      </c>
      <c r="AI498" s="4" t="str">
        <f t="shared" si="221"/>
        <v/>
      </c>
      <c r="AJ498" s="4" t="str">
        <f t="shared" si="222"/>
        <v/>
      </c>
      <c r="AK498" s="4" t="str">
        <f t="shared" si="223"/>
        <v/>
      </c>
      <c r="AL498" s="2" t="str">
        <f t="shared" si="224"/>
        <v/>
      </c>
      <c r="AM498" s="6" t="str">
        <f t="shared" si="225"/>
        <v/>
      </c>
      <c r="AN498" s="4" t="str">
        <f t="shared" si="226"/>
        <v/>
      </c>
      <c r="AO498" s="4" t="str">
        <f t="shared" si="227"/>
        <v/>
      </c>
      <c r="AP498" s="4" t="str">
        <f t="shared" si="228"/>
        <v/>
      </c>
      <c r="AQ498" s="4" t="str">
        <f t="shared" si="229"/>
        <v/>
      </c>
      <c r="AR498" s="4" t="str">
        <f t="shared" si="230"/>
        <v/>
      </c>
    </row>
    <row r="499" spans="8:44" s="1" customFormat="1" ht="14.25" x14ac:dyDescent="0.3">
      <c r="H499" s="50"/>
      <c r="J499" s="54"/>
      <c r="L499" s="54"/>
      <c r="R499" s="45"/>
      <c r="S499" s="54"/>
      <c r="T499" s="54"/>
      <c r="U499" s="54"/>
      <c r="V499" s="44"/>
      <c r="W499" s="27"/>
      <c r="Z499" s="27"/>
      <c r="AA499" s="8"/>
      <c r="AB499" s="81" t="str">
        <f t="shared" si="214"/>
        <v/>
      </c>
      <c r="AC499" s="6" t="str">
        <f t="shared" si="215"/>
        <v/>
      </c>
      <c r="AD499" s="1" t="str">
        <f t="shared" ca="1" si="216"/>
        <v/>
      </c>
      <c r="AE499" s="75" t="str">
        <f t="shared" si="217"/>
        <v/>
      </c>
      <c r="AF499" s="75" t="str">
        <f t="shared" si="218"/>
        <v/>
      </c>
      <c r="AG499" s="4" t="str">
        <f t="shared" si="219"/>
        <v/>
      </c>
      <c r="AH499" s="4" t="str">
        <f t="shared" si="220"/>
        <v/>
      </c>
      <c r="AI499" s="4" t="str">
        <f t="shared" si="221"/>
        <v/>
      </c>
      <c r="AJ499" s="4" t="str">
        <f t="shared" si="222"/>
        <v/>
      </c>
      <c r="AK499" s="4" t="str">
        <f t="shared" si="223"/>
        <v/>
      </c>
      <c r="AL499" s="2" t="str">
        <f t="shared" si="224"/>
        <v/>
      </c>
      <c r="AM499" s="6" t="str">
        <f t="shared" si="225"/>
        <v/>
      </c>
      <c r="AN499" s="4" t="str">
        <f t="shared" si="226"/>
        <v/>
      </c>
      <c r="AO499" s="4" t="str">
        <f t="shared" si="227"/>
        <v/>
      </c>
      <c r="AP499" s="4" t="str">
        <f t="shared" si="228"/>
        <v/>
      </c>
      <c r="AQ499" s="4" t="str">
        <f t="shared" si="229"/>
        <v/>
      </c>
      <c r="AR499" s="4" t="str">
        <f t="shared" si="230"/>
        <v/>
      </c>
    </row>
    <row r="500" spans="8:44" s="1" customFormat="1" ht="14.25" x14ac:dyDescent="0.3">
      <c r="H500" s="50"/>
      <c r="J500" s="54"/>
      <c r="L500" s="54"/>
      <c r="R500" s="45"/>
      <c r="S500" s="54"/>
      <c r="T500" s="54"/>
      <c r="U500" s="54"/>
      <c r="V500" s="44"/>
      <c r="W500" s="27"/>
      <c r="Z500" s="27"/>
      <c r="AA500" s="8"/>
      <c r="AB500" s="81" t="str">
        <f t="shared" si="214"/>
        <v/>
      </c>
      <c r="AC500" s="6" t="str">
        <f t="shared" si="215"/>
        <v/>
      </c>
      <c r="AD500" s="1" t="str">
        <f t="shared" ca="1" si="216"/>
        <v/>
      </c>
      <c r="AE500" s="75" t="str">
        <f t="shared" si="217"/>
        <v/>
      </c>
      <c r="AF500" s="75" t="str">
        <f t="shared" si="218"/>
        <v/>
      </c>
      <c r="AG500" s="4" t="str">
        <f t="shared" si="219"/>
        <v/>
      </c>
      <c r="AH500" s="4" t="str">
        <f t="shared" si="220"/>
        <v/>
      </c>
      <c r="AI500" s="4" t="str">
        <f t="shared" si="221"/>
        <v/>
      </c>
      <c r="AJ500" s="4" t="str">
        <f t="shared" si="222"/>
        <v/>
      </c>
      <c r="AK500" s="4" t="str">
        <f t="shared" si="223"/>
        <v/>
      </c>
      <c r="AL500" s="2" t="str">
        <f t="shared" si="224"/>
        <v/>
      </c>
      <c r="AM500" s="6" t="str">
        <f t="shared" si="225"/>
        <v/>
      </c>
      <c r="AN500" s="4" t="str">
        <f t="shared" si="226"/>
        <v/>
      </c>
      <c r="AO500" s="4" t="str">
        <f t="shared" si="227"/>
        <v/>
      </c>
      <c r="AP500" s="4" t="str">
        <f t="shared" si="228"/>
        <v/>
      </c>
      <c r="AQ500" s="4" t="str">
        <f t="shared" si="229"/>
        <v/>
      </c>
      <c r="AR500" s="4" t="str">
        <f t="shared" si="230"/>
        <v/>
      </c>
    </row>
    <row r="501" spans="8:44" s="1" customFormat="1" ht="14.25" x14ac:dyDescent="0.3">
      <c r="H501" s="50"/>
      <c r="J501" s="54"/>
      <c r="L501" s="54"/>
      <c r="R501" s="45"/>
      <c r="S501" s="54"/>
      <c r="T501" s="54"/>
      <c r="U501" s="54"/>
      <c r="V501" s="44"/>
      <c r="W501" s="27"/>
      <c r="Z501" s="27"/>
      <c r="AA501" s="8"/>
      <c r="AB501" s="81" t="str">
        <f t="shared" si="214"/>
        <v/>
      </c>
      <c r="AC501" s="6" t="str">
        <f t="shared" si="215"/>
        <v/>
      </c>
      <c r="AD501" s="1" t="str">
        <f t="shared" ca="1" si="216"/>
        <v/>
      </c>
      <c r="AE501" s="75" t="str">
        <f t="shared" si="217"/>
        <v/>
      </c>
      <c r="AF501" s="75" t="str">
        <f t="shared" si="218"/>
        <v/>
      </c>
      <c r="AG501" s="4" t="str">
        <f t="shared" si="219"/>
        <v/>
      </c>
      <c r="AH501" s="4" t="str">
        <f t="shared" si="220"/>
        <v/>
      </c>
      <c r="AI501" s="4" t="str">
        <f t="shared" si="221"/>
        <v/>
      </c>
      <c r="AJ501" s="4" t="str">
        <f t="shared" si="222"/>
        <v/>
      </c>
      <c r="AK501" s="4" t="str">
        <f t="shared" si="223"/>
        <v/>
      </c>
      <c r="AL501" s="2" t="str">
        <f t="shared" si="224"/>
        <v/>
      </c>
      <c r="AM501" s="6" t="str">
        <f t="shared" si="225"/>
        <v/>
      </c>
      <c r="AN501" s="4" t="str">
        <f t="shared" si="226"/>
        <v/>
      </c>
      <c r="AO501" s="4" t="str">
        <f t="shared" si="227"/>
        <v/>
      </c>
      <c r="AP501" s="4" t="str">
        <f t="shared" si="228"/>
        <v/>
      </c>
      <c r="AQ501" s="4" t="str">
        <f t="shared" si="229"/>
        <v/>
      </c>
      <c r="AR501" s="4" t="str">
        <f t="shared" si="230"/>
        <v/>
      </c>
    </row>
    <row r="502" spans="8:44" s="1" customFormat="1" ht="14.25" x14ac:dyDescent="0.3">
      <c r="H502" s="50"/>
      <c r="J502" s="54"/>
      <c r="L502" s="54"/>
      <c r="R502" s="45"/>
      <c r="S502" s="54"/>
      <c r="T502" s="54"/>
      <c r="U502" s="54"/>
      <c r="V502" s="44"/>
      <c r="W502" s="27"/>
      <c r="Z502" s="27"/>
      <c r="AA502" s="8"/>
      <c r="AB502" s="81" t="str">
        <f t="shared" si="214"/>
        <v/>
      </c>
      <c r="AC502" s="6" t="str">
        <f t="shared" si="215"/>
        <v/>
      </c>
      <c r="AD502" s="1" t="str">
        <f t="shared" ca="1" si="216"/>
        <v/>
      </c>
      <c r="AE502" s="75" t="str">
        <f t="shared" si="217"/>
        <v/>
      </c>
      <c r="AF502" s="75" t="str">
        <f t="shared" si="218"/>
        <v/>
      </c>
      <c r="AG502" s="4" t="str">
        <f t="shared" si="219"/>
        <v/>
      </c>
      <c r="AH502" s="4" t="str">
        <f t="shared" si="220"/>
        <v/>
      </c>
      <c r="AI502" s="4" t="str">
        <f t="shared" si="221"/>
        <v/>
      </c>
      <c r="AJ502" s="4" t="str">
        <f t="shared" si="222"/>
        <v/>
      </c>
      <c r="AK502" s="4" t="str">
        <f t="shared" si="223"/>
        <v/>
      </c>
      <c r="AL502" s="2" t="str">
        <f t="shared" si="224"/>
        <v/>
      </c>
      <c r="AM502" s="6" t="str">
        <f t="shared" si="225"/>
        <v/>
      </c>
      <c r="AN502" s="4" t="str">
        <f t="shared" si="226"/>
        <v/>
      </c>
      <c r="AO502" s="4" t="str">
        <f t="shared" si="227"/>
        <v/>
      </c>
      <c r="AP502" s="4" t="str">
        <f t="shared" si="228"/>
        <v/>
      </c>
      <c r="AQ502" s="4" t="str">
        <f t="shared" si="229"/>
        <v/>
      </c>
      <c r="AR502" s="4" t="str">
        <f t="shared" si="230"/>
        <v/>
      </c>
    </row>
    <row r="503" spans="8:44" s="1" customFormat="1" ht="14.25" x14ac:dyDescent="0.3">
      <c r="H503" s="50"/>
      <c r="J503" s="54"/>
      <c r="L503" s="54"/>
      <c r="R503" s="45"/>
      <c r="S503" s="54"/>
      <c r="T503" s="54"/>
      <c r="U503" s="54"/>
      <c r="V503" s="44"/>
      <c r="W503" s="27"/>
      <c r="Z503" s="27"/>
      <c r="AA503" s="8"/>
      <c r="AB503" s="81" t="str">
        <f t="shared" si="214"/>
        <v/>
      </c>
      <c r="AC503" s="6" t="str">
        <f t="shared" si="215"/>
        <v/>
      </c>
      <c r="AD503" s="1" t="str">
        <f t="shared" ca="1" si="216"/>
        <v/>
      </c>
      <c r="AE503" s="75" t="str">
        <f t="shared" si="217"/>
        <v/>
      </c>
      <c r="AF503" s="75" t="str">
        <f t="shared" si="218"/>
        <v/>
      </c>
      <c r="AG503" s="4" t="str">
        <f t="shared" si="219"/>
        <v/>
      </c>
      <c r="AH503" s="4" t="str">
        <f t="shared" si="220"/>
        <v/>
      </c>
      <c r="AI503" s="4" t="str">
        <f t="shared" si="221"/>
        <v/>
      </c>
      <c r="AJ503" s="4" t="str">
        <f t="shared" si="222"/>
        <v/>
      </c>
      <c r="AK503" s="4" t="str">
        <f t="shared" si="223"/>
        <v/>
      </c>
      <c r="AL503" s="2" t="str">
        <f t="shared" si="224"/>
        <v/>
      </c>
      <c r="AM503" s="6" t="str">
        <f t="shared" si="225"/>
        <v/>
      </c>
      <c r="AN503" s="4" t="str">
        <f t="shared" si="226"/>
        <v/>
      </c>
      <c r="AO503" s="4" t="str">
        <f t="shared" si="227"/>
        <v/>
      </c>
      <c r="AP503" s="4" t="str">
        <f t="shared" si="228"/>
        <v/>
      </c>
      <c r="AQ503" s="4" t="str">
        <f t="shared" si="229"/>
        <v/>
      </c>
      <c r="AR503" s="4" t="str">
        <f t="shared" si="230"/>
        <v/>
      </c>
    </row>
    <row r="504" spans="8:44" s="1" customFormat="1" ht="14.25" x14ac:dyDescent="0.3">
      <c r="H504" s="50"/>
      <c r="J504" s="54"/>
      <c r="L504" s="54"/>
      <c r="R504" s="45"/>
      <c r="S504" s="54"/>
      <c r="T504" s="54"/>
      <c r="U504" s="54"/>
      <c r="V504" s="44"/>
      <c r="W504" s="27"/>
      <c r="Z504" s="27"/>
      <c r="AA504" s="8"/>
      <c r="AB504" s="81" t="str">
        <f t="shared" si="214"/>
        <v/>
      </c>
      <c r="AC504" s="6" t="str">
        <f t="shared" si="215"/>
        <v/>
      </c>
      <c r="AD504" s="1" t="str">
        <f t="shared" ca="1" si="216"/>
        <v/>
      </c>
      <c r="AE504" s="75" t="str">
        <f t="shared" si="217"/>
        <v/>
      </c>
      <c r="AF504" s="75" t="str">
        <f t="shared" si="218"/>
        <v/>
      </c>
      <c r="AG504" s="4" t="str">
        <f t="shared" si="219"/>
        <v/>
      </c>
      <c r="AH504" s="4" t="str">
        <f t="shared" si="220"/>
        <v/>
      </c>
      <c r="AI504" s="4" t="str">
        <f t="shared" si="221"/>
        <v/>
      </c>
      <c r="AJ504" s="4" t="str">
        <f t="shared" si="222"/>
        <v/>
      </c>
      <c r="AK504" s="4" t="str">
        <f t="shared" si="223"/>
        <v/>
      </c>
      <c r="AL504" s="2" t="str">
        <f t="shared" si="224"/>
        <v/>
      </c>
      <c r="AM504" s="6" t="str">
        <f t="shared" si="225"/>
        <v/>
      </c>
      <c r="AN504" s="4" t="str">
        <f t="shared" si="226"/>
        <v/>
      </c>
      <c r="AO504" s="4" t="str">
        <f t="shared" si="227"/>
        <v/>
      </c>
      <c r="AP504" s="4" t="str">
        <f t="shared" si="228"/>
        <v/>
      </c>
      <c r="AQ504" s="4" t="str">
        <f t="shared" si="229"/>
        <v/>
      </c>
      <c r="AR504" s="4" t="str">
        <f t="shared" si="230"/>
        <v/>
      </c>
    </row>
    <row r="505" spans="8:44" s="1" customFormat="1" ht="14.25" x14ac:dyDescent="0.3">
      <c r="H505" s="50"/>
      <c r="J505" s="54"/>
      <c r="L505" s="54"/>
      <c r="R505" s="45"/>
      <c r="S505" s="54"/>
      <c r="T505" s="54"/>
      <c r="U505" s="54"/>
      <c r="V505" s="44"/>
      <c r="W505" s="27"/>
      <c r="Z505" s="27"/>
      <c r="AA505" s="8"/>
      <c r="AB505" s="81" t="str">
        <f t="shared" si="214"/>
        <v/>
      </c>
      <c r="AC505" s="6" t="str">
        <f t="shared" si="215"/>
        <v/>
      </c>
      <c r="AD505" s="1" t="str">
        <f t="shared" ca="1" si="216"/>
        <v/>
      </c>
      <c r="AE505" s="75" t="str">
        <f t="shared" si="217"/>
        <v/>
      </c>
      <c r="AF505" s="75" t="str">
        <f t="shared" si="218"/>
        <v/>
      </c>
      <c r="AG505" s="4" t="str">
        <f t="shared" si="219"/>
        <v/>
      </c>
      <c r="AH505" s="4" t="str">
        <f t="shared" si="220"/>
        <v/>
      </c>
      <c r="AI505" s="4" t="str">
        <f t="shared" si="221"/>
        <v/>
      </c>
      <c r="AJ505" s="4" t="str">
        <f t="shared" si="222"/>
        <v/>
      </c>
      <c r="AK505" s="4" t="str">
        <f t="shared" si="223"/>
        <v/>
      </c>
      <c r="AL505" s="2" t="str">
        <f t="shared" si="224"/>
        <v/>
      </c>
      <c r="AM505" s="6" t="str">
        <f t="shared" si="225"/>
        <v/>
      </c>
      <c r="AN505" s="4" t="str">
        <f t="shared" si="226"/>
        <v/>
      </c>
      <c r="AO505" s="4" t="str">
        <f t="shared" si="227"/>
        <v/>
      </c>
      <c r="AP505" s="4" t="str">
        <f t="shared" si="228"/>
        <v/>
      </c>
      <c r="AQ505" s="4" t="str">
        <f t="shared" si="229"/>
        <v/>
      </c>
      <c r="AR505" s="4" t="str">
        <f t="shared" si="230"/>
        <v/>
      </c>
    </row>
    <row r="506" spans="8:44" s="1" customFormat="1" ht="14.25" x14ac:dyDescent="0.3">
      <c r="H506" s="50"/>
      <c r="J506" s="54"/>
      <c r="L506" s="54"/>
      <c r="R506" s="45"/>
      <c r="S506" s="54"/>
      <c r="T506" s="54"/>
      <c r="U506" s="54"/>
      <c r="V506" s="44"/>
      <c r="W506" s="27"/>
      <c r="Z506" s="27"/>
      <c r="AA506" s="8"/>
      <c r="AB506" s="81" t="str">
        <f t="shared" si="214"/>
        <v/>
      </c>
      <c r="AC506" s="6" t="str">
        <f t="shared" si="215"/>
        <v/>
      </c>
      <c r="AD506" s="1" t="str">
        <f t="shared" ca="1" si="216"/>
        <v/>
      </c>
      <c r="AE506" s="75" t="str">
        <f t="shared" si="217"/>
        <v/>
      </c>
      <c r="AF506" s="75" t="str">
        <f t="shared" si="218"/>
        <v/>
      </c>
      <c r="AG506" s="4" t="str">
        <f t="shared" si="219"/>
        <v/>
      </c>
      <c r="AH506" s="4" t="str">
        <f t="shared" si="220"/>
        <v/>
      </c>
      <c r="AI506" s="4" t="str">
        <f t="shared" si="221"/>
        <v/>
      </c>
      <c r="AJ506" s="4" t="str">
        <f t="shared" si="222"/>
        <v/>
      </c>
      <c r="AK506" s="4" t="str">
        <f t="shared" si="223"/>
        <v/>
      </c>
      <c r="AL506" s="2" t="str">
        <f t="shared" si="224"/>
        <v/>
      </c>
      <c r="AM506" s="6" t="str">
        <f t="shared" si="225"/>
        <v/>
      </c>
      <c r="AN506" s="4" t="str">
        <f t="shared" si="226"/>
        <v/>
      </c>
      <c r="AO506" s="4" t="str">
        <f t="shared" si="227"/>
        <v/>
      </c>
      <c r="AP506" s="4" t="str">
        <f t="shared" si="228"/>
        <v/>
      </c>
      <c r="AQ506" s="4" t="str">
        <f t="shared" si="229"/>
        <v/>
      </c>
      <c r="AR506" s="4" t="str">
        <f t="shared" si="230"/>
        <v/>
      </c>
    </row>
    <row r="507" spans="8:44" s="1" customFormat="1" ht="14.25" x14ac:dyDescent="0.3">
      <c r="H507" s="50"/>
      <c r="J507" s="54"/>
      <c r="L507" s="54"/>
      <c r="R507" s="45"/>
      <c r="S507" s="54"/>
      <c r="T507" s="54"/>
      <c r="U507" s="54"/>
      <c r="V507" s="44"/>
      <c r="W507" s="27"/>
      <c r="Z507" s="27"/>
      <c r="AA507" s="8"/>
      <c r="AB507" s="81" t="str">
        <f t="shared" si="214"/>
        <v/>
      </c>
      <c r="AC507" s="6" t="str">
        <f t="shared" si="215"/>
        <v/>
      </c>
      <c r="AD507" s="1" t="str">
        <f t="shared" ca="1" si="216"/>
        <v/>
      </c>
      <c r="AE507" s="75" t="str">
        <f t="shared" si="217"/>
        <v/>
      </c>
      <c r="AF507" s="75" t="str">
        <f t="shared" si="218"/>
        <v/>
      </c>
      <c r="AG507" s="4" t="str">
        <f t="shared" si="219"/>
        <v/>
      </c>
      <c r="AH507" s="4" t="str">
        <f t="shared" si="220"/>
        <v/>
      </c>
      <c r="AI507" s="4" t="str">
        <f t="shared" si="221"/>
        <v/>
      </c>
      <c r="AJ507" s="4" t="str">
        <f t="shared" si="222"/>
        <v/>
      </c>
      <c r="AK507" s="4" t="str">
        <f t="shared" si="223"/>
        <v/>
      </c>
      <c r="AL507" s="2" t="str">
        <f t="shared" si="224"/>
        <v/>
      </c>
      <c r="AM507" s="6" t="str">
        <f t="shared" si="225"/>
        <v/>
      </c>
      <c r="AN507" s="4" t="str">
        <f t="shared" si="226"/>
        <v/>
      </c>
      <c r="AO507" s="4" t="str">
        <f t="shared" si="227"/>
        <v/>
      </c>
      <c r="AP507" s="4" t="str">
        <f t="shared" si="228"/>
        <v/>
      </c>
      <c r="AQ507" s="4" t="str">
        <f t="shared" si="229"/>
        <v/>
      </c>
      <c r="AR507" s="4" t="str">
        <f t="shared" si="230"/>
        <v/>
      </c>
    </row>
    <row r="508" spans="8:44" s="1" customFormat="1" ht="14.25" x14ac:dyDescent="0.3">
      <c r="H508" s="50"/>
      <c r="J508" s="54"/>
      <c r="L508" s="54"/>
      <c r="R508" s="45"/>
      <c r="S508" s="54"/>
      <c r="T508" s="54"/>
      <c r="U508" s="54"/>
      <c r="V508" s="44"/>
      <c r="W508" s="27"/>
      <c r="Z508" s="27"/>
      <c r="AA508" s="8"/>
      <c r="AB508" s="81" t="str">
        <f t="shared" si="214"/>
        <v/>
      </c>
      <c r="AC508" s="6" t="str">
        <f t="shared" si="215"/>
        <v/>
      </c>
      <c r="AD508" s="1" t="str">
        <f t="shared" ca="1" si="216"/>
        <v/>
      </c>
      <c r="AE508" s="75" t="str">
        <f t="shared" si="217"/>
        <v/>
      </c>
      <c r="AF508" s="75" t="str">
        <f t="shared" si="218"/>
        <v/>
      </c>
      <c r="AG508" s="4" t="str">
        <f t="shared" si="219"/>
        <v/>
      </c>
      <c r="AH508" s="4" t="str">
        <f t="shared" si="220"/>
        <v/>
      </c>
      <c r="AI508" s="4" t="str">
        <f t="shared" si="221"/>
        <v/>
      </c>
      <c r="AJ508" s="4" t="str">
        <f t="shared" si="222"/>
        <v/>
      </c>
      <c r="AK508" s="4" t="str">
        <f t="shared" si="223"/>
        <v/>
      </c>
      <c r="AL508" s="2" t="str">
        <f t="shared" si="224"/>
        <v/>
      </c>
      <c r="AM508" s="6" t="str">
        <f t="shared" si="225"/>
        <v/>
      </c>
      <c r="AN508" s="4" t="str">
        <f t="shared" si="226"/>
        <v/>
      </c>
      <c r="AO508" s="4" t="str">
        <f t="shared" si="227"/>
        <v/>
      </c>
      <c r="AP508" s="4" t="str">
        <f t="shared" si="228"/>
        <v/>
      </c>
      <c r="AQ508" s="4" t="str">
        <f t="shared" si="229"/>
        <v/>
      </c>
      <c r="AR508" s="4" t="str">
        <f t="shared" si="230"/>
        <v/>
      </c>
    </row>
    <row r="509" spans="8:44" s="1" customFormat="1" ht="14.25" x14ac:dyDescent="0.3">
      <c r="H509" s="50"/>
      <c r="J509" s="54"/>
      <c r="L509" s="54"/>
      <c r="R509" s="45"/>
      <c r="S509" s="54"/>
      <c r="T509" s="54"/>
      <c r="U509" s="54"/>
      <c r="V509" s="44"/>
      <c r="W509" s="27"/>
      <c r="Z509" s="27"/>
      <c r="AA509" s="8"/>
      <c r="AB509" s="81" t="str">
        <f t="shared" ref="AB509:AB572" si="231">IF(X509="","",(AH509-AG509)/AG509)</f>
        <v/>
      </c>
      <c r="AC509" s="6" t="str">
        <f t="shared" ref="AC509:AC572" si="232">IF(X509="","",AH509-AG509)</f>
        <v/>
      </c>
      <c r="AD509" s="1" t="str">
        <f t="shared" ref="AD509:AD572" ca="1" si="233">IF(X509="","",IF(W509="","",IF(Z509="",TODAY()-W509,Z509-W509)))</f>
        <v/>
      </c>
      <c r="AE509" s="75" t="str">
        <f t="shared" ref="AE509:AE572" si="234">IF(X509="","",IF(AE508="",IF(AM509="","",AM509),IF(AM509="",AE508,AE508+AM509)))</f>
        <v/>
      </c>
      <c r="AF509" s="75" t="str">
        <f t="shared" ref="AF509:AF572" si="235">IF(X509="","",IF(AF508="",IF(AN509="","",AN509),IF(AN509="",AF508,AF508+AN509)))</f>
        <v/>
      </c>
      <c r="AG509" s="4" t="str">
        <f t="shared" ref="AG509:AG572" si="236">IF(X509="","",X509*Y509*100+AO509+AP509)</f>
        <v/>
      </c>
      <c r="AH509" s="4" t="str">
        <f t="shared" ref="AH509:AH572" si="237">IF(X509="","",IF(AA509="",C509*Y509*100-AO509-AQ509-AR509,AA509*Y509*100-AO509-AQ509-AR509))</f>
        <v/>
      </c>
      <c r="AI509" s="4" t="str">
        <f t="shared" ref="AI509:AI572" si="238">IF(X509="","",AI508+AC509)</f>
        <v/>
      </c>
      <c r="AJ509" s="4" t="str">
        <f t="shared" ref="AJ509:AJ572" si="239">IF(X509="","",AO509+AP509+AO509+AQ509+AR509)</f>
        <v/>
      </c>
      <c r="AK509" s="4" t="str">
        <f t="shared" ref="AK509:AK572" si="240">IF(X509="","",AK508+AJ509)</f>
        <v/>
      </c>
      <c r="AL509" s="2" t="str">
        <f t="shared" ref="AL509:AL572" si="241">IF(X509="","",0.18%)</f>
        <v/>
      </c>
      <c r="AM509" s="6" t="str">
        <f t="shared" ref="AM509:AM572" si="242">IF(X509="","",IF(Z509="",AC509,""))</f>
        <v/>
      </c>
      <c r="AN509" s="4" t="str">
        <f t="shared" ref="AN509:AN572" si="243">IF(X509="","",IF(Z509="",AH509,""))</f>
        <v/>
      </c>
      <c r="AO509" s="4" t="str">
        <f t="shared" ref="AO509:AO572" si="244">IF(X509="","",IF(LEFT(A509,2)="sh",IF(Y509*100/1000&lt;=1,1,Y509*100/1000),0))</f>
        <v/>
      </c>
      <c r="AP509" s="4" t="str">
        <f t="shared" ref="AP509:AP572" si="245">IF(X509="","",IF(X509*Y509*100*AL509&lt;=5,5,X509*Y509*100*AL509))</f>
        <v/>
      </c>
      <c r="AQ509" s="4" t="str">
        <f t="shared" ref="AQ509:AQ572" si="246">IF(X509="","",IF(AA509="",IF(C509*Y509*100*AL509&lt;=5,5,C509*Y509*100*AL509),IF(AA509*Y509*100*AL509&lt;=5,5,AA509*Y509*100*AL509)))</f>
        <v/>
      </c>
      <c r="AR509" s="4" t="str">
        <f t="shared" ref="AR509:AR572" si="247">IF(X509="","",IF(AA509="",C509*Y509*100*0.001,AA509*Y509*100*0.001))</f>
        <v/>
      </c>
    </row>
    <row r="510" spans="8:44" s="1" customFormat="1" ht="14.25" x14ac:dyDescent="0.3">
      <c r="H510" s="50"/>
      <c r="J510" s="54"/>
      <c r="L510" s="54"/>
      <c r="R510" s="45"/>
      <c r="S510" s="54"/>
      <c r="T510" s="54"/>
      <c r="U510" s="54"/>
      <c r="V510" s="44"/>
      <c r="W510" s="27"/>
      <c r="Z510" s="27"/>
      <c r="AA510" s="8"/>
      <c r="AB510" s="81" t="str">
        <f t="shared" si="231"/>
        <v/>
      </c>
      <c r="AC510" s="6" t="str">
        <f t="shared" si="232"/>
        <v/>
      </c>
      <c r="AD510" s="1" t="str">
        <f t="shared" ca="1" si="233"/>
        <v/>
      </c>
      <c r="AE510" s="75" t="str">
        <f t="shared" si="234"/>
        <v/>
      </c>
      <c r="AF510" s="75" t="str">
        <f t="shared" si="235"/>
        <v/>
      </c>
      <c r="AG510" s="4" t="str">
        <f t="shared" si="236"/>
        <v/>
      </c>
      <c r="AH510" s="4" t="str">
        <f t="shared" si="237"/>
        <v/>
      </c>
      <c r="AI510" s="4" t="str">
        <f t="shared" si="238"/>
        <v/>
      </c>
      <c r="AJ510" s="4" t="str">
        <f t="shared" si="239"/>
        <v/>
      </c>
      <c r="AK510" s="4" t="str">
        <f t="shared" si="240"/>
        <v/>
      </c>
      <c r="AL510" s="2" t="str">
        <f t="shared" si="241"/>
        <v/>
      </c>
      <c r="AM510" s="6" t="str">
        <f t="shared" si="242"/>
        <v/>
      </c>
      <c r="AN510" s="4" t="str">
        <f t="shared" si="243"/>
        <v/>
      </c>
      <c r="AO510" s="4" t="str">
        <f t="shared" si="244"/>
        <v/>
      </c>
      <c r="AP510" s="4" t="str">
        <f t="shared" si="245"/>
        <v/>
      </c>
      <c r="AQ510" s="4" t="str">
        <f t="shared" si="246"/>
        <v/>
      </c>
      <c r="AR510" s="4" t="str">
        <f t="shared" si="247"/>
        <v/>
      </c>
    </row>
    <row r="511" spans="8:44" s="1" customFormat="1" ht="14.25" x14ac:dyDescent="0.3">
      <c r="H511" s="50"/>
      <c r="J511" s="54"/>
      <c r="L511" s="54"/>
      <c r="R511" s="45"/>
      <c r="S511" s="54"/>
      <c r="T511" s="54"/>
      <c r="U511" s="54"/>
      <c r="V511" s="44"/>
      <c r="W511" s="27"/>
      <c r="Z511" s="27"/>
      <c r="AA511" s="8"/>
      <c r="AB511" s="81" t="str">
        <f t="shared" si="231"/>
        <v/>
      </c>
      <c r="AC511" s="6" t="str">
        <f t="shared" si="232"/>
        <v/>
      </c>
      <c r="AD511" s="1" t="str">
        <f t="shared" ca="1" si="233"/>
        <v/>
      </c>
      <c r="AE511" s="75" t="str">
        <f t="shared" si="234"/>
        <v/>
      </c>
      <c r="AF511" s="75" t="str">
        <f t="shared" si="235"/>
        <v/>
      </c>
      <c r="AG511" s="4" t="str">
        <f t="shared" si="236"/>
        <v/>
      </c>
      <c r="AH511" s="4" t="str">
        <f t="shared" si="237"/>
        <v/>
      </c>
      <c r="AI511" s="4" t="str">
        <f t="shared" si="238"/>
        <v/>
      </c>
      <c r="AJ511" s="4" t="str">
        <f t="shared" si="239"/>
        <v/>
      </c>
      <c r="AK511" s="4" t="str">
        <f t="shared" si="240"/>
        <v/>
      </c>
      <c r="AL511" s="2" t="str">
        <f t="shared" si="241"/>
        <v/>
      </c>
      <c r="AM511" s="6" t="str">
        <f t="shared" si="242"/>
        <v/>
      </c>
      <c r="AN511" s="4" t="str">
        <f t="shared" si="243"/>
        <v/>
      </c>
      <c r="AO511" s="4" t="str">
        <f t="shared" si="244"/>
        <v/>
      </c>
      <c r="AP511" s="4" t="str">
        <f t="shared" si="245"/>
        <v/>
      </c>
      <c r="AQ511" s="4" t="str">
        <f t="shared" si="246"/>
        <v/>
      </c>
      <c r="AR511" s="4" t="str">
        <f t="shared" si="247"/>
        <v/>
      </c>
    </row>
    <row r="512" spans="8:44" s="1" customFormat="1" ht="14.25" x14ac:dyDescent="0.3">
      <c r="H512" s="50"/>
      <c r="J512" s="54"/>
      <c r="L512" s="54"/>
      <c r="R512" s="45"/>
      <c r="S512" s="54"/>
      <c r="T512" s="54"/>
      <c r="U512" s="54"/>
      <c r="V512" s="44"/>
      <c r="W512" s="27"/>
      <c r="Z512" s="27"/>
      <c r="AA512" s="8"/>
      <c r="AB512" s="81" t="str">
        <f t="shared" si="231"/>
        <v/>
      </c>
      <c r="AC512" s="6" t="str">
        <f t="shared" si="232"/>
        <v/>
      </c>
      <c r="AD512" s="1" t="str">
        <f t="shared" ca="1" si="233"/>
        <v/>
      </c>
      <c r="AE512" s="75" t="str">
        <f t="shared" si="234"/>
        <v/>
      </c>
      <c r="AF512" s="75" t="str">
        <f t="shared" si="235"/>
        <v/>
      </c>
      <c r="AG512" s="4" t="str">
        <f t="shared" si="236"/>
        <v/>
      </c>
      <c r="AH512" s="4" t="str">
        <f t="shared" si="237"/>
        <v/>
      </c>
      <c r="AI512" s="4" t="str">
        <f t="shared" si="238"/>
        <v/>
      </c>
      <c r="AJ512" s="4" t="str">
        <f t="shared" si="239"/>
        <v/>
      </c>
      <c r="AK512" s="4" t="str">
        <f t="shared" si="240"/>
        <v/>
      </c>
      <c r="AL512" s="2" t="str">
        <f t="shared" si="241"/>
        <v/>
      </c>
      <c r="AM512" s="6" t="str">
        <f t="shared" si="242"/>
        <v/>
      </c>
      <c r="AN512" s="4" t="str">
        <f t="shared" si="243"/>
        <v/>
      </c>
      <c r="AO512" s="4" t="str">
        <f t="shared" si="244"/>
        <v/>
      </c>
      <c r="AP512" s="4" t="str">
        <f t="shared" si="245"/>
        <v/>
      </c>
      <c r="AQ512" s="4" t="str">
        <f t="shared" si="246"/>
        <v/>
      </c>
      <c r="AR512" s="4" t="str">
        <f t="shared" si="247"/>
        <v/>
      </c>
    </row>
    <row r="513" spans="8:44" s="1" customFormat="1" ht="14.25" x14ac:dyDescent="0.3">
      <c r="H513" s="50"/>
      <c r="J513" s="54"/>
      <c r="L513" s="54"/>
      <c r="R513" s="45"/>
      <c r="S513" s="54"/>
      <c r="T513" s="54"/>
      <c r="U513" s="54"/>
      <c r="V513" s="44"/>
      <c r="W513" s="27"/>
      <c r="Z513" s="27"/>
      <c r="AA513" s="8"/>
      <c r="AB513" s="81" t="str">
        <f t="shared" si="231"/>
        <v/>
      </c>
      <c r="AC513" s="6" t="str">
        <f t="shared" si="232"/>
        <v/>
      </c>
      <c r="AD513" s="1" t="str">
        <f t="shared" ca="1" si="233"/>
        <v/>
      </c>
      <c r="AE513" s="75" t="str">
        <f t="shared" si="234"/>
        <v/>
      </c>
      <c r="AF513" s="75" t="str">
        <f t="shared" si="235"/>
        <v/>
      </c>
      <c r="AG513" s="4" t="str">
        <f t="shared" si="236"/>
        <v/>
      </c>
      <c r="AH513" s="4" t="str">
        <f t="shared" si="237"/>
        <v/>
      </c>
      <c r="AI513" s="4" t="str">
        <f t="shared" si="238"/>
        <v/>
      </c>
      <c r="AJ513" s="4" t="str">
        <f t="shared" si="239"/>
        <v/>
      </c>
      <c r="AK513" s="4" t="str">
        <f t="shared" si="240"/>
        <v/>
      </c>
      <c r="AL513" s="2" t="str">
        <f t="shared" si="241"/>
        <v/>
      </c>
      <c r="AM513" s="6" t="str">
        <f t="shared" si="242"/>
        <v/>
      </c>
      <c r="AN513" s="4" t="str">
        <f t="shared" si="243"/>
        <v/>
      </c>
      <c r="AO513" s="4" t="str">
        <f t="shared" si="244"/>
        <v/>
      </c>
      <c r="AP513" s="4" t="str">
        <f t="shared" si="245"/>
        <v/>
      </c>
      <c r="AQ513" s="4" t="str">
        <f t="shared" si="246"/>
        <v/>
      </c>
      <c r="AR513" s="4" t="str">
        <f t="shared" si="247"/>
        <v/>
      </c>
    </row>
    <row r="514" spans="8:44" s="1" customFormat="1" ht="14.25" x14ac:dyDescent="0.3">
      <c r="H514" s="50"/>
      <c r="J514" s="54"/>
      <c r="L514" s="54"/>
      <c r="R514" s="45"/>
      <c r="S514" s="54"/>
      <c r="T514" s="54"/>
      <c r="U514" s="54"/>
      <c r="V514" s="44"/>
      <c r="W514" s="27"/>
      <c r="Z514" s="27"/>
      <c r="AA514" s="8"/>
      <c r="AB514" s="81" t="str">
        <f t="shared" si="231"/>
        <v/>
      </c>
      <c r="AC514" s="6" t="str">
        <f t="shared" si="232"/>
        <v/>
      </c>
      <c r="AD514" s="1" t="str">
        <f t="shared" ca="1" si="233"/>
        <v/>
      </c>
      <c r="AE514" s="75" t="str">
        <f t="shared" si="234"/>
        <v/>
      </c>
      <c r="AF514" s="75" t="str">
        <f t="shared" si="235"/>
        <v/>
      </c>
      <c r="AG514" s="4" t="str">
        <f t="shared" si="236"/>
        <v/>
      </c>
      <c r="AH514" s="4" t="str">
        <f t="shared" si="237"/>
        <v/>
      </c>
      <c r="AI514" s="4" t="str">
        <f t="shared" si="238"/>
        <v/>
      </c>
      <c r="AJ514" s="4" t="str">
        <f t="shared" si="239"/>
        <v/>
      </c>
      <c r="AK514" s="4" t="str">
        <f t="shared" si="240"/>
        <v/>
      </c>
      <c r="AL514" s="2" t="str">
        <f t="shared" si="241"/>
        <v/>
      </c>
      <c r="AM514" s="6" t="str">
        <f t="shared" si="242"/>
        <v/>
      </c>
      <c r="AN514" s="4" t="str">
        <f t="shared" si="243"/>
        <v/>
      </c>
      <c r="AO514" s="4" t="str">
        <f t="shared" si="244"/>
        <v/>
      </c>
      <c r="AP514" s="4" t="str">
        <f t="shared" si="245"/>
        <v/>
      </c>
      <c r="AQ514" s="4" t="str">
        <f t="shared" si="246"/>
        <v/>
      </c>
      <c r="AR514" s="4" t="str">
        <f t="shared" si="247"/>
        <v/>
      </c>
    </row>
    <row r="515" spans="8:44" s="1" customFormat="1" ht="14.25" x14ac:dyDescent="0.3">
      <c r="H515" s="50"/>
      <c r="J515" s="54"/>
      <c r="L515" s="54"/>
      <c r="R515" s="45"/>
      <c r="S515" s="54"/>
      <c r="T515" s="54"/>
      <c r="U515" s="54"/>
      <c r="V515" s="44"/>
      <c r="W515" s="27"/>
      <c r="Z515" s="27"/>
      <c r="AA515" s="8"/>
      <c r="AB515" s="81" t="str">
        <f t="shared" si="231"/>
        <v/>
      </c>
      <c r="AC515" s="6" t="str">
        <f t="shared" si="232"/>
        <v/>
      </c>
      <c r="AD515" s="1" t="str">
        <f t="shared" ca="1" si="233"/>
        <v/>
      </c>
      <c r="AE515" s="75" t="str">
        <f t="shared" si="234"/>
        <v/>
      </c>
      <c r="AF515" s="75" t="str">
        <f t="shared" si="235"/>
        <v/>
      </c>
      <c r="AG515" s="4" t="str">
        <f t="shared" si="236"/>
        <v/>
      </c>
      <c r="AH515" s="4" t="str">
        <f t="shared" si="237"/>
        <v/>
      </c>
      <c r="AI515" s="4" t="str">
        <f t="shared" si="238"/>
        <v/>
      </c>
      <c r="AJ515" s="4" t="str">
        <f t="shared" si="239"/>
        <v/>
      </c>
      <c r="AK515" s="4" t="str">
        <f t="shared" si="240"/>
        <v/>
      </c>
      <c r="AL515" s="2" t="str">
        <f t="shared" si="241"/>
        <v/>
      </c>
      <c r="AM515" s="6" t="str">
        <f t="shared" si="242"/>
        <v/>
      </c>
      <c r="AN515" s="4" t="str">
        <f t="shared" si="243"/>
        <v/>
      </c>
      <c r="AO515" s="4" t="str">
        <f t="shared" si="244"/>
        <v/>
      </c>
      <c r="AP515" s="4" t="str">
        <f t="shared" si="245"/>
        <v/>
      </c>
      <c r="AQ515" s="4" t="str">
        <f t="shared" si="246"/>
        <v/>
      </c>
      <c r="AR515" s="4" t="str">
        <f t="shared" si="247"/>
        <v/>
      </c>
    </row>
    <row r="516" spans="8:44" s="1" customFormat="1" ht="14.25" x14ac:dyDescent="0.3">
      <c r="H516" s="50"/>
      <c r="J516" s="54"/>
      <c r="L516" s="54"/>
      <c r="R516" s="45"/>
      <c r="S516" s="54"/>
      <c r="T516" s="54"/>
      <c r="U516" s="54"/>
      <c r="V516" s="44"/>
      <c r="W516" s="27"/>
      <c r="Z516" s="27"/>
      <c r="AA516" s="8"/>
      <c r="AB516" s="81" t="str">
        <f t="shared" si="231"/>
        <v/>
      </c>
      <c r="AC516" s="6" t="str">
        <f t="shared" si="232"/>
        <v/>
      </c>
      <c r="AD516" s="1" t="str">
        <f t="shared" ca="1" si="233"/>
        <v/>
      </c>
      <c r="AE516" s="75" t="str">
        <f t="shared" si="234"/>
        <v/>
      </c>
      <c r="AF516" s="75" t="str">
        <f t="shared" si="235"/>
        <v/>
      </c>
      <c r="AG516" s="4" t="str">
        <f t="shared" si="236"/>
        <v/>
      </c>
      <c r="AH516" s="4" t="str">
        <f t="shared" si="237"/>
        <v/>
      </c>
      <c r="AI516" s="4" t="str">
        <f t="shared" si="238"/>
        <v/>
      </c>
      <c r="AJ516" s="4" t="str">
        <f t="shared" si="239"/>
        <v/>
      </c>
      <c r="AK516" s="4" t="str">
        <f t="shared" si="240"/>
        <v/>
      </c>
      <c r="AL516" s="2" t="str">
        <f t="shared" si="241"/>
        <v/>
      </c>
      <c r="AM516" s="6" t="str">
        <f t="shared" si="242"/>
        <v/>
      </c>
      <c r="AN516" s="4" t="str">
        <f t="shared" si="243"/>
        <v/>
      </c>
      <c r="AO516" s="4" t="str">
        <f t="shared" si="244"/>
        <v/>
      </c>
      <c r="AP516" s="4" t="str">
        <f t="shared" si="245"/>
        <v/>
      </c>
      <c r="AQ516" s="4" t="str">
        <f t="shared" si="246"/>
        <v/>
      </c>
      <c r="AR516" s="4" t="str">
        <f t="shared" si="247"/>
        <v/>
      </c>
    </row>
    <row r="517" spans="8:44" s="1" customFormat="1" ht="14.25" x14ac:dyDescent="0.3">
      <c r="H517" s="50"/>
      <c r="J517" s="54"/>
      <c r="L517" s="54"/>
      <c r="R517" s="45"/>
      <c r="S517" s="54"/>
      <c r="T517" s="54"/>
      <c r="U517" s="54"/>
      <c r="V517" s="44"/>
      <c r="W517" s="27"/>
      <c r="Z517" s="27"/>
      <c r="AA517" s="8"/>
      <c r="AB517" s="81" t="str">
        <f t="shared" si="231"/>
        <v/>
      </c>
      <c r="AC517" s="6" t="str">
        <f t="shared" si="232"/>
        <v/>
      </c>
      <c r="AD517" s="1" t="str">
        <f t="shared" ca="1" si="233"/>
        <v/>
      </c>
      <c r="AE517" s="75" t="str">
        <f t="shared" si="234"/>
        <v/>
      </c>
      <c r="AF517" s="75" t="str">
        <f t="shared" si="235"/>
        <v/>
      </c>
      <c r="AG517" s="4" t="str">
        <f t="shared" si="236"/>
        <v/>
      </c>
      <c r="AH517" s="4" t="str">
        <f t="shared" si="237"/>
        <v/>
      </c>
      <c r="AI517" s="4" t="str">
        <f t="shared" si="238"/>
        <v/>
      </c>
      <c r="AJ517" s="4" t="str">
        <f t="shared" si="239"/>
        <v/>
      </c>
      <c r="AK517" s="4" t="str">
        <f t="shared" si="240"/>
        <v/>
      </c>
      <c r="AL517" s="2" t="str">
        <f t="shared" si="241"/>
        <v/>
      </c>
      <c r="AM517" s="6" t="str">
        <f t="shared" si="242"/>
        <v/>
      </c>
      <c r="AN517" s="4" t="str">
        <f t="shared" si="243"/>
        <v/>
      </c>
      <c r="AO517" s="4" t="str">
        <f t="shared" si="244"/>
        <v/>
      </c>
      <c r="AP517" s="4" t="str">
        <f t="shared" si="245"/>
        <v/>
      </c>
      <c r="AQ517" s="4" t="str">
        <f t="shared" si="246"/>
        <v/>
      </c>
      <c r="AR517" s="4" t="str">
        <f t="shared" si="247"/>
        <v/>
      </c>
    </row>
    <row r="518" spans="8:44" s="1" customFormat="1" ht="14.25" x14ac:dyDescent="0.3">
      <c r="H518" s="50"/>
      <c r="J518" s="54"/>
      <c r="L518" s="54"/>
      <c r="R518" s="45"/>
      <c r="S518" s="54"/>
      <c r="T518" s="54"/>
      <c r="U518" s="54"/>
      <c r="V518" s="44"/>
      <c r="W518" s="27"/>
      <c r="Z518" s="27"/>
      <c r="AA518" s="8"/>
      <c r="AB518" s="81" t="str">
        <f t="shared" si="231"/>
        <v/>
      </c>
      <c r="AC518" s="6" t="str">
        <f t="shared" si="232"/>
        <v/>
      </c>
      <c r="AD518" s="1" t="str">
        <f t="shared" ca="1" si="233"/>
        <v/>
      </c>
      <c r="AE518" s="75" t="str">
        <f t="shared" si="234"/>
        <v/>
      </c>
      <c r="AF518" s="75" t="str">
        <f t="shared" si="235"/>
        <v/>
      </c>
      <c r="AG518" s="4" t="str">
        <f t="shared" si="236"/>
        <v/>
      </c>
      <c r="AH518" s="4" t="str">
        <f t="shared" si="237"/>
        <v/>
      </c>
      <c r="AI518" s="4" t="str">
        <f t="shared" si="238"/>
        <v/>
      </c>
      <c r="AJ518" s="4" t="str">
        <f t="shared" si="239"/>
        <v/>
      </c>
      <c r="AK518" s="4" t="str">
        <f t="shared" si="240"/>
        <v/>
      </c>
      <c r="AL518" s="2" t="str">
        <f t="shared" si="241"/>
        <v/>
      </c>
      <c r="AM518" s="6" t="str">
        <f t="shared" si="242"/>
        <v/>
      </c>
      <c r="AN518" s="4" t="str">
        <f t="shared" si="243"/>
        <v/>
      </c>
      <c r="AO518" s="4" t="str">
        <f t="shared" si="244"/>
        <v/>
      </c>
      <c r="AP518" s="4" t="str">
        <f t="shared" si="245"/>
        <v/>
      </c>
      <c r="AQ518" s="4" t="str">
        <f t="shared" si="246"/>
        <v/>
      </c>
      <c r="AR518" s="4" t="str">
        <f t="shared" si="247"/>
        <v/>
      </c>
    </row>
    <row r="519" spans="8:44" s="1" customFormat="1" ht="14.25" x14ac:dyDescent="0.3">
      <c r="H519" s="50"/>
      <c r="J519" s="54"/>
      <c r="L519" s="54"/>
      <c r="R519" s="45"/>
      <c r="S519" s="54"/>
      <c r="T519" s="54"/>
      <c r="U519" s="54"/>
      <c r="V519" s="44"/>
      <c r="W519" s="27"/>
      <c r="Z519" s="27"/>
      <c r="AA519" s="8"/>
      <c r="AB519" s="81" t="str">
        <f t="shared" si="231"/>
        <v/>
      </c>
      <c r="AC519" s="6" t="str">
        <f t="shared" si="232"/>
        <v/>
      </c>
      <c r="AD519" s="1" t="str">
        <f t="shared" ca="1" si="233"/>
        <v/>
      </c>
      <c r="AE519" s="75" t="str">
        <f t="shared" si="234"/>
        <v/>
      </c>
      <c r="AF519" s="75" t="str">
        <f t="shared" si="235"/>
        <v/>
      </c>
      <c r="AG519" s="4" t="str">
        <f t="shared" si="236"/>
        <v/>
      </c>
      <c r="AH519" s="4" t="str">
        <f t="shared" si="237"/>
        <v/>
      </c>
      <c r="AI519" s="4" t="str">
        <f t="shared" si="238"/>
        <v/>
      </c>
      <c r="AJ519" s="4" t="str">
        <f t="shared" si="239"/>
        <v/>
      </c>
      <c r="AK519" s="4" t="str">
        <f t="shared" si="240"/>
        <v/>
      </c>
      <c r="AL519" s="2" t="str">
        <f t="shared" si="241"/>
        <v/>
      </c>
      <c r="AM519" s="6" t="str">
        <f t="shared" si="242"/>
        <v/>
      </c>
      <c r="AN519" s="4" t="str">
        <f t="shared" si="243"/>
        <v/>
      </c>
      <c r="AO519" s="4" t="str">
        <f t="shared" si="244"/>
        <v/>
      </c>
      <c r="AP519" s="4" t="str">
        <f t="shared" si="245"/>
        <v/>
      </c>
      <c r="AQ519" s="4" t="str">
        <f t="shared" si="246"/>
        <v/>
      </c>
      <c r="AR519" s="4" t="str">
        <f t="shared" si="247"/>
        <v/>
      </c>
    </row>
    <row r="520" spans="8:44" s="1" customFormat="1" ht="14.25" x14ac:dyDescent="0.3">
      <c r="H520" s="50"/>
      <c r="J520" s="54"/>
      <c r="L520" s="54"/>
      <c r="R520" s="45"/>
      <c r="S520" s="54"/>
      <c r="T520" s="54"/>
      <c r="U520" s="54"/>
      <c r="V520" s="44"/>
      <c r="W520" s="27"/>
      <c r="Z520" s="27"/>
      <c r="AA520" s="8"/>
      <c r="AB520" s="81" t="str">
        <f t="shared" si="231"/>
        <v/>
      </c>
      <c r="AC520" s="6" t="str">
        <f t="shared" si="232"/>
        <v/>
      </c>
      <c r="AD520" s="1" t="str">
        <f t="shared" ca="1" si="233"/>
        <v/>
      </c>
      <c r="AE520" s="75" t="str">
        <f t="shared" si="234"/>
        <v/>
      </c>
      <c r="AF520" s="75" t="str">
        <f t="shared" si="235"/>
        <v/>
      </c>
      <c r="AG520" s="4" t="str">
        <f t="shared" si="236"/>
        <v/>
      </c>
      <c r="AH520" s="4" t="str">
        <f t="shared" si="237"/>
        <v/>
      </c>
      <c r="AI520" s="4" t="str">
        <f t="shared" si="238"/>
        <v/>
      </c>
      <c r="AJ520" s="4" t="str">
        <f t="shared" si="239"/>
        <v/>
      </c>
      <c r="AK520" s="4" t="str">
        <f t="shared" si="240"/>
        <v/>
      </c>
      <c r="AL520" s="2" t="str">
        <f t="shared" si="241"/>
        <v/>
      </c>
      <c r="AM520" s="6" t="str">
        <f t="shared" si="242"/>
        <v/>
      </c>
      <c r="AN520" s="4" t="str">
        <f t="shared" si="243"/>
        <v/>
      </c>
      <c r="AO520" s="4" t="str">
        <f t="shared" si="244"/>
        <v/>
      </c>
      <c r="AP520" s="4" t="str">
        <f t="shared" si="245"/>
        <v/>
      </c>
      <c r="AQ520" s="4" t="str">
        <f t="shared" si="246"/>
        <v/>
      </c>
      <c r="AR520" s="4" t="str">
        <f t="shared" si="247"/>
        <v/>
      </c>
    </row>
    <row r="521" spans="8:44" s="1" customFormat="1" ht="14.25" x14ac:dyDescent="0.3">
      <c r="H521" s="50"/>
      <c r="J521" s="54"/>
      <c r="L521" s="54"/>
      <c r="R521" s="45"/>
      <c r="S521" s="54"/>
      <c r="T521" s="54"/>
      <c r="U521" s="54"/>
      <c r="V521" s="44"/>
      <c r="W521" s="27"/>
      <c r="Z521" s="27"/>
      <c r="AA521" s="8"/>
      <c r="AB521" s="81" t="str">
        <f t="shared" si="231"/>
        <v/>
      </c>
      <c r="AC521" s="6" t="str">
        <f t="shared" si="232"/>
        <v/>
      </c>
      <c r="AD521" s="1" t="str">
        <f t="shared" ca="1" si="233"/>
        <v/>
      </c>
      <c r="AE521" s="75" t="str">
        <f t="shared" si="234"/>
        <v/>
      </c>
      <c r="AF521" s="75" t="str">
        <f t="shared" si="235"/>
        <v/>
      </c>
      <c r="AG521" s="4" t="str">
        <f t="shared" si="236"/>
        <v/>
      </c>
      <c r="AH521" s="4" t="str">
        <f t="shared" si="237"/>
        <v/>
      </c>
      <c r="AI521" s="4" t="str">
        <f t="shared" si="238"/>
        <v/>
      </c>
      <c r="AJ521" s="4" t="str">
        <f t="shared" si="239"/>
        <v/>
      </c>
      <c r="AK521" s="4" t="str">
        <f t="shared" si="240"/>
        <v/>
      </c>
      <c r="AL521" s="2" t="str">
        <f t="shared" si="241"/>
        <v/>
      </c>
      <c r="AM521" s="6" t="str">
        <f t="shared" si="242"/>
        <v/>
      </c>
      <c r="AN521" s="4" t="str">
        <f t="shared" si="243"/>
        <v/>
      </c>
      <c r="AO521" s="4" t="str">
        <f t="shared" si="244"/>
        <v/>
      </c>
      <c r="AP521" s="4" t="str">
        <f t="shared" si="245"/>
        <v/>
      </c>
      <c r="AQ521" s="4" t="str">
        <f t="shared" si="246"/>
        <v/>
      </c>
      <c r="AR521" s="4" t="str">
        <f t="shared" si="247"/>
        <v/>
      </c>
    </row>
    <row r="522" spans="8:44" s="1" customFormat="1" ht="14.25" x14ac:dyDescent="0.3">
      <c r="H522" s="50"/>
      <c r="J522" s="54"/>
      <c r="L522" s="54"/>
      <c r="R522" s="45"/>
      <c r="S522" s="54"/>
      <c r="T522" s="54"/>
      <c r="U522" s="54"/>
      <c r="V522" s="44"/>
      <c r="W522" s="27"/>
      <c r="Z522" s="27"/>
      <c r="AA522" s="8"/>
      <c r="AB522" s="81" t="str">
        <f t="shared" si="231"/>
        <v/>
      </c>
      <c r="AC522" s="6" t="str">
        <f t="shared" si="232"/>
        <v/>
      </c>
      <c r="AD522" s="1" t="str">
        <f t="shared" ca="1" si="233"/>
        <v/>
      </c>
      <c r="AE522" s="75" t="str">
        <f t="shared" si="234"/>
        <v/>
      </c>
      <c r="AF522" s="75" t="str">
        <f t="shared" si="235"/>
        <v/>
      </c>
      <c r="AG522" s="4" t="str">
        <f t="shared" si="236"/>
        <v/>
      </c>
      <c r="AH522" s="4" t="str">
        <f t="shared" si="237"/>
        <v/>
      </c>
      <c r="AI522" s="4" t="str">
        <f t="shared" si="238"/>
        <v/>
      </c>
      <c r="AJ522" s="4" t="str">
        <f t="shared" si="239"/>
        <v/>
      </c>
      <c r="AK522" s="4" t="str">
        <f t="shared" si="240"/>
        <v/>
      </c>
      <c r="AL522" s="2" t="str">
        <f t="shared" si="241"/>
        <v/>
      </c>
      <c r="AM522" s="6" t="str">
        <f t="shared" si="242"/>
        <v/>
      </c>
      <c r="AN522" s="4" t="str">
        <f t="shared" si="243"/>
        <v/>
      </c>
      <c r="AO522" s="4" t="str">
        <f t="shared" si="244"/>
        <v/>
      </c>
      <c r="AP522" s="4" t="str">
        <f t="shared" si="245"/>
        <v/>
      </c>
      <c r="AQ522" s="4" t="str">
        <f t="shared" si="246"/>
        <v/>
      </c>
      <c r="AR522" s="4" t="str">
        <f t="shared" si="247"/>
        <v/>
      </c>
    </row>
    <row r="523" spans="8:44" s="1" customFormat="1" ht="14.25" x14ac:dyDescent="0.3">
      <c r="H523" s="50"/>
      <c r="J523" s="54"/>
      <c r="L523" s="54"/>
      <c r="R523" s="45"/>
      <c r="S523" s="54"/>
      <c r="T523" s="54"/>
      <c r="U523" s="54"/>
      <c r="V523" s="44"/>
      <c r="W523" s="27"/>
      <c r="Z523" s="27"/>
      <c r="AA523" s="8"/>
      <c r="AB523" s="81" t="str">
        <f t="shared" si="231"/>
        <v/>
      </c>
      <c r="AC523" s="6" t="str">
        <f t="shared" si="232"/>
        <v/>
      </c>
      <c r="AD523" s="1" t="str">
        <f t="shared" ca="1" si="233"/>
        <v/>
      </c>
      <c r="AE523" s="75" t="str">
        <f t="shared" si="234"/>
        <v/>
      </c>
      <c r="AF523" s="75" t="str">
        <f t="shared" si="235"/>
        <v/>
      </c>
      <c r="AG523" s="4" t="str">
        <f t="shared" si="236"/>
        <v/>
      </c>
      <c r="AH523" s="4" t="str">
        <f t="shared" si="237"/>
        <v/>
      </c>
      <c r="AI523" s="4" t="str">
        <f t="shared" si="238"/>
        <v/>
      </c>
      <c r="AJ523" s="4" t="str">
        <f t="shared" si="239"/>
        <v/>
      </c>
      <c r="AK523" s="4" t="str">
        <f t="shared" si="240"/>
        <v/>
      </c>
      <c r="AL523" s="2" t="str">
        <f t="shared" si="241"/>
        <v/>
      </c>
      <c r="AM523" s="6" t="str">
        <f t="shared" si="242"/>
        <v/>
      </c>
      <c r="AN523" s="4" t="str">
        <f t="shared" si="243"/>
        <v/>
      </c>
      <c r="AO523" s="4" t="str">
        <f t="shared" si="244"/>
        <v/>
      </c>
      <c r="AP523" s="4" t="str">
        <f t="shared" si="245"/>
        <v/>
      </c>
      <c r="AQ523" s="4" t="str">
        <f t="shared" si="246"/>
        <v/>
      </c>
      <c r="AR523" s="4" t="str">
        <f t="shared" si="247"/>
        <v/>
      </c>
    </row>
    <row r="524" spans="8:44" s="1" customFormat="1" ht="14.25" x14ac:dyDescent="0.3">
      <c r="H524" s="50"/>
      <c r="J524" s="54"/>
      <c r="L524" s="54"/>
      <c r="R524" s="45"/>
      <c r="S524" s="54"/>
      <c r="T524" s="54"/>
      <c r="U524" s="54"/>
      <c r="V524" s="44"/>
      <c r="W524" s="27"/>
      <c r="Z524" s="27"/>
      <c r="AA524" s="8"/>
      <c r="AB524" s="81" t="str">
        <f t="shared" si="231"/>
        <v/>
      </c>
      <c r="AC524" s="6" t="str">
        <f t="shared" si="232"/>
        <v/>
      </c>
      <c r="AD524" s="1" t="str">
        <f t="shared" ca="1" si="233"/>
        <v/>
      </c>
      <c r="AE524" s="75" t="str">
        <f t="shared" si="234"/>
        <v/>
      </c>
      <c r="AF524" s="75" t="str">
        <f t="shared" si="235"/>
        <v/>
      </c>
      <c r="AG524" s="4" t="str">
        <f t="shared" si="236"/>
        <v/>
      </c>
      <c r="AH524" s="4" t="str">
        <f t="shared" si="237"/>
        <v/>
      </c>
      <c r="AI524" s="4" t="str">
        <f t="shared" si="238"/>
        <v/>
      </c>
      <c r="AJ524" s="4" t="str">
        <f t="shared" si="239"/>
        <v/>
      </c>
      <c r="AK524" s="4" t="str">
        <f t="shared" si="240"/>
        <v/>
      </c>
      <c r="AL524" s="2" t="str">
        <f t="shared" si="241"/>
        <v/>
      </c>
      <c r="AM524" s="6" t="str">
        <f t="shared" si="242"/>
        <v/>
      </c>
      <c r="AN524" s="4" t="str">
        <f t="shared" si="243"/>
        <v/>
      </c>
      <c r="AO524" s="4" t="str">
        <f t="shared" si="244"/>
        <v/>
      </c>
      <c r="AP524" s="4" t="str">
        <f t="shared" si="245"/>
        <v/>
      </c>
      <c r="AQ524" s="4" t="str">
        <f t="shared" si="246"/>
        <v/>
      </c>
      <c r="AR524" s="4" t="str">
        <f t="shared" si="247"/>
        <v/>
      </c>
    </row>
    <row r="525" spans="8:44" s="1" customFormat="1" ht="14.25" x14ac:dyDescent="0.3">
      <c r="H525" s="50"/>
      <c r="J525" s="54"/>
      <c r="L525" s="54"/>
      <c r="R525" s="45"/>
      <c r="S525" s="54"/>
      <c r="T525" s="54"/>
      <c r="U525" s="54"/>
      <c r="V525" s="44"/>
      <c r="W525" s="27"/>
      <c r="Z525" s="27"/>
      <c r="AA525" s="8"/>
      <c r="AB525" s="81" t="str">
        <f t="shared" si="231"/>
        <v/>
      </c>
      <c r="AC525" s="6" t="str">
        <f t="shared" si="232"/>
        <v/>
      </c>
      <c r="AD525" s="1" t="str">
        <f t="shared" ca="1" si="233"/>
        <v/>
      </c>
      <c r="AE525" s="75" t="str">
        <f t="shared" si="234"/>
        <v/>
      </c>
      <c r="AF525" s="75" t="str">
        <f t="shared" si="235"/>
        <v/>
      </c>
      <c r="AG525" s="4" t="str">
        <f t="shared" si="236"/>
        <v/>
      </c>
      <c r="AH525" s="4" t="str">
        <f t="shared" si="237"/>
        <v/>
      </c>
      <c r="AI525" s="4" t="str">
        <f t="shared" si="238"/>
        <v/>
      </c>
      <c r="AJ525" s="4" t="str">
        <f t="shared" si="239"/>
        <v/>
      </c>
      <c r="AK525" s="4" t="str">
        <f t="shared" si="240"/>
        <v/>
      </c>
      <c r="AL525" s="2" t="str">
        <f t="shared" si="241"/>
        <v/>
      </c>
      <c r="AM525" s="6" t="str">
        <f t="shared" si="242"/>
        <v/>
      </c>
      <c r="AN525" s="4" t="str">
        <f t="shared" si="243"/>
        <v/>
      </c>
      <c r="AO525" s="4" t="str">
        <f t="shared" si="244"/>
        <v/>
      </c>
      <c r="AP525" s="4" t="str">
        <f t="shared" si="245"/>
        <v/>
      </c>
      <c r="AQ525" s="4" t="str">
        <f t="shared" si="246"/>
        <v/>
      </c>
      <c r="AR525" s="4" t="str">
        <f t="shared" si="247"/>
        <v/>
      </c>
    </row>
    <row r="526" spans="8:44" s="1" customFormat="1" ht="14.25" x14ac:dyDescent="0.3">
      <c r="H526" s="50"/>
      <c r="J526" s="54"/>
      <c r="L526" s="54"/>
      <c r="R526" s="45"/>
      <c r="S526" s="54"/>
      <c r="T526" s="54"/>
      <c r="U526" s="54"/>
      <c r="V526" s="44"/>
      <c r="W526" s="27"/>
      <c r="Z526" s="27"/>
      <c r="AA526" s="8"/>
      <c r="AB526" s="81" t="str">
        <f t="shared" si="231"/>
        <v/>
      </c>
      <c r="AC526" s="6" t="str">
        <f t="shared" si="232"/>
        <v/>
      </c>
      <c r="AD526" s="1" t="str">
        <f t="shared" ca="1" si="233"/>
        <v/>
      </c>
      <c r="AE526" s="75" t="str">
        <f t="shared" si="234"/>
        <v/>
      </c>
      <c r="AF526" s="75" t="str">
        <f t="shared" si="235"/>
        <v/>
      </c>
      <c r="AG526" s="4" t="str">
        <f t="shared" si="236"/>
        <v/>
      </c>
      <c r="AH526" s="4" t="str">
        <f t="shared" si="237"/>
        <v/>
      </c>
      <c r="AI526" s="4" t="str">
        <f t="shared" si="238"/>
        <v/>
      </c>
      <c r="AJ526" s="4" t="str">
        <f t="shared" si="239"/>
        <v/>
      </c>
      <c r="AK526" s="4" t="str">
        <f t="shared" si="240"/>
        <v/>
      </c>
      <c r="AL526" s="2" t="str">
        <f t="shared" si="241"/>
        <v/>
      </c>
      <c r="AM526" s="6" t="str">
        <f t="shared" si="242"/>
        <v/>
      </c>
      <c r="AN526" s="4" t="str">
        <f t="shared" si="243"/>
        <v/>
      </c>
      <c r="AO526" s="4" t="str">
        <f t="shared" si="244"/>
        <v/>
      </c>
      <c r="AP526" s="4" t="str">
        <f t="shared" si="245"/>
        <v/>
      </c>
      <c r="AQ526" s="4" t="str">
        <f t="shared" si="246"/>
        <v/>
      </c>
      <c r="AR526" s="4" t="str">
        <f t="shared" si="247"/>
        <v/>
      </c>
    </row>
    <row r="527" spans="8:44" s="1" customFormat="1" ht="14.25" x14ac:dyDescent="0.3">
      <c r="H527" s="50"/>
      <c r="J527" s="54"/>
      <c r="L527" s="54"/>
      <c r="R527" s="45"/>
      <c r="S527" s="54"/>
      <c r="T527" s="54"/>
      <c r="U527" s="54"/>
      <c r="V527" s="44"/>
      <c r="W527" s="27"/>
      <c r="Z527" s="27"/>
      <c r="AA527" s="8"/>
      <c r="AB527" s="81" t="str">
        <f t="shared" si="231"/>
        <v/>
      </c>
      <c r="AC527" s="6" t="str">
        <f t="shared" si="232"/>
        <v/>
      </c>
      <c r="AD527" s="1" t="str">
        <f t="shared" ca="1" si="233"/>
        <v/>
      </c>
      <c r="AE527" s="75" t="str">
        <f t="shared" si="234"/>
        <v/>
      </c>
      <c r="AF527" s="75" t="str">
        <f t="shared" si="235"/>
        <v/>
      </c>
      <c r="AG527" s="4" t="str">
        <f t="shared" si="236"/>
        <v/>
      </c>
      <c r="AH527" s="4" t="str">
        <f t="shared" si="237"/>
        <v/>
      </c>
      <c r="AI527" s="4" t="str">
        <f t="shared" si="238"/>
        <v/>
      </c>
      <c r="AJ527" s="4" t="str">
        <f t="shared" si="239"/>
        <v/>
      </c>
      <c r="AK527" s="4" t="str">
        <f t="shared" si="240"/>
        <v/>
      </c>
      <c r="AL527" s="2" t="str">
        <f t="shared" si="241"/>
        <v/>
      </c>
      <c r="AM527" s="6" t="str">
        <f t="shared" si="242"/>
        <v/>
      </c>
      <c r="AN527" s="4" t="str">
        <f t="shared" si="243"/>
        <v/>
      </c>
      <c r="AO527" s="4" t="str">
        <f t="shared" si="244"/>
        <v/>
      </c>
      <c r="AP527" s="4" t="str">
        <f t="shared" si="245"/>
        <v/>
      </c>
      <c r="AQ527" s="4" t="str">
        <f t="shared" si="246"/>
        <v/>
      </c>
      <c r="AR527" s="4" t="str">
        <f t="shared" si="247"/>
        <v/>
      </c>
    </row>
    <row r="528" spans="8:44" s="1" customFormat="1" ht="14.25" x14ac:dyDescent="0.3">
      <c r="H528" s="50"/>
      <c r="J528" s="54"/>
      <c r="L528" s="54"/>
      <c r="R528" s="45"/>
      <c r="S528" s="54"/>
      <c r="T528" s="54"/>
      <c r="U528" s="54"/>
      <c r="V528" s="44"/>
      <c r="W528" s="27"/>
      <c r="Z528" s="27"/>
      <c r="AA528" s="8"/>
      <c r="AB528" s="81" t="str">
        <f t="shared" si="231"/>
        <v/>
      </c>
      <c r="AC528" s="6" t="str">
        <f t="shared" si="232"/>
        <v/>
      </c>
      <c r="AD528" s="1" t="str">
        <f t="shared" ca="1" si="233"/>
        <v/>
      </c>
      <c r="AE528" s="75" t="str">
        <f t="shared" si="234"/>
        <v/>
      </c>
      <c r="AF528" s="75" t="str">
        <f t="shared" si="235"/>
        <v/>
      </c>
      <c r="AG528" s="4" t="str">
        <f t="shared" si="236"/>
        <v/>
      </c>
      <c r="AH528" s="4" t="str">
        <f t="shared" si="237"/>
        <v/>
      </c>
      <c r="AI528" s="4" t="str">
        <f t="shared" si="238"/>
        <v/>
      </c>
      <c r="AJ528" s="4" t="str">
        <f t="shared" si="239"/>
        <v/>
      </c>
      <c r="AK528" s="4" t="str">
        <f t="shared" si="240"/>
        <v/>
      </c>
      <c r="AL528" s="2" t="str">
        <f t="shared" si="241"/>
        <v/>
      </c>
      <c r="AM528" s="6" t="str">
        <f t="shared" si="242"/>
        <v/>
      </c>
      <c r="AN528" s="4" t="str">
        <f t="shared" si="243"/>
        <v/>
      </c>
      <c r="AO528" s="4" t="str">
        <f t="shared" si="244"/>
        <v/>
      </c>
      <c r="AP528" s="4" t="str">
        <f t="shared" si="245"/>
        <v/>
      </c>
      <c r="AQ528" s="4" t="str">
        <f t="shared" si="246"/>
        <v/>
      </c>
      <c r="AR528" s="4" t="str">
        <f t="shared" si="247"/>
        <v/>
      </c>
    </row>
    <row r="529" spans="8:44" s="1" customFormat="1" ht="14.25" x14ac:dyDescent="0.3">
      <c r="H529" s="50"/>
      <c r="J529" s="54"/>
      <c r="L529" s="54"/>
      <c r="R529" s="45"/>
      <c r="S529" s="54"/>
      <c r="T529" s="54"/>
      <c r="U529" s="54"/>
      <c r="V529" s="44"/>
      <c r="W529" s="27"/>
      <c r="Z529" s="27"/>
      <c r="AA529" s="8"/>
      <c r="AB529" s="81" t="str">
        <f t="shared" si="231"/>
        <v/>
      </c>
      <c r="AC529" s="6" t="str">
        <f t="shared" si="232"/>
        <v/>
      </c>
      <c r="AD529" s="1" t="str">
        <f t="shared" ca="1" si="233"/>
        <v/>
      </c>
      <c r="AE529" s="75" t="str">
        <f t="shared" si="234"/>
        <v/>
      </c>
      <c r="AF529" s="75" t="str">
        <f t="shared" si="235"/>
        <v/>
      </c>
      <c r="AG529" s="4" t="str">
        <f t="shared" si="236"/>
        <v/>
      </c>
      <c r="AH529" s="4" t="str">
        <f t="shared" si="237"/>
        <v/>
      </c>
      <c r="AI529" s="4" t="str">
        <f t="shared" si="238"/>
        <v/>
      </c>
      <c r="AJ529" s="4" t="str">
        <f t="shared" si="239"/>
        <v/>
      </c>
      <c r="AK529" s="4" t="str">
        <f t="shared" si="240"/>
        <v/>
      </c>
      <c r="AL529" s="2" t="str">
        <f t="shared" si="241"/>
        <v/>
      </c>
      <c r="AM529" s="6" t="str">
        <f t="shared" si="242"/>
        <v/>
      </c>
      <c r="AN529" s="4" t="str">
        <f t="shared" si="243"/>
        <v/>
      </c>
      <c r="AO529" s="4" t="str">
        <f t="shared" si="244"/>
        <v/>
      </c>
      <c r="AP529" s="4" t="str">
        <f t="shared" si="245"/>
        <v/>
      </c>
      <c r="AQ529" s="4" t="str">
        <f t="shared" si="246"/>
        <v/>
      </c>
      <c r="AR529" s="4" t="str">
        <f t="shared" si="247"/>
        <v/>
      </c>
    </row>
    <row r="530" spans="8:44" s="1" customFormat="1" ht="14.25" x14ac:dyDescent="0.3">
      <c r="H530" s="50"/>
      <c r="J530" s="54"/>
      <c r="L530" s="54"/>
      <c r="R530" s="45"/>
      <c r="S530" s="54"/>
      <c r="T530" s="54"/>
      <c r="U530" s="54"/>
      <c r="V530" s="44"/>
      <c r="W530" s="27"/>
      <c r="Z530" s="27"/>
      <c r="AA530" s="8"/>
      <c r="AB530" s="81" t="str">
        <f t="shared" si="231"/>
        <v/>
      </c>
      <c r="AC530" s="6" t="str">
        <f t="shared" si="232"/>
        <v/>
      </c>
      <c r="AD530" s="1" t="str">
        <f t="shared" ca="1" si="233"/>
        <v/>
      </c>
      <c r="AE530" s="75" t="str">
        <f t="shared" si="234"/>
        <v/>
      </c>
      <c r="AF530" s="75" t="str">
        <f t="shared" si="235"/>
        <v/>
      </c>
      <c r="AG530" s="4" t="str">
        <f t="shared" si="236"/>
        <v/>
      </c>
      <c r="AH530" s="4" t="str">
        <f t="shared" si="237"/>
        <v/>
      </c>
      <c r="AI530" s="4" t="str">
        <f t="shared" si="238"/>
        <v/>
      </c>
      <c r="AJ530" s="4" t="str">
        <f t="shared" si="239"/>
        <v/>
      </c>
      <c r="AK530" s="4" t="str">
        <f t="shared" si="240"/>
        <v/>
      </c>
      <c r="AL530" s="2" t="str">
        <f t="shared" si="241"/>
        <v/>
      </c>
      <c r="AM530" s="6" t="str">
        <f t="shared" si="242"/>
        <v/>
      </c>
      <c r="AN530" s="4" t="str">
        <f t="shared" si="243"/>
        <v/>
      </c>
      <c r="AO530" s="4" t="str">
        <f t="shared" si="244"/>
        <v/>
      </c>
      <c r="AP530" s="4" t="str">
        <f t="shared" si="245"/>
        <v/>
      </c>
      <c r="AQ530" s="4" t="str">
        <f t="shared" si="246"/>
        <v/>
      </c>
      <c r="AR530" s="4" t="str">
        <f t="shared" si="247"/>
        <v/>
      </c>
    </row>
    <row r="531" spans="8:44" s="1" customFormat="1" ht="14.25" x14ac:dyDescent="0.3">
      <c r="H531" s="50"/>
      <c r="J531" s="54"/>
      <c r="L531" s="54"/>
      <c r="R531" s="45"/>
      <c r="S531" s="54"/>
      <c r="T531" s="54"/>
      <c r="U531" s="54"/>
      <c r="V531" s="44"/>
      <c r="W531" s="27"/>
      <c r="Z531" s="27"/>
      <c r="AA531" s="8"/>
      <c r="AB531" s="81" t="str">
        <f t="shared" si="231"/>
        <v/>
      </c>
      <c r="AC531" s="6" t="str">
        <f t="shared" si="232"/>
        <v/>
      </c>
      <c r="AD531" s="1" t="str">
        <f t="shared" ca="1" si="233"/>
        <v/>
      </c>
      <c r="AE531" s="75" t="str">
        <f t="shared" si="234"/>
        <v/>
      </c>
      <c r="AF531" s="75" t="str">
        <f t="shared" si="235"/>
        <v/>
      </c>
      <c r="AG531" s="4" t="str">
        <f t="shared" si="236"/>
        <v/>
      </c>
      <c r="AH531" s="4" t="str">
        <f t="shared" si="237"/>
        <v/>
      </c>
      <c r="AI531" s="4" t="str">
        <f t="shared" si="238"/>
        <v/>
      </c>
      <c r="AJ531" s="4" t="str">
        <f t="shared" si="239"/>
        <v/>
      </c>
      <c r="AK531" s="4" t="str">
        <f t="shared" si="240"/>
        <v/>
      </c>
      <c r="AL531" s="2" t="str">
        <f t="shared" si="241"/>
        <v/>
      </c>
      <c r="AM531" s="6" t="str">
        <f t="shared" si="242"/>
        <v/>
      </c>
      <c r="AN531" s="4" t="str">
        <f t="shared" si="243"/>
        <v/>
      </c>
      <c r="AO531" s="4" t="str">
        <f t="shared" si="244"/>
        <v/>
      </c>
      <c r="AP531" s="4" t="str">
        <f t="shared" si="245"/>
        <v/>
      </c>
      <c r="AQ531" s="4" t="str">
        <f t="shared" si="246"/>
        <v/>
      </c>
      <c r="AR531" s="4" t="str">
        <f t="shared" si="247"/>
        <v/>
      </c>
    </row>
    <row r="532" spans="8:44" s="1" customFormat="1" ht="14.25" x14ac:dyDescent="0.3">
      <c r="H532" s="50"/>
      <c r="J532" s="54"/>
      <c r="L532" s="54"/>
      <c r="R532" s="45"/>
      <c r="S532" s="54"/>
      <c r="T532" s="54"/>
      <c r="U532" s="54"/>
      <c r="V532" s="44"/>
      <c r="W532" s="27"/>
      <c r="Z532" s="27"/>
      <c r="AA532" s="8"/>
      <c r="AB532" s="81" t="str">
        <f t="shared" si="231"/>
        <v/>
      </c>
      <c r="AC532" s="6" t="str">
        <f t="shared" si="232"/>
        <v/>
      </c>
      <c r="AD532" s="1" t="str">
        <f t="shared" ca="1" si="233"/>
        <v/>
      </c>
      <c r="AE532" s="75" t="str">
        <f t="shared" si="234"/>
        <v/>
      </c>
      <c r="AF532" s="75" t="str">
        <f t="shared" si="235"/>
        <v/>
      </c>
      <c r="AG532" s="4" t="str">
        <f t="shared" si="236"/>
        <v/>
      </c>
      <c r="AH532" s="4" t="str">
        <f t="shared" si="237"/>
        <v/>
      </c>
      <c r="AI532" s="4" t="str">
        <f t="shared" si="238"/>
        <v/>
      </c>
      <c r="AJ532" s="4" t="str">
        <f t="shared" si="239"/>
        <v/>
      </c>
      <c r="AK532" s="4" t="str">
        <f t="shared" si="240"/>
        <v/>
      </c>
      <c r="AL532" s="2" t="str">
        <f t="shared" si="241"/>
        <v/>
      </c>
      <c r="AM532" s="6" t="str">
        <f t="shared" si="242"/>
        <v/>
      </c>
      <c r="AN532" s="4" t="str">
        <f t="shared" si="243"/>
        <v/>
      </c>
      <c r="AO532" s="4" t="str">
        <f t="shared" si="244"/>
        <v/>
      </c>
      <c r="AP532" s="4" t="str">
        <f t="shared" si="245"/>
        <v/>
      </c>
      <c r="AQ532" s="4" t="str">
        <f t="shared" si="246"/>
        <v/>
      </c>
      <c r="AR532" s="4" t="str">
        <f t="shared" si="247"/>
        <v/>
      </c>
    </row>
    <row r="533" spans="8:44" s="1" customFormat="1" ht="14.25" x14ac:dyDescent="0.3">
      <c r="H533" s="50"/>
      <c r="J533" s="54"/>
      <c r="L533" s="54"/>
      <c r="R533" s="45"/>
      <c r="S533" s="54"/>
      <c r="T533" s="54"/>
      <c r="U533" s="54"/>
      <c r="V533" s="44"/>
      <c r="W533" s="27"/>
      <c r="Z533" s="27"/>
      <c r="AA533" s="8"/>
      <c r="AB533" s="81" t="str">
        <f t="shared" si="231"/>
        <v/>
      </c>
      <c r="AC533" s="6" t="str">
        <f t="shared" si="232"/>
        <v/>
      </c>
      <c r="AD533" s="1" t="str">
        <f t="shared" ca="1" si="233"/>
        <v/>
      </c>
      <c r="AE533" s="75" t="str">
        <f t="shared" si="234"/>
        <v/>
      </c>
      <c r="AF533" s="75" t="str">
        <f t="shared" si="235"/>
        <v/>
      </c>
      <c r="AG533" s="4" t="str">
        <f t="shared" si="236"/>
        <v/>
      </c>
      <c r="AH533" s="4" t="str">
        <f t="shared" si="237"/>
        <v/>
      </c>
      <c r="AI533" s="4" t="str">
        <f t="shared" si="238"/>
        <v/>
      </c>
      <c r="AJ533" s="4" t="str">
        <f t="shared" si="239"/>
        <v/>
      </c>
      <c r="AK533" s="4" t="str">
        <f t="shared" si="240"/>
        <v/>
      </c>
      <c r="AL533" s="2" t="str">
        <f t="shared" si="241"/>
        <v/>
      </c>
      <c r="AM533" s="6" t="str">
        <f t="shared" si="242"/>
        <v/>
      </c>
      <c r="AN533" s="4" t="str">
        <f t="shared" si="243"/>
        <v/>
      </c>
      <c r="AO533" s="4" t="str">
        <f t="shared" si="244"/>
        <v/>
      </c>
      <c r="AP533" s="4" t="str">
        <f t="shared" si="245"/>
        <v/>
      </c>
      <c r="AQ533" s="4" t="str">
        <f t="shared" si="246"/>
        <v/>
      </c>
      <c r="AR533" s="4" t="str">
        <f t="shared" si="247"/>
        <v/>
      </c>
    </row>
    <row r="534" spans="8:44" s="1" customFormat="1" ht="14.25" x14ac:dyDescent="0.3">
      <c r="H534" s="50"/>
      <c r="J534" s="54"/>
      <c r="L534" s="54"/>
      <c r="R534" s="45"/>
      <c r="S534" s="54"/>
      <c r="T534" s="54"/>
      <c r="U534" s="54"/>
      <c r="V534" s="44"/>
      <c r="W534" s="27"/>
      <c r="Z534" s="27"/>
      <c r="AA534" s="8"/>
      <c r="AB534" s="81" t="str">
        <f t="shared" si="231"/>
        <v/>
      </c>
      <c r="AC534" s="6" t="str">
        <f t="shared" si="232"/>
        <v/>
      </c>
      <c r="AD534" s="1" t="str">
        <f t="shared" ca="1" si="233"/>
        <v/>
      </c>
      <c r="AE534" s="75" t="str">
        <f t="shared" si="234"/>
        <v/>
      </c>
      <c r="AF534" s="75" t="str">
        <f t="shared" si="235"/>
        <v/>
      </c>
      <c r="AG534" s="4" t="str">
        <f t="shared" si="236"/>
        <v/>
      </c>
      <c r="AH534" s="4" t="str">
        <f t="shared" si="237"/>
        <v/>
      </c>
      <c r="AI534" s="4" t="str">
        <f t="shared" si="238"/>
        <v/>
      </c>
      <c r="AJ534" s="4" t="str">
        <f t="shared" si="239"/>
        <v/>
      </c>
      <c r="AK534" s="4" t="str">
        <f t="shared" si="240"/>
        <v/>
      </c>
      <c r="AL534" s="2" t="str">
        <f t="shared" si="241"/>
        <v/>
      </c>
      <c r="AM534" s="6" t="str">
        <f t="shared" si="242"/>
        <v/>
      </c>
      <c r="AN534" s="4" t="str">
        <f t="shared" si="243"/>
        <v/>
      </c>
      <c r="AO534" s="4" t="str">
        <f t="shared" si="244"/>
        <v/>
      </c>
      <c r="AP534" s="4" t="str">
        <f t="shared" si="245"/>
        <v/>
      </c>
      <c r="AQ534" s="4" t="str">
        <f t="shared" si="246"/>
        <v/>
      </c>
      <c r="AR534" s="4" t="str">
        <f t="shared" si="247"/>
        <v/>
      </c>
    </row>
    <row r="535" spans="8:44" s="1" customFormat="1" ht="14.25" x14ac:dyDescent="0.3">
      <c r="H535" s="50"/>
      <c r="J535" s="54"/>
      <c r="L535" s="54"/>
      <c r="R535" s="45"/>
      <c r="S535" s="54"/>
      <c r="T535" s="54"/>
      <c r="U535" s="54"/>
      <c r="V535" s="44"/>
      <c r="W535" s="27"/>
      <c r="Z535" s="27"/>
      <c r="AA535" s="8"/>
      <c r="AB535" s="81" t="str">
        <f t="shared" si="231"/>
        <v/>
      </c>
      <c r="AC535" s="6" t="str">
        <f t="shared" si="232"/>
        <v/>
      </c>
      <c r="AD535" s="1" t="str">
        <f t="shared" ca="1" si="233"/>
        <v/>
      </c>
      <c r="AE535" s="75" t="str">
        <f t="shared" si="234"/>
        <v/>
      </c>
      <c r="AF535" s="75" t="str">
        <f t="shared" si="235"/>
        <v/>
      </c>
      <c r="AG535" s="4" t="str">
        <f t="shared" si="236"/>
        <v/>
      </c>
      <c r="AH535" s="4" t="str">
        <f t="shared" si="237"/>
        <v/>
      </c>
      <c r="AI535" s="4" t="str">
        <f t="shared" si="238"/>
        <v/>
      </c>
      <c r="AJ535" s="4" t="str">
        <f t="shared" si="239"/>
        <v/>
      </c>
      <c r="AK535" s="4" t="str">
        <f t="shared" si="240"/>
        <v/>
      </c>
      <c r="AL535" s="2" t="str">
        <f t="shared" si="241"/>
        <v/>
      </c>
      <c r="AM535" s="6" t="str">
        <f t="shared" si="242"/>
        <v/>
      </c>
      <c r="AN535" s="4" t="str">
        <f t="shared" si="243"/>
        <v/>
      </c>
      <c r="AO535" s="4" t="str">
        <f t="shared" si="244"/>
        <v/>
      </c>
      <c r="AP535" s="4" t="str">
        <f t="shared" si="245"/>
        <v/>
      </c>
      <c r="AQ535" s="4" t="str">
        <f t="shared" si="246"/>
        <v/>
      </c>
      <c r="AR535" s="4" t="str">
        <f t="shared" si="247"/>
        <v/>
      </c>
    </row>
    <row r="536" spans="8:44" s="1" customFormat="1" ht="14.25" x14ac:dyDescent="0.3">
      <c r="H536" s="50"/>
      <c r="J536" s="54"/>
      <c r="L536" s="54"/>
      <c r="R536" s="45"/>
      <c r="S536" s="54"/>
      <c r="T536" s="54"/>
      <c r="U536" s="54"/>
      <c r="V536" s="44"/>
      <c r="W536" s="27"/>
      <c r="Z536" s="27"/>
      <c r="AA536" s="8"/>
      <c r="AB536" s="81" t="str">
        <f t="shared" si="231"/>
        <v/>
      </c>
      <c r="AC536" s="6" t="str">
        <f t="shared" si="232"/>
        <v/>
      </c>
      <c r="AD536" s="1" t="str">
        <f t="shared" ca="1" si="233"/>
        <v/>
      </c>
      <c r="AE536" s="75" t="str">
        <f t="shared" si="234"/>
        <v/>
      </c>
      <c r="AF536" s="75" t="str">
        <f t="shared" si="235"/>
        <v/>
      </c>
      <c r="AG536" s="4" t="str">
        <f t="shared" si="236"/>
        <v/>
      </c>
      <c r="AH536" s="4" t="str">
        <f t="shared" si="237"/>
        <v/>
      </c>
      <c r="AI536" s="4" t="str">
        <f t="shared" si="238"/>
        <v/>
      </c>
      <c r="AJ536" s="4" t="str">
        <f t="shared" si="239"/>
        <v/>
      </c>
      <c r="AK536" s="4" t="str">
        <f t="shared" si="240"/>
        <v/>
      </c>
      <c r="AL536" s="2" t="str">
        <f t="shared" si="241"/>
        <v/>
      </c>
      <c r="AM536" s="6" t="str">
        <f t="shared" si="242"/>
        <v/>
      </c>
      <c r="AN536" s="4" t="str">
        <f t="shared" si="243"/>
        <v/>
      </c>
      <c r="AO536" s="4" t="str">
        <f t="shared" si="244"/>
        <v/>
      </c>
      <c r="AP536" s="4" t="str">
        <f t="shared" si="245"/>
        <v/>
      </c>
      <c r="AQ536" s="4" t="str">
        <f t="shared" si="246"/>
        <v/>
      </c>
      <c r="AR536" s="4" t="str">
        <f t="shared" si="247"/>
        <v/>
      </c>
    </row>
    <row r="537" spans="8:44" s="1" customFormat="1" ht="14.25" x14ac:dyDescent="0.3">
      <c r="H537" s="50"/>
      <c r="J537" s="54"/>
      <c r="L537" s="54"/>
      <c r="R537" s="45"/>
      <c r="S537" s="54"/>
      <c r="T537" s="54"/>
      <c r="U537" s="54"/>
      <c r="V537" s="44"/>
      <c r="W537" s="27"/>
      <c r="Z537" s="27"/>
      <c r="AA537" s="8"/>
      <c r="AB537" s="81" t="str">
        <f t="shared" si="231"/>
        <v/>
      </c>
      <c r="AC537" s="6" t="str">
        <f t="shared" si="232"/>
        <v/>
      </c>
      <c r="AD537" s="1" t="str">
        <f t="shared" ca="1" si="233"/>
        <v/>
      </c>
      <c r="AE537" s="75" t="str">
        <f t="shared" si="234"/>
        <v/>
      </c>
      <c r="AF537" s="75" t="str">
        <f t="shared" si="235"/>
        <v/>
      </c>
      <c r="AG537" s="4" t="str">
        <f t="shared" si="236"/>
        <v/>
      </c>
      <c r="AH537" s="4" t="str">
        <f t="shared" si="237"/>
        <v/>
      </c>
      <c r="AI537" s="4" t="str">
        <f t="shared" si="238"/>
        <v/>
      </c>
      <c r="AJ537" s="4" t="str">
        <f t="shared" si="239"/>
        <v/>
      </c>
      <c r="AK537" s="4" t="str">
        <f t="shared" si="240"/>
        <v/>
      </c>
      <c r="AL537" s="2" t="str">
        <f t="shared" si="241"/>
        <v/>
      </c>
      <c r="AM537" s="6" t="str">
        <f t="shared" si="242"/>
        <v/>
      </c>
      <c r="AN537" s="4" t="str">
        <f t="shared" si="243"/>
        <v/>
      </c>
      <c r="AO537" s="4" t="str">
        <f t="shared" si="244"/>
        <v/>
      </c>
      <c r="AP537" s="4" t="str">
        <f t="shared" si="245"/>
        <v/>
      </c>
      <c r="AQ537" s="4" t="str">
        <f t="shared" si="246"/>
        <v/>
      </c>
      <c r="AR537" s="4" t="str">
        <f t="shared" si="247"/>
        <v/>
      </c>
    </row>
    <row r="538" spans="8:44" s="1" customFormat="1" ht="14.25" x14ac:dyDescent="0.3">
      <c r="H538" s="50"/>
      <c r="J538" s="54"/>
      <c r="L538" s="54"/>
      <c r="R538" s="45"/>
      <c r="S538" s="54"/>
      <c r="T538" s="54"/>
      <c r="U538" s="54"/>
      <c r="V538" s="44"/>
      <c r="W538" s="27"/>
      <c r="Z538" s="27"/>
      <c r="AA538" s="8"/>
      <c r="AB538" s="81" t="str">
        <f t="shared" si="231"/>
        <v/>
      </c>
      <c r="AC538" s="6" t="str">
        <f t="shared" si="232"/>
        <v/>
      </c>
      <c r="AD538" s="1" t="str">
        <f t="shared" ca="1" si="233"/>
        <v/>
      </c>
      <c r="AE538" s="75" t="str">
        <f t="shared" si="234"/>
        <v/>
      </c>
      <c r="AF538" s="75" t="str">
        <f t="shared" si="235"/>
        <v/>
      </c>
      <c r="AG538" s="4" t="str">
        <f t="shared" si="236"/>
        <v/>
      </c>
      <c r="AH538" s="4" t="str">
        <f t="shared" si="237"/>
        <v/>
      </c>
      <c r="AI538" s="4" t="str">
        <f t="shared" si="238"/>
        <v/>
      </c>
      <c r="AJ538" s="4" t="str">
        <f t="shared" si="239"/>
        <v/>
      </c>
      <c r="AK538" s="4" t="str">
        <f t="shared" si="240"/>
        <v/>
      </c>
      <c r="AL538" s="2" t="str">
        <f t="shared" si="241"/>
        <v/>
      </c>
      <c r="AM538" s="6" t="str">
        <f t="shared" si="242"/>
        <v/>
      </c>
      <c r="AN538" s="4" t="str">
        <f t="shared" si="243"/>
        <v/>
      </c>
      <c r="AO538" s="4" t="str">
        <f t="shared" si="244"/>
        <v/>
      </c>
      <c r="AP538" s="4" t="str">
        <f t="shared" si="245"/>
        <v/>
      </c>
      <c r="AQ538" s="4" t="str">
        <f t="shared" si="246"/>
        <v/>
      </c>
      <c r="AR538" s="4" t="str">
        <f t="shared" si="247"/>
        <v/>
      </c>
    </row>
    <row r="539" spans="8:44" s="1" customFormat="1" ht="14.25" x14ac:dyDescent="0.3">
      <c r="H539" s="50"/>
      <c r="J539" s="54"/>
      <c r="L539" s="54"/>
      <c r="R539" s="45"/>
      <c r="S539" s="54"/>
      <c r="T539" s="54"/>
      <c r="U539" s="54"/>
      <c r="V539" s="44"/>
      <c r="W539" s="27"/>
      <c r="Z539" s="27"/>
      <c r="AA539" s="8"/>
      <c r="AB539" s="81" t="str">
        <f t="shared" si="231"/>
        <v/>
      </c>
      <c r="AC539" s="6" t="str">
        <f t="shared" si="232"/>
        <v/>
      </c>
      <c r="AD539" s="1" t="str">
        <f t="shared" ca="1" si="233"/>
        <v/>
      </c>
      <c r="AE539" s="75" t="str">
        <f t="shared" si="234"/>
        <v/>
      </c>
      <c r="AF539" s="75" t="str">
        <f t="shared" si="235"/>
        <v/>
      </c>
      <c r="AG539" s="4" t="str">
        <f t="shared" si="236"/>
        <v/>
      </c>
      <c r="AH539" s="4" t="str">
        <f t="shared" si="237"/>
        <v/>
      </c>
      <c r="AI539" s="4" t="str">
        <f t="shared" si="238"/>
        <v/>
      </c>
      <c r="AJ539" s="4" t="str">
        <f t="shared" si="239"/>
        <v/>
      </c>
      <c r="AK539" s="4" t="str">
        <f t="shared" si="240"/>
        <v/>
      </c>
      <c r="AL539" s="2" t="str">
        <f t="shared" si="241"/>
        <v/>
      </c>
      <c r="AM539" s="6" t="str">
        <f t="shared" si="242"/>
        <v/>
      </c>
      <c r="AN539" s="4" t="str">
        <f t="shared" si="243"/>
        <v/>
      </c>
      <c r="AO539" s="4" t="str">
        <f t="shared" si="244"/>
        <v/>
      </c>
      <c r="AP539" s="4" t="str">
        <f t="shared" si="245"/>
        <v/>
      </c>
      <c r="AQ539" s="4" t="str">
        <f t="shared" si="246"/>
        <v/>
      </c>
      <c r="AR539" s="4" t="str">
        <f t="shared" si="247"/>
        <v/>
      </c>
    </row>
    <row r="540" spans="8:44" s="1" customFormat="1" ht="14.25" x14ac:dyDescent="0.3">
      <c r="H540" s="50"/>
      <c r="J540" s="54"/>
      <c r="L540" s="54"/>
      <c r="R540" s="45"/>
      <c r="S540" s="54"/>
      <c r="T540" s="54"/>
      <c r="U540" s="54"/>
      <c r="V540" s="44"/>
      <c r="W540" s="27"/>
      <c r="Z540" s="27"/>
      <c r="AA540" s="8"/>
      <c r="AB540" s="81" t="str">
        <f t="shared" si="231"/>
        <v/>
      </c>
      <c r="AC540" s="6" t="str">
        <f t="shared" si="232"/>
        <v/>
      </c>
      <c r="AD540" s="1" t="str">
        <f t="shared" ca="1" si="233"/>
        <v/>
      </c>
      <c r="AE540" s="75" t="str">
        <f t="shared" si="234"/>
        <v/>
      </c>
      <c r="AF540" s="75" t="str">
        <f t="shared" si="235"/>
        <v/>
      </c>
      <c r="AG540" s="4" t="str">
        <f t="shared" si="236"/>
        <v/>
      </c>
      <c r="AH540" s="4" t="str">
        <f t="shared" si="237"/>
        <v/>
      </c>
      <c r="AI540" s="4" t="str">
        <f t="shared" si="238"/>
        <v/>
      </c>
      <c r="AJ540" s="4" t="str">
        <f t="shared" si="239"/>
        <v/>
      </c>
      <c r="AK540" s="4" t="str">
        <f t="shared" si="240"/>
        <v/>
      </c>
      <c r="AL540" s="2" t="str">
        <f t="shared" si="241"/>
        <v/>
      </c>
      <c r="AM540" s="6" t="str">
        <f t="shared" si="242"/>
        <v/>
      </c>
      <c r="AN540" s="4" t="str">
        <f t="shared" si="243"/>
        <v/>
      </c>
      <c r="AO540" s="4" t="str">
        <f t="shared" si="244"/>
        <v/>
      </c>
      <c r="AP540" s="4" t="str">
        <f t="shared" si="245"/>
        <v/>
      </c>
      <c r="AQ540" s="4" t="str">
        <f t="shared" si="246"/>
        <v/>
      </c>
      <c r="AR540" s="4" t="str">
        <f t="shared" si="247"/>
        <v/>
      </c>
    </row>
    <row r="541" spans="8:44" s="1" customFormat="1" ht="14.25" x14ac:dyDescent="0.3">
      <c r="H541" s="50"/>
      <c r="J541" s="54"/>
      <c r="L541" s="54"/>
      <c r="R541" s="45"/>
      <c r="S541" s="54"/>
      <c r="T541" s="54"/>
      <c r="U541" s="54"/>
      <c r="V541" s="44"/>
      <c r="W541" s="27"/>
      <c r="Z541" s="27"/>
      <c r="AA541" s="8"/>
      <c r="AB541" s="81" t="str">
        <f t="shared" si="231"/>
        <v/>
      </c>
      <c r="AC541" s="6" t="str">
        <f t="shared" si="232"/>
        <v/>
      </c>
      <c r="AD541" s="1" t="str">
        <f t="shared" ca="1" si="233"/>
        <v/>
      </c>
      <c r="AE541" s="75" t="str">
        <f t="shared" si="234"/>
        <v/>
      </c>
      <c r="AF541" s="75" t="str">
        <f t="shared" si="235"/>
        <v/>
      </c>
      <c r="AG541" s="4" t="str">
        <f t="shared" si="236"/>
        <v/>
      </c>
      <c r="AH541" s="4" t="str">
        <f t="shared" si="237"/>
        <v/>
      </c>
      <c r="AI541" s="4" t="str">
        <f t="shared" si="238"/>
        <v/>
      </c>
      <c r="AJ541" s="4" t="str">
        <f t="shared" si="239"/>
        <v/>
      </c>
      <c r="AK541" s="4" t="str">
        <f t="shared" si="240"/>
        <v/>
      </c>
      <c r="AL541" s="2" t="str">
        <f t="shared" si="241"/>
        <v/>
      </c>
      <c r="AM541" s="6" t="str">
        <f t="shared" si="242"/>
        <v/>
      </c>
      <c r="AN541" s="4" t="str">
        <f t="shared" si="243"/>
        <v/>
      </c>
      <c r="AO541" s="4" t="str">
        <f t="shared" si="244"/>
        <v/>
      </c>
      <c r="AP541" s="4" t="str">
        <f t="shared" si="245"/>
        <v/>
      </c>
      <c r="AQ541" s="4" t="str">
        <f t="shared" si="246"/>
        <v/>
      </c>
      <c r="AR541" s="4" t="str">
        <f t="shared" si="247"/>
        <v/>
      </c>
    </row>
    <row r="542" spans="8:44" s="1" customFormat="1" ht="14.25" x14ac:dyDescent="0.3">
      <c r="H542" s="50"/>
      <c r="J542" s="54"/>
      <c r="L542" s="54"/>
      <c r="R542" s="45"/>
      <c r="S542" s="54"/>
      <c r="T542" s="54"/>
      <c r="U542" s="54"/>
      <c r="V542" s="44"/>
      <c r="W542" s="27"/>
      <c r="Z542" s="27"/>
      <c r="AA542" s="8"/>
      <c r="AB542" s="81" t="str">
        <f t="shared" si="231"/>
        <v/>
      </c>
      <c r="AC542" s="6" t="str">
        <f t="shared" si="232"/>
        <v/>
      </c>
      <c r="AD542" s="1" t="str">
        <f t="shared" ca="1" si="233"/>
        <v/>
      </c>
      <c r="AE542" s="75" t="str">
        <f t="shared" si="234"/>
        <v/>
      </c>
      <c r="AF542" s="75" t="str">
        <f t="shared" si="235"/>
        <v/>
      </c>
      <c r="AG542" s="4" t="str">
        <f t="shared" si="236"/>
        <v/>
      </c>
      <c r="AH542" s="4" t="str">
        <f t="shared" si="237"/>
        <v/>
      </c>
      <c r="AI542" s="4" t="str">
        <f t="shared" si="238"/>
        <v/>
      </c>
      <c r="AJ542" s="4" t="str">
        <f t="shared" si="239"/>
        <v/>
      </c>
      <c r="AK542" s="4" t="str">
        <f t="shared" si="240"/>
        <v/>
      </c>
      <c r="AL542" s="2" t="str">
        <f t="shared" si="241"/>
        <v/>
      </c>
      <c r="AM542" s="6" t="str">
        <f t="shared" si="242"/>
        <v/>
      </c>
      <c r="AN542" s="4" t="str">
        <f t="shared" si="243"/>
        <v/>
      </c>
      <c r="AO542" s="4" t="str">
        <f t="shared" si="244"/>
        <v/>
      </c>
      <c r="AP542" s="4" t="str">
        <f t="shared" si="245"/>
        <v/>
      </c>
      <c r="AQ542" s="4" t="str">
        <f t="shared" si="246"/>
        <v/>
      </c>
      <c r="AR542" s="4" t="str">
        <f t="shared" si="247"/>
        <v/>
      </c>
    </row>
    <row r="543" spans="8:44" s="1" customFormat="1" ht="14.25" x14ac:dyDescent="0.3">
      <c r="H543" s="50"/>
      <c r="J543" s="54"/>
      <c r="L543" s="54"/>
      <c r="R543" s="45"/>
      <c r="S543" s="54"/>
      <c r="T543" s="54"/>
      <c r="U543" s="54"/>
      <c r="V543" s="44"/>
      <c r="W543" s="27"/>
      <c r="Z543" s="27"/>
      <c r="AA543" s="8"/>
      <c r="AB543" s="81" t="str">
        <f t="shared" si="231"/>
        <v/>
      </c>
      <c r="AC543" s="6" t="str">
        <f t="shared" si="232"/>
        <v/>
      </c>
      <c r="AD543" s="1" t="str">
        <f t="shared" ca="1" si="233"/>
        <v/>
      </c>
      <c r="AE543" s="75" t="str">
        <f t="shared" si="234"/>
        <v/>
      </c>
      <c r="AF543" s="75" t="str">
        <f t="shared" si="235"/>
        <v/>
      </c>
      <c r="AG543" s="4" t="str">
        <f t="shared" si="236"/>
        <v/>
      </c>
      <c r="AH543" s="4" t="str">
        <f t="shared" si="237"/>
        <v/>
      </c>
      <c r="AI543" s="4" t="str">
        <f t="shared" si="238"/>
        <v/>
      </c>
      <c r="AJ543" s="4" t="str">
        <f t="shared" si="239"/>
        <v/>
      </c>
      <c r="AK543" s="4" t="str">
        <f t="shared" si="240"/>
        <v/>
      </c>
      <c r="AL543" s="2" t="str">
        <f t="shared" si="241"/>
        <v/>
      </c>
      <c r="AM543" s="6" t="str">
        <f t="shared" si="242"/>
        <v/>
      </c>
      <c r="AN543" s="4" t="str">
        <f t="shared" si="243"/>
        <v/>
      </c>
      <c r="AO543" s="4" t="str">
        <f t="shared" si="244"/>
        <v/>
      </c>
      <c r="AP543" s="4" t="str">
        <f t="shared" si="245"/>
        <v/>
      </c>
      <c r="AQ543" s="4" t="str">
        <f t="shared" si="246"/>
        <v/>
      </c>
      <c r="AR543" s="4" t="str">
        <f t="shared" si="247"/>
        <v/>
      </c>
    </row>
    <row r="544" spans="8:44" s="1" customFormat="1" ht="14.25" x14ac:dyDescent="0.3">
      <c r="H544" s="50"/>
      <c r="J544" s="54"/>
      <c r="L544" s="54"/>
      <c r="R544" s="45"/>
      <c r="S544" s="54"/>
      <c r="T544" s="54"/>
      <c r="U544" s="54"/>
      <c r="V544" s="44"/>
      <c r="W544" s="27"/>
      <c r="Z544" s="27"/>
      <c r="AA544" s="8"/>
      <c r="AB544" s="81" t="str">
        <f t="shared" si="231"/>
        <v/>
      </c>
      <c r="AC544" s="6" t="str">
        <f t="shared" si="232"/>
        <v/>
      </c>
      <c r="AD544" s="1" t="str">
        <f t="shared" ca="1" si="233"/>
        <v/>
      </c>
      <c r="AE544" s="75" t="str">
        <f t="shared" si="234"/>
        <v/>
      </c>
      <c r="AF544" s="75" t="str">
        <f t="shared" si="235"/>
        <v/>
      </c>
      <c r="AG544" s="4" t="str">
        <f t="shared" si="236"/>
        <v/>
      </c>
      <c r="AH544" s="4" t="str">
        <f t="shared" si="237"/>
        <v/>
      </c>
      <c r="AI544" s="4" t="str">
        <f t="shared" si="238"/>
        <v/>
      </c>
      <c r="AJ544" s="4" t="str">
        <f t="shared" si="239"/>
        <v/>
      </c>
      <c r="AK544" s="4" t="str">
        <f t="shared" si="240"/>
        <v/>
      </c>
      <c r="AL544" s="2" t="str">
        <f t="shared" si="241"/>
        <v/>
      </c>
      <c r="AM544" s="6" t="str">
        <f t="shared" si="242"/>
        <v/>
      </c>
      <c r="AN544" s="4" t="str">
        <f t="shared" si="243"/>
        <v/>
      </c>
      <c r="AO544" s="4" t="str">
        <f t="shared" si="244"/>
        <v/>
      </c>
      <c r="AP544" s="4" t="str">
        <f t="shared" si="245"/>
        <v/>
      </c>
      <c r="AQ544" s="4" t="str">
        <f t="shared" si="246"/>
        <v/>
      </c>
      <c r="AR544" s="4" t="str">
        <f t="shared" si="247"/>
        <v/>
      </c>
    </row>
    <row r="545" spans="8:44" s="1" customFormat="1" ht="14.25" x14ac:dyDescent="0.3">
      <c r="H545" s="50"/>
      <c r="J545" s="54"/>
      <c r="L545" s="54"/>
      <c r="R545" s="45"/>
      <c r="S545" s="54"/>
      <c r="T545" s="54"/>
      <c r="U545" s="54"/>
      <c r="V545" s="44"/>
      <c r="W545" s="27"/>
      <c r="Z545" s="27"/>
      <c r="AA545" s="8"/>
      <c r="AB545" s="81" t="str">
        <f t="shared" si="231"/>
        <v/>
      </c>
      <c r="AC545" s="6" t="str">
        <f t="shared" si="232"/>
        <v/>
      </c>
      <c r="AD545" s="1" t="str">
        <f t="shared" ca="1" si="233"/>
        <v/>
      </c>
      <c r="AE545" s="75" t="str">
        <f t="shared" si="234"/>
        <v/>
      </c>
      <c r="AF545" s="75" t="str">
        <f t="shared" si="235"/>
        <v/>
      </c>
      <c r="AG545" s="4" t="str">
        <f t="shared" si="236"/>
        <v/>
      </c>
      <c r="AH545" s="4" t="str">
        <f t="shared" si="237"/>
        <v/>
      </c>
      <c r="AI545" s="4" t="str">
        <f t="shared" si="238"/>
        <v/>
      </c>
      <c r="AJ545" s="4" t="str">
        <f t="shared" si="239"/>
        <v/>
      </c>
      <c r="AK545" s="4" t="str">
        <f t="shared" si="240"/>
        <v/>
      </c>
      <c r="AL545" s="2" t="str">
        <f t="shared" si="241"/>
        <v/>
      </c>
      <c r="AM545" s="6" t="str">
        <f t="shared" si="242"/>
        <v/>
      </c>
      <c r="AN545" s="4" t="str">
        <f t="shared" si="243"/>
        <v/>
      </c>
      <c r="AO545" s="4" t="str">
        <f t="shared" si="244"/>
        <v/>
      </c>
      <c r="AP545" s="4" t="str">
        <f t="shared" si="245"/>
        <v/>
      </c>
      <c r="AQ545" s="4" t="str">
        <f t="shared" si="246"/>
        <v/>
      </c>
      <c r="AR545" s="4" t="str">
        <f t="shared" si="247"/>
        <v/>
      </c>
    </row>
    <row r="546" spans="8:44" s="1" customFormat="1" ht="14.25" x14ac:dyDescent="0.3">
      <c r="H546" s="50"/>
      <c r="J546" s="54"/>
      <c r="L546" s="54"/>
      <c r="R546" s="45"/>
      <c r="S546" s="54"/>
      <c r="T546" s="54"/>
      <c r="U546" s="54"/>
      <c r="V546" s="44"/>
      <c r="W546" s="27"/>
      <c r="Z546" s="27"/>
      <c r="AA546" s="8"/>
      <c r="AB546" s="81" t="str">
        <f t="shared" si="231"/>
        <v/>
      </c>
      <c r="AC546" s="6" t="str">
        <f t="shared" si="232"/>
        <v/>
      </c>
      <c r="AD546" s="1" t="str">
        <f t="shared" ca="1" si="233"/>
        <v/>
      </c>
      <c r="AE546" s="75" t="str">
        <f t="shared" si="234"/>
        <v/>
      </c>
      <c r="AF546" s="75" t="str">
        <f t="shared" si="235"/>
        <v/>
      </c>
      <c r="AG546" s="4" t="str">
        <f t="shared" si="236"/>
        <v/>
      </c>
      <c r="AH546" s="4" t="str">
        <f t="shared" si="237"/>
        <v/>
      </c>
      <c r="AI546" s="4" t="str">
        <f t="shared" si="238"/>
        <v/>
      </c>
      <c r="AJ546" s="4" t="str">
        <f t="shared" si="239"/>
        <v/>
      </c>
      <c r="AK546" s="4" t="str">
        <f t="shared" si="240"/>
        <v/>
      </c>
      <c r="AL546" s="2" t="str">
        <f t="shared" si="241"/>
        <v/>
      </c>
      <c r="AM546" s="6" t="str">
        <f t="shared" si="242"/>
        <v/>
      </c>
      <c r="AN546" s="4" t="str">
        <f t="shared" si="243"/>
        <v/>
      </c>
      <c r="AO546" s="4" t="str">
        <f t="shared" si="244"/>
        <v/>
      </c>
      <c r="AP546" s="4" t="str">
        <f t="shared" si="245"/>
        <v/>
      </c>
      <c r="AQ546" s="4" t="str">
        <f t="shared" si="246"/>
        <v/>
      </c>
      <c r="AR546" s="4" t="str">
        <f t="shared" si="247"/>
        <v/>
      </c>
    </row>
    <row r="547" spans="8:44" s="1" customFormat="1" ht="14.25" x14ac:dyDescent="0.3">
      <c r="H547" s="50"/>
      <c r="J547" s="54"/>
      <c r="L547" s="54"/>
      <c r="R547" s="45"/>
      <c r="S547" s="54"/>
      <c r="T547" s="54"/>
      <c r="U547" s="54"/>
      <c r="V547" s="44"/>
      <c r="W547" s="27"/>
      <c r="Z547" s="27"/>
      <c r="AA547" s="8"/>
      <c r="AB547" s="81" t="str">
        <f t="shared" si="231"/>
        <v/>
      </c>
      <c r="AC547" s="6" t="str">
        <f t="shared" si="232"/>
        <v/>
      </c>
      <c r="AD547" s="1" t="str">
        <f t="shared" ca="1" si="233"/>
        <v/>
      </c>
      <c r="AE547" s="75" t="str">
        <f t="shared" si="234"/>
        <v/>
      </c>
      <c r="AF547" s="75" t="str">
        <f t="shared" si="235"/>
        <v/>
      </c>
      <c r="AG547" s="4" t="str">
        <f t="shared" si="236"/>
        <v/>
      </c>
      <c r="AH547" s="4" t="str">
        <f t="shared" si="237"/>
        <v/>
      </c>
      <c r="AI547" s="4" t="str">
        <f t="shared" si="238"/>
        <v/>
      </c>
      <c r="AJ547" s="4" t="str">
        <f t="shared" si="239"/>
        <v/>
      </c>
      <c r="AK547" s="4" t="str">
        <f t="shared" si="240"/>
        <v/>
      </c>
      <c r="AL547" s="2" t="str">
        <f t="shared" si="241"/>
        <v/>
      </c>
      <c r="AM547" s="6" t="str">
        <f t="shared" si="242"/>
        <v/>
      </c>
      <c r="AN547" s="4" t="str">
        <f t="shared" si="243"/>
        <v/>
      </c>
      <c r="AO547" s="4" t="str">
        <f t="shared" si="244"/>
        <v/>
      </c>
      <c r="AP547" s="4" t="str">
        <f t="shared" si="245"/>
        <v/>
      </c>
      <c r="AQ547" s="4" t="str">
        <f t="shared" si="246"/>
        <v/>
      </c>
      <c r="AR547" s="4" t="str">
        <f t="shared" si="247"/>
        <v/>
      </c>
    </row>
    <row r="548" spans="8:44" s="1" customFormat="1" ht="14.25" x14ac:dyDescent="0.3">
      <c r="H548" s="50"/>
      <c r="J548" s="54"/>
      <c r="L548" s="54"/>
      <c r="R548" s="45"/>
      <c r="S548" s="54"/>
      <c r="T548" s="54"/>
      <c r="U548" s="54"/>
      <c r="V548" s="44"/>
      <c r="W548" s="27"/>
      <c r="Z548" s="27"/>
      <c r="AA548" s="8"/>
      <c r="AB548" s="81" t="str">
        <f t="shared" si="231"/>
        <v/>
      </c>
      <c r="AC548" s="6" t="str">
        <f t="shared" si="232"/>
        <v/>
      </c>
      <c r="AD548" s="1" t="str">
        <f t="shared" ca="1" si="233"/>
        <v/>
      </c>
      <c r="AE548" s="75" t="str">
        <f t="shared" si="234"/>
        <v/>
      </c>
      <c r="AF548" s="75" t="str">
        <f t="shared" si="235"/>
        <v/>
      </c>
      <c r="AG548" s="4" t="str">
        <f t="shared" si="236"/>
        <v/>
      </c>
      <c r="AH548" s="4" t="str">
        <f t="shared" si="237"/>
        <v/>
      </c>
      <c r="AI548" s="4" t="str">
        <f t="shared" si="238"/>
        <v/>
      </c>
      <c r="AJ548" s="4" t="str">
        <f t="shared" si="239"/>
        <v/>
      </c>
      <c r="AK548" s="4" t="str">
        <f t="shared" si="240"/>
        <v/>
      </c>
      <c r="AL548" s="2" t="str">
        <f t="shared" si="241"/>
        <v/>
      </c>
      <c r="AM548" s="6" t="str">
        <f t="shared" si="242"/>
        <v/>
      </c>
      <c r="AN548" s="4" t="str">
        <f t="shared" si="243"/>
        <v/>
      </c>
      <c r="AO548" s="4" t="str">
        <f t="shared" si="244"/>
        <v/>
      </c>
      <c r="AP548" s="4" t="str">
        <f t="shared" si="245"/>
        <v/>
      </c>
      <c r="AQ548" s="4" t="str">
        <f t="shared" si="246"/>
        <v/>
      </c>
      <c r="AR548" s="4" t="str">
        <f t="shared" si="247"/>
        <v/>
      </c>
    </row>
    <row r="549" spans="8:44" s="1" customFormat="1" ht="14.25" x14ac:dyDescent="0.3">
      <c r="H549" s="50"/>
      <c r="J549" s="54"/>
      <c r="L549" s="54"/>
      <c r="R549" s="45"/>
      <c r="S549" s="54"/>
      <c r="T549" s="54"/>
      <c r="U549" s="54"/>
      <c r="V549" s="44"/>
      <c r="W549" s="27"/>
      <c r="Z549" s="27"/>
      <c r="AA549" s="8"/>
      <c r="AB549" s="81" t="str">
        <f t="shared" si="231"/>
        <v/>
      </c>
      <c r="AC549" s="6" t="str">
        <f t="shared" si="232"/>
        <v/>
      </c>
      <c r="AD549" s="1" t="str">
        <f t="shared" ca="1" si="233"/>
        <v/>
      </c>
      <c r="AE549" s="75" t="str">
        <f t="shared" si="234"/>
        <v/>
      </c>
      <c r="AF549" s="75" t="str">
        <f t="shared" si="235"/>
        <v/>
      </c>
      <c r="AG549" s="4" t="str">
        <f t="shared" si="236"/>
        <v/>
      </c>
      <c r="AH549" s="4" t="str">
        <f t="shared" si="237"/>
        <v/>
      </c>
      <c r="AI549" s="4" t="str">
        <f t="shared" si="238"/>
        <v/>
      </c>
      <c r="AJ549" s="4" t="str">
        <f t="shared" si="239"/>
        <v/>
      </c>
      <c r="AK549" s="4" t="str">
        <f t="shared" si="240"/>
        <v/>
      </c>
      <c r="AL549" s="2" t="str">
        <f t="shared" si="241"/>
        <v/>
      </c>
      <c r="AM549" s="6" t="str">
        <f t="shared" si="242"/>
        <v/>
      </c>
      <c r="AN549" s="4" t="str">
        <f t="shared" si="243"/>
        <v/>
      </c>
      <c r="AO549" s="4" t="str">
        <f t="shared" si="244"/>
        <v/>
      </c>
      <c r="AP549" s="4" t="str">
        <f t="shared" si="245"/>
        <v/>
      </c>
      <c r="AQ549" s="4" t="str">
        <f t="shared" si="246"/>
        <v/>
      </c>
      <c r="AR549" s="4" t="str">
        <f t="shared" si="247"/>
        <v/>
      </c>
    </row>
    <row r="550" spans="8:44" s="1" customFormat="1" ht="14.25" x14ac:dyDescent="0.3">
      <c r="H550" s="50"/>
      <c r="J550" s="54"/>
      <c r="L550" s="54"/>
      <c r="R550" s="45"/>
      <c r="S550" s="54"/>
      <c r="T550" s="54"/>
      <c r="U550" s="54"/>
      <c r="V550" s="44"/>
      <c r="W550" s="27"/>
      <c r="Z550" s="27"/>
      <c r="AA550" s="8"/>
      <c r="AB550" s="81" t="str">
        <f t="shared" si="231"/>
        <v/>
      </c>
      <c r="AC550" s="6" t="str">
        <f t="shared" si="232"/>
        <v/>
      </c>
      <c r="AD550" s="1" t="str">
        <f t="shared" ca="1" si="233"/>
        <v/>
      </c>
      <c r="AE550" s="75" t="str">
        <f t="shared" si="234"/>
        <v/>
      </c>
      <c r="AF550" s="75" t="str">
        <f t="shared" si="235"/>
        <v/>
      </c>
      <c r="AG550" s="4" t="str">
        <f t="shared" si="236"/>
        <v/>
      </c>
      <c r="AH550" s="4" t="str">
        <f t="shared" si="237"/>
        <v/>
      </c>
      <c r="AI550" s="4" t="str">
        <f t="shared" si="238"/>
        <v/>
      </c>
      <c r="AJ550" s="4" t="str">
        <f t="shared" si="239"/>
        <v/>
      </c>
      <c r="AK550" s="4" t="str">
        <f t="shared" si="240"/>
        <v/>
      </c>
      <c r="AL550" s="2" t="str">
        <f t="shared" si="241"/>
        <v/>
      </c>
      <c r="AM550" s="6" t="str">
        <f t="shared" si="242"/>
        <v/>
      </c>
      <c r="AN550" s="4" t="str">
        <f t="shared" si="243"/>
        <v/>
      </c>
      <c r="AO550" s="4" t="str">
        <f t="shared" si="244"/>
        <v/>
      </c>
      <c r="AP550" s="4" t="str">
        <f t="shared" si="245"/>
        <v/>
      </c>
      <c r="AQ550" s="4" t="str">
        <f t="shared" si="246"/>
        <v/>
      </c>
      <c r="AR550" s="4" t="str">
        <f t="shared" si="247"/>
        <v/>
      </c>
    </row>
    <row r="551" spans="8:44" s="1" customFormat="1" ht="14.25" x14ac:dyDescent="0.3">
      <c r="H551" s="50"/>
      <c r="J551" s="54"/>
      <c r="L551" s="54"/>
      <c r="R551" s="45"/>
      <c r="S551" s="54"/>
      <c r="T551" s="54"/>
      <c r="U551" s="54"/>
      <c r="V551" s="44"/>
      <c r="W551" s="27"/>
      <c r="Z551" s="27"/>
      <c r="AA551" s="8"/>
      <c r="AB551" s="81" t="str">
        <f t="shared" si="231"/>
        <v/>
      </c>
      <c r="AC551" s="6" t="str">
        <f t="shared" si="232"/>
        <v/>
      </c>
      <c r="AD551" s="1" t="str">
        <f t="shared" ca="1" si="233"/>
        <v/>
      </c>
      <c r="AE551" s="75" t="str">
        <f t="shared" si="234"/>
        <v/>
      </c>
      <c r="AF551" s="75" t="str">
        <f t="shared" si="235"/>
        <v/>
      </c>
      <c r="AG551" s="4" t="str">
        <f t="shared" si="236"/>
        <v/>
      </c>
      <c r="AH551" s="4" t="str">
        <f t="shared" si="237"/>
        <v/>
      </c>
      <c r="AI551" s="4" t="str">
        <f t="shared" si="238"/>
        <v/>
      </c>
      <c r="AJ551" s="4" t="str">
        <f t="shared" si="239"/>
        <v/>
      </c>
      <c r="AK551" s="4" t="str">
        <f t="shared" si="240"/>
        <v/>
      </c>
      <c r="AL551" s="2" t="str">
        <f t="shared" si="241"/>
        <v/>
      </c>
      <c r="AM551" s="6" t="str">
        <f t="shared" si="242"/>
        <v/>
      </c>
      <c r="AN551" s="4" t="str">
        <f t="shared" si="243"/>
        <v/>
      </c>
      <c r="AO551" s="4" t="str">
        <f t="shared" si="244"/>
        <v/>
      </c>
      <c r="AP551" s="4" t="str">
        <f t="shared" si="245"/>
        <v/>
      </c>
      <c r="AQ551" s="4" t="str">
        <f t="shared" si="246"/>
        <v/>
      </c>
      <c r="AR551" s="4" t="str">
        <f t="shared" si="247"/>
        <v/>
      </c>
    </row>
    <row r="552" spans="8:44" s="1" customFormat="1" ht="14.25" x14ac:dyDescent="0.3">
      <c r="H552" s="50"/>
      <c r="J552" s="54"/>
      <c r="L552" s="54"/>
      <c r="R552" s="45"/>
      <c r="S552" s="54"/>
      <c r="T552" s="54"/>
      <c r="U552" s="54"/>
      <c r="V552" s="44"/>
      <c r="W552" s="27"/>
      <c r="Z552" s="27"/>
      <c r="AA552" s="8"/>
      <c r="AB552" s="81" t="str">
        <f t="shared" si="231"/>
        <v/>
      </c>
      <c r="AC552" s="6" t="str">
        <f t="shared" si="232"/>
        <v/>
      </c>
      <c r="AD552" s="1" t="str">
        <f t="shared" ca="1" si="233"/>
        <v/>
      </c>
      <c r="AE552" s="75" t="str">
        <f t="shared" si="234"/>
        <v/>
      </c>
      <c r="AF552" s="75" t="str">
        <f t="shared" si="235"/>
        <v/>
      </c>
      <c r="AG552" s="4" t="str">
        <f t="shared" si="236"/>
        <v/>
      </c>
      <c r="AH552" s="4" t="str">
        <f t="shared" si="237"/>
        <v/>
      </c>
      <c r="AI552" s="4" t="str">
        <f t="shared" si="238"/>
        <v/>
      </c>
      <c r="AJ552" s="4" t="str">
        <f t="shared" si="239"/>
        <v/>
      </c>
      <c r="AK552" s="4" t="str">
        <f t="shared" si="240"/>
        <v/>
      </c>
      <c r="AL552" s="2" t="str">
        <f t="shared" si="241"/>
        <v/>
      </c>
      <c r="AM552" s="6" t="str">
        <f t="shared" si="242"/>
        <v/>
      </c>
      <c r="AN552" s="4" t="str">
        <f t="shared" si="243"/>
        <v/>
      </c>
      <c r="AO552" s="4" t="str">
        <f t="shared" si="244"/>
        <v/>
      </c>
      <c r="AP552" s="4" t="str">
        <f t="shared" si="245"/>
        <v/>
      </c>
      <c r="AQ552" s="4" t="str">
        <f t="shared" si="246"/>
        <v/>
      </c>
      <c r="AR552" s="4" t="str">
        <f t="shared" si="247"/>
        <v/>
      </c>
    </row>
    <row r="553" spans="8:44" s="1" customFormat="1" ht="14.25" x14ac:dyDescent="0.3">
      <c r="H553" s="50"/>
      <c r="J553" s="54"/>
      <c r="L553" s="54"/>
      <c r="R553" s="45"/>
      <c r="S553" s="54"/>
      <c r="T553" s="54"/>
      <c r="U553" s="54"/>
      <c r="V553" s="44"/>
      <c r="W553" s="27"/>
      <c r="Z553" s="27"/>
      <c r="AA553" s="8"/>
      <c r="AB553" s="81" t="str">
        <f t="shared" si="231"/>
        <v/>
      </c>
      <c r="AC553" s="6" t="str">
        <f t="shared" si="232"/>
        <v/>
      </c>
      <c r="AD553" s="1" t="str">
        <f t="shared" ca="1" si="233"/>
        <v/>
      </c>
      <c r="AE553" s="75" t="str">
        <f t="shared" si="234"/>
        <v/>
      </c>
      <c r="AF553" s="75" t="str">
        <f t="shared" si="235"/>
        <v/>
      </c>
      <c r="AG553" s="4" t="str">
        <f t="shared" si="236"/>
        <v/>
      </c>
      <c r="AH553" s="4" t="str">
        <f t="shared" si="237"/>
        <v/>
      </c>
      <c r="AI553" s="4" t="str">
        <f t="shared" si="238"/>
        <v/>
      </c>
      <c r="AJ553" s="4" t="str">
        <f t="shared" si="239"/>
        <v/>
      </c>
      <c r="AK553" s="4" t="str">
        <f t="shared" si="240"/>
        <v/>
      </c>
      <c r="AL553" s="2" t="str">
        <f t="shared" si="241"/>
        <v/>
      </c>
      <c r="AM553" s="6" t="str">
        <f t="shared" si="242"/>
        <v/>
      </c>
      <c r="AN553" s="4" t="str">
        <f t="shared" si="243"/>
        <v/>
      </c>
      <c r="AO553" s="4" t="str">
        <f t="shared" si="244"/>
        <v/>
      </c>
      <c r="AP553" s="4" t="str">
        <f t="shared" si="245"/>
        <v/>
      </c>
      <c r="AQ553" s="4" t="str">
        <f t="shared" si="246"/>
        <v/>
      </c>
      <c r="AR553" s="4" t="str">
        <f t="shared" si="247"/>
        <v/>
      </c>
    </row>
    <row r="554" spans="8:44" s="1" customFormat="1" ht="14.25" x14ac:dyDescent="0.3">
      <c r="H554" s="50"/>
      <c r="J554" s="54"/>
      <c r="L554" s="54"/>
      <c r="R554" s="45"/>
      <c r="S554" s="54"/>
      <c r="T554" s="54"/>
      <c r="U554" s="54"/>
      <c r="V554" s="44"/>
      <c r="W554" s="27"/>
      <c r="Z554" s="27"/>
      <c r="AA554" s="8"/>
      <c r="AB554" s="81" t="str">
        <f t="shared" si="231"/>
        <v/>
      </c>
      <c r="AC554" s="6" t="str">
        <f t="shared" si="232"/>
        <v/>
      </c>
      <c r="AD554" s="1" t="str">
        <f t="shared" ca="1" si="233"/>
        <v/>
      </c>
      <c r="AE554" s="75" t="str">
        <f t="shared" si="234"/>
        <v/>
      </c>
      <c r="AF554" s="75" t="str">
        <f t="shared" si="235"/>
        <v/>
      </c>
      <c r="AG554" s="4" t="str">
        <f t="shared" si="236"/>
        <v/>
      </c>
      <c r="AH554" s="4" t="str">
        <f t="shared" si="237"/>
        <v/>
      </c>
      <c r="AI554" s="4" t="str">
        <f t="shared" si="238"/>
        <v/>
      </c>
      <c r="AJ554" s="4" t="str">
        <f t="shared" si="239"/>
        <v/>
      </c>
      <c r="AK554" s="4" t="str">
        <f t="shared" si="240"/>
        <v/>
      </c>
      <c r="AL554" s="2" t="str">
        <f t="shared" si="241"/>
        <v/>
      </c>
      <c r="AM554" s="6" t="str">
        <f t="shared" si="242"/>
        <v/>
      </c>
      <c r="AN554" s="4" t="str">
        <f t="shared" si="243"/>
        <v/>
      </c>
      <c r="AO554" s="4" t="str">
        <f t="shared" si="244"/>
        <v/>
      </c>
      <c r="AP554" s="4" t="str">
        <f t="shared" si="245"/>
        <v/>
      </c>
      <c r="AQ554" s="4" t="str">
        <f t="shared" si="246"/>
        <v/>
      </c>
      <c r="AR554" s="4" t="str">
        <f t="shared" si="247"/>
        <v/>
      </c>
    </row>
    <row r="555" spans="8:44" s="1" customFormat="1" ht="14.25" x14ac:dyDescent="0.3">
      <c r="H555" s="50"/>
      <c r="J555" s="54"/>
      <c r="L555" s="54"/>
      <c r="R555" s="45"/>
      <c r="S555" s="54"/>
      <c r="T555" s="54"/>
      <c r="U555" s="54"/>
      <c r="V555" s="44"/>
      <c r="W555" s="27"/>
      <c r="Z555" s="27"/>
      <c r="AA555" s="8"/>
      <c r="AB555" s="81" t="str">
        <f t="shared" si="231"/>
        <v/>
      </c>
      <c r="AC555" s="6" t="str">
        <f t="shared" si="232"/>
        <v/>
      </c>
      <c r="AD555" s="1" t="str">
        <f t="shared" ca="1" si="233"/>
        <v/>
      </c>
      <c r="AE555" s="75" t="str">
        <f t="shared" si="234"/>
        <v/>
      </c>
      <c r="AF555" s="75" t="str">
        <f t="shared" si="235"/>
        <v/>
      </c>
      <c r="AG555" s="4" t="str">
        <f t="shared" si="236"/>
        <v/>
      </c>
      <c r="AH555" s="4" t="str">
        <f t="shared" si="237"/>
        <v/>
      </c>
      <c r="AI555" s="4" t="str">
        <f t="shared" si="238"/>
        <v/>
      </c>
      <c r="AJ555" s="4" t="str">
        <f t="shared" si="239"/>
        <v/>
      </c>
      <c r="AK555" s="4" t="str">
        <f t="shared" si="240"/>
        <v/>
      </c>
      <c r="AL555" s="2" t="str">
        <f t="shared" si="241"/>
        <v/>
      </c>
      <c r="AM555" s="6" t="str">
        <f t="shared" si="242"/>
        <v/>
      </c>
      <c r="AN555" s="4" t="str">
        <f t="shared" si="243"/>
        <v/>
      </c>
      <c r="AO555" s="4" t="str">
        <f t="shared" si="244"/>
        <v/>
      </c>
      <c r="AP555" s="4" t="str">
        <f t="shared" si="245"/>
        <v/>
      </c>
      <c r="AQ555" s="4" t="str">
        <f t="shared" si="246"/>
        <v/>
      </c>
      <c r="AR555" s="4" t="str">
        <f t="shared" si="247"/>
        <v/>
      </c>
    </row>
    <row r="556" spans="8:44" s="1" customFormat="1" ht="14.25" x14ac:dyDescent="0.3">
      <c r="H556" s="50"/>
      <c r="J556" s="54"/>
      <c r="L556" s="54"/>
      <c r="R556" s="45"/>
      <c r="S556" s="54"/>
      <c r="T556" s="54"/>
      <c r="U556" s="54"/>
      <c r="V556" s="44"/>
      <c r="W556" s="27"/>
      <c r="Z556" s="27"/>
      <c r="AA556" s="8"/>
      <c r="AB556" s="81" t="str">
        <f t="shared" si="231"/>
        <v/>
      </c>
      <c r="AC556" s="6" t="str">
        <f t="shared" si="232"/>
        <v/>
      </c>
      <c r="AD556" s="1" t="str">
        <f t="shared" ca="1" si="233"/>
        <v/>
      </c>
      <c r="AE556" s="75" t="str">
        <f t="shared" si="234"/>
        <v/>
      </c>
      <c r="AF556" s="75" t="str">
        <f t="shared" si="235"/>
        <v/>
      </c>
      <c r="AG556" s="4" t="str">
        <f t="shared" si="236"/>
        <v/>
      </c>
      <c r="AH556" s="4" t="str">
        <f t="shared" si="237"/>
        <v/>
      </c>
      <c r="AI556" s="4" t="str">
        <f t="shared" si="238"/>
        <v/>
      </c>
      <c r="AJ556" s="4" t="str">
        <f t="shared" si="239"/>
        <v/>
      </c>
      <c r="AK556" s="4" t="str">
        <f t="shared" si="240"/>
        <v/>
      </c>
      <c r="AL556" s="2" t="str">
        <f t="shared" si="241"/>
        <v/>
      </c>
      <c r="AM556" s="6" t="str">
        <f t="shared" si="242"/>
        <v/>
      </c>
      <c r="AN556" s="4" t="str">
        <f t="shared" si="243"/>
        <v/>
      </c>
      <c r="AO556" s="4" t="str">
        <f t="shared" si="244"/>
        <v/>
      </c>
      <c r="AP556" s="4" t="str">
        <f t="shared" si="245"/>
        <v/>
      </c>
      <c r="AQ556" s="4" t="str">
        <f t="shared" si="246"/>
        <v/>
      </c>
      <c r="AR556" s="4" t="str">
        <f t="shared" si="247"/>
        <v/>
      </c>
    </row>
    <row r="557" spans="8:44" s="1" customFormat="1" ht="14.25" x14ac:dyDescent="0.3">
      <c r="H557" s="50"/>
      <c r="J557" s="54"/>
      <c r="L557" s="54"/>
      <c r="R557" s="45"/>
      <c r="S557" s="54"/>
      <c r="T557" s="54"/>
      <c r="U557" s="54"/>
      <c r="V557" s="44"/>
      <c r="W557" s="27"/>
      <c r="Z557" s="27"/>
      <c r="AA557" s="8"/>
      <c r="AB557" s="81" t="str">
        <f t="shared" si="231"/>
        <v/>
      </c>
      <c r="AC557" s="6" t="str">
        <f t="shared" si="232"/>
        <v/>
      </c>
      <c r="AD557" s="1" t="str">
        <f t="shared" ca="1" si="233"/>
        <v/>
      </c>
      <c r="AE557" s="75" t="str">
        <f t="shared" si="234"/>
        <v/>
      </c>
      <c r="AF557" s="75" t="str">
        <f t="shared" si="235"/>
        <v/>
      </c>
      <c r="AG557" s="4" t="str">
        <f t="shared" si="236"/>
        <v/>
      </c>
      <c r="AH557" s="4" t="str">
        <f t="shared" si="237"/>
        <v/>
      </c>
      <c r="AI557" s="4" t="str">
        <f t="shared" si="238"/>
        <v/>
      </c>
      <c r="AJ557" s="4" t="str">
        <f t="shared" si="239"/>
        <v/>
      </c>
      <c r="AK557" s="4" t="str">
        <f t="shared" si="240"/>
        <v/>
      </c>
      <c r="AL557" s="2" t="str">
        <f t="shared" si="241"/>
        <v/>
      </c>
      <c r="AM557" s="6" t="str">
        <f t="shared" si="242"/>
        <v/>
      </c>
      <c r="AN557" s="4" t="str">
        <f t="shared" si="243"/>
        <v/>
      </c>
      <c r="AO557" s="4" t="str">
        <f t="shared" si="244"/>
        <v/>
      </c>
      <c r="AP557" s="4" t="str">
        <f t="shared" si="245"/>
        <v/>
      </c>
      <c r="AQ557" s="4" t="str">
        <f t="shared" si="246"/>
        <v/>
      </c>
      <c r="AR557" s="4" t="str">
        <f t="shared" si="247"/>
        <v/>
      </c>
    </row>
    <row r="558" spans="8:44" s="1" customFormat="1" ht="14.25" x14ac:dyDescent="0.3">
      <c r="H558" s="50"/>
      <c r="J558" s="54"/>
      <c r="L558" s="54"/>
      <c r="R558" s="45"/>
      <c r="S558" s="54"/>
      <c r="T558" s="54"/>
      <c r="U558" s="54"/>
      <c r="V558" s="44"/>
      <c r="W558" s="27"/>
      <c r="Z558" s="27"/>
      <c r="AA558" s="8"/>
      <c r="AB558" s="81" t="str">
        <f t="shared" si="231"/>
        <v/>
      </c>
      <c r="AC558" s="6" t="str">
        <f t="shared" si="232"/>
        <v/>
      </c>
      <c r="AD558" s="1" t="str">
        <f t="shared" ca="1" si="233"/>
        <v/>
      </c>
      <c r="AE558" s="75" t="str">
        <f t="shared" si="234"/>
        <v/>
      </c>
      <c r="AF558" s="75" t="str">
        <f t="shared" si="235"/>
        <v/>
      </c>
      <c r="AG558" s="4" t="str">
        <f t="shared" si="236"/>
        <v/>
      </c>
      <c r="AH558" s="4" t="str">
        <f t="shared" si="237"/>
        <v/>
      </c>
      <c r="AI558" s="4" t="str">
        <f t="shared" si="238"/>
        <v/>
      </c>
      <c r="AJ558" s="4" t="str">
        <f t="shared" si="239"/>
        <v/>
      </c>
      <c r="AK558" s="4" t="str">
        <f t="shared" si="240"/>
        <v/>
      </c>
      <c r="AL558" s="2" t="str">
        <f t="shared" si="241"/>
        <v/>
      </c>
      <c r="AM558" s="6" t="str">
        <f t="shared" si="242"/>
        <v/>
      </c>
      <c r="AN558" s="4" t="str">
        <f t="shared" si="243"/>
        <v/>
      </c>
      <c r="AO558" s="4" t="str">
        <f t="shared" si="244"/>
        <v/>
      </c>
      <c r="AP558" s="4" t="str">
        <f t="shared" si="245"/>
        <v/>
      </c>
      <c r="AQ558" s="4" t="str">
        <f t="shared" si="246"/>
        <v/>
      </c>
      <c r="AR558" s="4" t="str">
        <f t="shared" si="247"/>
        <v/>
      </c>
    </row>
    <row r="559" spans="8:44" s="1" customFormat="1" ht="14.25" x14ac:dyDescent="0.3">
      <c r="H559" s="50"/>
      <c r="J559" s="54"/>
      <c r="L559" s="54"/>
      <c r="R559" s="45"/>
      <c r="S559" s="54"/>
      <c r="T559" s="54"/>
      <c r="U559" s="54"/>
      <c r="V559" s="44"/>
      <c r="W559" s="27"/>
      <c r="Z559" s="27"/>
      <c r="AA559" s="8"/>
      <c r="AB559" s="81" t="str">
        <f t="shared" si="231"/>
        <v/>
      </c>
      <c r="AC559" s="6" t="str">
        <f t="shared" si="232"/>
        <v/>
      </c>
      <c r="AD559" s="1" t="str">
        <f t="shared" ca="1" si="233"/>
        <v/>
      </c>
      <c r="AE559" s="75" t="str">
        <f t="shared" si="234"/>
        <v/>
      </c>
      <c r="AF559" s="75" t="str">
        <f t="shared" si="235"/>
        <v/>
      </c>
      <c r="AG559" s="4" t="str">
        <f t="shared" si="236"/>
        <v/>
      </c>
      <c r="AH559" s="4" t="str">
        <f t="shared" si="237"/>
        <v/>
      </c>
      <c r="AI559" s="4" t="str">
        <f t="shared" si="238"/>
        <v/>
      </c>
      <c r="AJ559" s="4" t="str">
        <f t="shared" si="239"/>
        <v/>
      </c>
      <c r="AK559" s="4" t="str">
        <f t="shared" si="240"/>
        <v/>
      </c>
      <c r="AL559" s="2" t="str">
        <f t="shared" si="241"/>
        <v/>
      </c>
      <c r="AM559" s="6" t="str">
        <f t="shared" si="242"/>
        <v/>
      </c>
      <c r="AN559" s="4" t="str">
        <f t="shared" si="243"/>
        <v/>
      </c>
      <c r="AO559" s="4" t="str">
        <f t="shared" si="244"/>
        <v/>
      </c>
      <c r="AP559" s="4" t="str">
        <f t="shared" si="245"/>
        <v/>
      </c>
      <c r="AQ559" s="4" t="str">
        <f t="shared" si="246"/>
        <v/>
      </c>
      <c r="AR559" s="4" t="str">
        <f t="shared" si="247"/>
        <v/>
      </c>
    </row>
    <row r="560" spans="8:44" s="1" customFormat="1" ht="14.25" x14ac:dyDescent="0.3">
      <c r="H560" s="50"/>
      <c r="J560" s="54"/>
      <c r="L560" s="54"/>
      <c r="R560" s="45"/>
      <c r="S560" s="54"/>
      <c r="T560" s="54"/>
      <c r="U560" s="54"/>
      <c r="V560" s="44"/>
      <c r="W560" s="27"/>
      <c r="Z560" s="27"/>
      <c r="AA560" s="8"/>
      <c r="AB560" s="81" t="str">
        <f t="shared" si="231"/>
        <v/>
      </c>
      <c r="AC560" s="6" t="str">
        <f t="shared" si="232"/>
        <v/>
      </c>
      <c r="AD560" s="1" t="str">
        <f t="shared" ca="1" si="233"/>
        <v/>
      </c>
      <c r="AE560" s="75" t="str">
        <f t="shared" si="234"/>
        <v/>
      </c>
      <c r="AF560" s="75" t="str">
        <f t="shared" si="235"/>
        <v/>
      </c>
      <c r="AG560" s="4" t="str">
        <f t="shared" si="236"/>
        <v/>
      </c>
      <c r="AH560" s="4" t="str">
        <f t="shared" si="237"/>
        <v/>
      </c>
      <c r="AI560" s="4" t="str">
        <f t="shared" si="238"/>
        <v/>
      </c>
      <c r="AJ560" s="4" t="str">
        <f t="shared" si="239"/>
        <v/>
      </c>
      <c r="AK560" s="4" t="str">
        <f t="shared" si="240"/>
        <v/>
      </c>
      <c r="AL560" s="2" t="str">
        <f t="shared" si="241"/>
        <v/>
      </c>
      <c r="AM560" s="6" t="str">
        <f t="shared" si="242"/>
        <v/>
      </c>
      <c r="AN560" s="4" t="str">
        <f t="shared" si="243"/>
        <v/>
      </c>
      <c r="AO560" s="4" t="str">
        <f t="shared" si="244"/>
        <v/>
      </c>
      <c r="AP560" s="4" t="str">
        <f t="shared" si="245"/>
        <v/>
      </c>
      <c r="AQ560" s="4" t="str">
        <f t="shared" si="246"/>
        <v/>
      </c>
      <c r="AR560" s="4" t="str">
        <f t="shared" si="247"/>
        <v/>
      </c>
    </row>
    <row r="561" spans="8:44" s="1" customFormat="1" ht="14.25" x14ac:dyDescent="0.3">
      <c r="H561" s="50"/>
      <c r="J561" s="54"/>
      <c r="L561" s="54"/>
      <c r="R561" s="45"/>
      <c r="S561" s="54"/>
      <c r="T561" s="54"/>
      <c r="U561" s="54"/>
      <c r="V561" s="44"/>
      <c r="W561" s="27"/>
      <c r="Z561" s="27"/>
      <c r="AA561" s="8"/>
      <c r="AB561" s="81" t="str">
        <f t="shared" si="231"/>
        <v/>
      </c>
      <c r="AC561" s="6" t="str">
        <f t="shared" si="232"/>
        <v/>
      </c>
      <c r="AD561" s="1" t="str">
        <f t="shared" ca="1" si="233"/>
        <v/>
      </c>
      <c r="AE561" s="75" t="str">
        <f t="shared" si="234"/>
        <v/>
      </c>
      <c r="AF561" s="75" t="str">
        <f t="shared" si="235"/>
        <v/>
      </c>
      <c r="AG561" s="4" t="str">
        <f t="shared" si="236"/>
        <v/>
      </c>
      <c r="AH561" s="4" t="str">
        <f t="shared" si="237"/>
        <v/>
      </c>
      <c r="AI561" s="4" t="str">
        <f t="shared" si="238"/>
        <v/>
      </c>
      <c r="AJ561" s="4" t="str">
        <f t="shared" si="239"/>
        <v/>
      </c>
      <c r="AK561" s="4" t="str">
        <f t="shared" si="240"/>
        <v/>
      </c>
      <c r="AL561" s="2" t="str">
        <f t="shared" si="241"/>
        <v/>
      </c>
      <c r="AM561" s="6" t="str">
        <f t="shared" si="242"/>
        <v/>
      </c>
      <c r="AN561" s="4" t="str">
        <f t="shared" si="243"/>
        <v/>
      </c>
      <c r="AO561" s="4" t="str">
        <f t="shared" si="244"/>
        <v/>
      </c>
      <c r="AP561" s="4" t="str">
        <f t="shared" si="245"/>
        <v/>
      </c>
      <c r="AQ561" s="4" t="str">
        <f t="shared" si="246"/>
        <v/>
      </c>
      <c r="AR561" s="4" t="str">
        <f t="shared" si="247"/>
        <v/>
      </c>
    </row>
    <row r="562" spans="8:44" s="1" customFormat="1" ht="14.25" x14ac:dyDescent="0.3">
      <c r="H562" s="50"/>
      <c r="J562" s="54"/>
      <c r="L562" s="54"/>
      <c r="R562" s="45"/>
      <c r="S562" s="54"/>
      <c r="T562" s="54"/>
      <c r="U562" s="54"/>
      <c r="V562" s="44"/>
      <c r="W562" s="27"/>
      <c r="Z562" s="27"/>
      <c r="AA562" s="8"/>
      <c r="AB562" s="81" t="str">
        <f t="shared" si="231"/>
        <v/>
      </c>
      <c r="AC562" s="6" t="str">
        <f t="shared" si="232"/>
        <v/>
      </c>
      <c r="AD562" s="1" t="str">
        <f t="shared" ca="1" si="233"/>
        <v/>
      </c>
      <c r="AE562" s="75" t="str">
        <f t="shared" si="234"/>
        <v/>
      </c>
      <c r="AF562" s="75" t="str">
        <f t="shared" si="235"/>
        <v/>
      </c>
      <c r="AG562" s="4" t="str">
        <f t="shared" si="236"/>
        <v/>
      </c>
      <c r="AH562" s="4" t="str">
        <f t="shared" si="237"/>
        <v/>
      </c>
      <c r="AI562" s="4" t="str">
        <f t="shared" si="238"/>
        <v/>
      </c>
      <c r="AJ562" s="4" t="str">
        <f t="shared" si="239"/>
        <v/>
      </c>
      <c r="AK562" s="4" t="str">
        <f t="shared" si="240"/>
        <v/>
      </c>
      <c r="AL562" s="2" t="str">
        <f t="shared" si="241"/>
        <v/>
      </c>
      <c r="AM562" s="6" t="str">
        <f t="shared" si="242"/>
        <v/>
      </c>
      <c r="AN562" s="4" t="str">
        <f t="shared" si="243"/>
        <v/>
      </c>
      <c r="AO562" s="4" t="str">
        <f t="shared" si="244"/>
        <v/>
      </c>
      <c r="AP562" s="4" t="str">
        <f t="shared" si="245"/>
        <v/>
      </c>
      <c r="AQ562" s="4" t="str">
        <f t="shared" si="246"/>
        <v/>
      </c>
      <c r="AR562" s="4" t="str">
        <f t="shared" si="247"/>
        <v/>
      </c>
    </row>
    <row r="563" spans="8:44" s="1" customFormat="1" ht="14.25" x14ac:dyDescent="0.3">
      <c r="H563" s="50"/>
      <c r="J563" s="54"/>
      <c r="L563" s="54"/>
      <c r="R563" s="45"/>
      <c r="S563" s="54"/>
      <c r="T563" s="54"/>
      <c r="U563" s="54"/>
      <c r="V563" s="44"/>
      <c r="W563" s="27"/>
      <c r="Z563" s="27"/>
      <c r="AA563" s="8"/>
      <c r="AB563" s="81" t="str">
        <f t="shared" si="231"/>
        <v/>
      </c>
      <c r="AC563" s="6" t="str">
        <f t="shared" si="232"/>
        <v/>
      </c>
      <c r="AD563" s="1" t="str">
        <f t="shared" ca="1" si="233"/>
        <v/>
      </c>
      <c r="AE563" s="75" t="str">
        <f t="shared" si="234"/>
        <v/>
      </c>
      <c r="AF563" s="75" t="str">
        <f t="shared" si="235"/>
        <v/>
      </c>
      <c r="AG563" s="4" t="str">
        <f t="shared" si="236"/>
        <v/>
      </c>
      <c r="AH563" s="4" t="str">
        <f t="shared" si="237"/>
        <v/>
      </c>
      <c r="AI563" s="4" t="str">
        <f t="shared" si="238"/>
        <v/>
      </c>
      <c r="AJ563" s="4" t="str">
        <f t="shared" si="239"/>
        <v/>
      </c>
      <c r="AK563" s="4" t="str">
        <f t="shared" si="240"/>
        <v/>
      </c>
      <c r="AL563" s="2" t="str">
        <f t="shared" si="241"/>
        <v/>
      </c>
      <c r="AM563" s="6" t="str">
        <f t="shared" si="242"/>
        <v/>
      </c>
      <c r="AN563" s="4" t="str">
        <f t="shared" si="243"/>
        <v/>
      </c>
      <c r="AO563" s="4" t="str">
        <f t="shared" si="244"/>
        <v/>
      </c>
      <c r="AP563" s="4" t="str">
        <f t="shared" si="245"/>
        <v/>
      </c>
      <c r="AQ563" s="4" t="str">
        <f t="shared" si="246"/>
        <v/>
      </c>
      <c r="AR563" s="4" t="str">
        <f t="shared" si="247"/>
        <v/>
      </c>
    </row>
    <row r="564" spans="8:44" s="1" customFormat="1" ht="14.25" x14ac:dyDescent="0.3">
      <c r="H564" s="50"/>
      <c r="J564" s="54"/>
      <c r="L564" s="54"/>
      <c r="R564" s="45"/>
      <c r="S564" s="54"/>
      <c r="T564" s="54"/>
      <c r="U564" s="54"/>
      <c r="V564" s="44"/>
      <c r="W564" s="27"/>
      <c r="Z564" s="27"/>
      <c r="AA564" s="8"/>
      <c r="AB564" s="81" t="str">
        <f t="shared" si="231"/>
        <v/>
      </c>
      <c r="AC564" s="6" t="str">
        <f t="shared" si="232"/>
        <v/>
      </c>
      <c r="AD564" s="1" t="str">
        <f t="shared" ca="1" si="233"/>
        <v/>
      </c>
      <c r="AE564" s="75" t="str">
        <f t="shared" si="234"/>
        <v/>
      </c>
      <c r="AF564" s="75" t="str">
        <f t="shared" si="235"/>
        <v/>
      </c>
      <c r="AG564" s="4" t="str">
        <f t="shared" si="236"/>
        <v/>
      </c>
      <c r="AH564" s="4" t="str">
        <f t="shared" si="237"/>
        <v/>
      </c>
      <c r="AI564" s="4" t="str">
        <f t="shared" si="238"/>
        <v/>
      </c>
      <c r="AJ564" s="4" t="str">
        <f t="shared" si="239"/>
        <v/>
      </c>
      <c r="AK564" s="4" t="str">
        <f t="shared" si="240"/>
        <v/>
      </c>
      <c r="AL564" s="2" t="str">
        <f t="shared" si="241"/>
        <v/>
      </c>
      <c r="AM564" s="6" t="str">
        <f t="shared" si="242"/>
        <v/>
      </c>
      <c r="AN564" s="4" t="str">
        <f t="shared" si="243"/>
        <v/>
      </c>
      <c r="AO564" s="4" t="str">
        <f t="shared" si="244"/>
        <v/>
      </c>
      <c r="AP564" s="4" t="str">
        <f t="shared" si="245"/>
        <v/>
      </c>
      <c r="AQ564" s="4" t="str">
        <f t="shared" si="246"/>
        <v/>
      </c>
      <c r="AR564" s="4" t="str">
        <f t="shared" si="247"/>
        <v/>
      </c>
    </row>
    <row r="565" spans="8:44" s="1" customFormat="1" ht="14.25" x14ac:dyDescent="0.3">
      <c r="H565" s="50"/>
      <c r="J565" s="54"/>
      <c r="L565" s="54"/>
      <c r="R565" s="45"/>
      <c r="S565" s="54"/>
      <c r="T565" s="54"/>
      <c r="U565" s="54"/>
      <c r="V565" s="44"/>
      <c r="W565" s="27"/>
      <c r="Z565" s="27"/>
      <c r="AA565" s="8"/>
      <c r="AB565" s="81" t="str">
        <f t="shared" si="231"/>
        <v/>
      </c>
      <c r="AC565" s="6" t="str">
        <f t="shared" si="232"/>
        <v/>
      </c>
      <c r="AD565" s="1" t="str">
        <f t="shared" ca="1" si="233"/>
        <v/>
      </c>
      <c r="AE565" s="75" t="str">
        <f t="shared" si="234"/>
        <v/>
      </c>
      <c r="AF565" s="75" t="str">
        <f t="shared" si="235"/>
        <v/>
      </c>
      <c r="AG565" s="4" t="str">
        <f t="shared" si="236"/>
        <v/>
      </c>
      <c r="AH565" s="4" t="str">
        <f t="shared" si="237"/>
        <v/>
      </c>
      <c r="AI565" s="4" t="str">
        <f t="shared" si="238"/>
        <v/>
      </c>
      <c r="AJ565" s="4" t="str">
        <f t="shared" si="239"/>
        <v/>
      </c>
      <c r="AK565" s="4" t="str">
        <f t="shared" si="240"/>
        <v/>
      </c>
      <c r="AL565" s="2" t="str">
        <f t="shared" si="241"/>
        <v/>
      </c>
      <c r="AM565" s="6" t="str">
        <f t="shared" si="242"/>
        <v/>
      </c>
      <c r="AN565" s="4" t="str">
        <f t="shared" si="243"/>
        <v/>
      </c>
      <c r="AO565" s="4" t="str">
        <f t="shared" si="244"/>
        <v/>
      </c>
      <c r="AP565" s="4" t="str">
        <f t="shared" si="245"/>
        <v/>
      </c>
      <c r="AQ565" s="4" t="str">
        <f t="shared" si="246"/>
        <v/>
      </c>
      <c r="AR565" s="4" t="str">
        <f t="shared" si="247"/>
        <v/>
      </c>
    </row>
    <row r="566" spans="8:44" s="1" customFormat="1" ht="14.25" x14ac:dyDescent="0.3">
      <c r="H566" s="50"/>
      <c r="J566" s="54"/>
      <c r="L566" s="54"/>
      <c r="R566" s="45"/>
      <c r="S566" s="54"/>
      <c r="T566" s="54"/>
      <c r="U566" s="54"/>
      <c r="V566" s="44"/>
      <c r="W566" s="27"/>
      <c r="Z566" s="27"/>
      <c r="AA566" s="8"/>
      <c r="AB566" s="81" t="str">
        <f t="shared" si="231"/>
        <v/>
      </c>
      <c r="AC566" s="6" t="str">
        <f t="shared" si="232"/>
        <v/>
      </c>
      <c r="AD566" s="1" t="str">
        <f t="shared" ca="1" si="233"/>
        <v/>
      </c>
      <c r="AE566" s="75" t="str">
        <f t="shared" si="234"/>
        <v/>
      </c>
      <c r="AF566" s="75" t="str">
        <f t="shared" si="235"/>
        <v/>
      </c>
      <c r="AG566" s="4" t="str">
        <f t="shared" si="236"/>
        <v/>
      </c>
      <c r="AH566" s="4" t="str">
        <f t="shared" si="237"/>
        <v/>
      </c>
      <c r="AI566" s="4" t="str">
        <f t="shared" si="238"/>
        <v/>
      </c>
      <c r="AJ566" s="4" t="str">
        <f t="shared" si="239"/>
        <v/>
      </c>
      <c r="AK566" s="4" t="str">
        <f t="shared" si="240"/>
        <v/>
      </c>
      <c r="AL566" s="2" t="str">
        <f t="shared" si="241"/>
        <v/>
      </c>
      <c r="AM566" s="6" t="str">
        <f t="shared" si="242"/>
        <v/>
      </c>
      <c r="AN566" s="4" t="str">
        <f t="shared" si="243"/>
        <v/>
      </c>
      <c r="AO566" s="4" t="str">
        <f t="shared" si="244"/>
        <v/>
      </c>
      <c r="AP566" s="4" t="str">
        <f t="shared" si="245"/>
        <v/>
      </c>
      <c r="AQ566" s="4" t="str">
        <f t="shared" si="246"/>
        <v/>
      </c>
      <c r="AR566" s="4" t="str">
        <f t="shared" si="247"/>
        <v/>
      </c>
    </row>
    <row r="567" spans="8:44" s="1" customFormat="1" ht="14.25" x14ac:dyDescent="0.3">
      <c r="H567" s="50"/>
      <c r="J567" s="54"/>
      <c r="L567" s="54"/>
      <c r="R567" s="45"/>
      <c r="S567" s="54"/>
      <c r="T567" s="54"/>
      <c r="U567" s="54"/>
      <c r="V567" s="44"/>
      <c r="W567" s="27"/>
      <c r="Z567" s="27"/>
      <c r="AA567" s="8"/>
      <c r="AB567" s="81" t="str">
        <f t="shared" si="231"/>
        <v/>
      </c>
      <c r="AC567" s="6" t="str">
        <f t="shared" si="232"/>
        <v/>
      </c>
      <c r="AD567" s="1" t="str">
        <f t="shared" ca="1" si="233"/>
        <v/>
      </c>
      <c r="AE567" s="75" t="str">
        <f t="shared" si="234"/>
        <v/>
      </c>
      <c r="AF567" s="75" t="str">
        <f t="shared" si="235"/>
        <v/>
      </c>
      <c r="AG567" s="4" t="str">
        <f t="shared" si="236"/>
        <v/>
      </c>
      <c r="AH567" s="4" t="str">
        <f t="shared" si="237"/>
        <v/>
      </c>
      <c r="AI567" s="4" t="str">
        <f t="shared" si="238"/>
        <v/>
      </c>
      <c r="AJ567" s="4" t="str">
        <f t="shared" si="239"/>
        <v/>
      </c>
      <c r="AK567" s="4" t="str">
        <f t="shared" si="240"/>
        <v/>
      </c>
      <c r="AL567" s="2" t="str">
        <f t="shared" si="241"/>
        <v/>
      </c>
      <c r="AM567" s="6" t="str">
        <f t="shared" si="242"/>
        <v/>
      </c>
      <c r="AN567" s="4" t="str">
        <f t="shared" si="243"/>
        <v/>
      </c>
      <c r="AO567" s="4" t="str">
        <f t="shared" si="244"/>
        <v/>
      </c>
      <c r="AP567" s="4" t="str">
        <f t="shared" si="245"/>
        <v/>
      </c>
      <c r="AQ567" s="4" t="str">
        <f t="shared" si="246"/>
        <v/>
      </c>
      <c r="AR567" s="4" t="str">
        <f t="shared" si="247"/>
        <v/>
      </c>
    </row>
    <row r="568" spans="8:44" s="1" customFormat="1" ht="14.25" x14ac:dyDescent="0.3">
      <c r="H568" s="50"/>
      <c r="J568" s="54"/>
      <c r="L568" s="54"/>
      <c r="R568" s="45"/>
      <c r="S568" s="54"/>
      <c r="T568" s="54"/>
      <c r="U568" s="54"/>
      <c r="V568" s="44"/>
      <c r="W568" s="27"/>
      <c r="Z568" s="27"/>
      <c r="AA568" s="8"/>
      <c r="AB568" s="81" t="str">
        <f t="shared" si="231"/>
        <v/>
      </c>
      <c r="AC568" s="6" t="str">
        <f t="shared" si="232"/>
        <v/>
      </c>
      <c r="AD568" s="1" t="str">
        <f t="shared" ca="1" si="233"/>
        <v/>
      </c>
      <c r="AE568" s="75" t="str">
        <f t="shared" si="234"/>
        <v/>
      </c>
      <c r="AF568" s="75" t="str">
        <f t="shared" si="235"/>
        <v/>
      </c>
      <c r="AG568" s="4" t="str">
        <f t="shared" si="236"/>
        <v/>
      </c>
      <c r="AH568" s="4" t="str">
        <f t="shared" si="237"/>
        <v/>
      </c>
      <c r="AI568" s="4" t="str">
        <f t="shared" si="238"/>
        <v/>
      </c>
      <c r="AJ568" s="4" t="str">
        <f t="shared" si="239"/>
        <v/>
      </c>
      <c r="AK568" s="4" t="str">
        <f t="shared" si="240"/>
        <v/>
      </c>
      <c r="AL568" s="2" t="str">
        <f t="shared" si="241"/>
        <v/>
      </c>
      <c r="AM568" s="6" t="str">
        <f t="shared" si="242"/>
        <v/>
      </c>
      <c r="AN568" s="4" t="str">
        <f t="shared" si="243"/>
        <v/>
      </c>
      <c r="AO568" s="4" t="str">
        <f t="shared" si="244"/>
        <v/>
      </c>
      <c r="AP568" s="4" t="str">
        <f t="shared" si="245"/>
        <v/>
      </c>
      <c r="AQ568" s="4" t="str">
        <f t="shared" si="246"/>
        <v/>
      </c>
      <c r="AR568" s="4" t="str">
        <f t="shared" si="247"/>
        <v/>
      </c>
    </row>
    <row r="569" spans="8:44" s="1" customFormat="1" ht="14.25" x14ac:dyDescent="0.3">
      <c r="H569" s="50"/>
      <c r="J569" s="54"/>
      <c r="L569" s="54"/>
      <c r="R569" s="45"/>
      <c r="S569" s="54"/>
      <c r="T569" s="54"/>
      <c r="U569" s="54"/>
      <c r="V569" s="44"/>
      <c r="W569" s="27"/>
      <c r="Z569" s="27"/>
      <c r="AA569" s="8"/>
      <c r="AB569" s="81" t="str">
        <f t="shared" si="231"/>
        <v/>
      </c>
      <c r="AC569" s="6" t="str">
        <f t="shared" si="232"/>
        <v/>
      </c>
      <c r="AD569" s="1" t="str">
        <f t="shared" ca="1" si="233"/>
        <v/>
      </c>
      <c r="AE569" s="75" t="str">
        <f t="shared" si="234"/>
        <v/>
      </c>
      <c r="AF569" s="75" t="str">
        <f t="shared" si="235"/>
        <v/>
      </c>
      <c r="AG569" s="4" t="str">
        <f t="shared" si="236"/>
        <v/>
      </c>
      <c r="AH569" s="4" t="str">
        <f t="shared" si="237"/>
        <v/>
      </c>
      <c r="AI569" s="4" t="str">
        <f t="shared" si="238"/>
        <v/>
      </c>
      <c r="AJ569" s="4" t="str">
        <f t="shared" si="239"/>
        <v/>
      </c>
      <c r="AK569" s="4" t="str">
        <f t="shared" si="240"/>
        <v/>
      </c>
      <c r="AL569" s="2" t="str">
        <f t="shared" si="241"/>
        <v/>
      </c>
      <c r="AM569" s="6" t="str">
        <f t="shared" si="242"/>
        <v/>
      </c>
      <c r="AN569" s="4" t="str">
        <f t="shared" si="243"/>
        <v/>
      </c>
      <c r="AO569" s="4" t="str">
        <f t="shared" si="244"/>
        <v/>
      </c>
      <c r="AP569" s="4" t="str">
        <f t="shared" si="245"/>
        <v/>
      </c>
      <c r="AQ569" s="4" t="str">
        <f t="shared" si="246"/>
        <v/>
      </c>
      <c r="AR569" s="4" t="str">
        <f t="shared" si="247"/>
        <v/>
      </c>
    </row>
    <row r="570" spans="8:44" s="1" customFormat="1" ht="14.25" x14ac:dyDescent="0.3">
      <c r="H570" s="50"/>
      <c r="J570" s="54"/>
      <c r="L570" s="54"/>
      <c r="R570" s="45"/>
      <c r="S570" s="54"/>
      <c r="T570" s="54"/>
      <c r="U570" s="54"/>
      <c r="V570" s="44"/>
      <c r="W570" s="27"/>
      <c r="Z570" s="27"/>
      <c r="AA570" s="8"/>
      <c r="AB570" s="81" t="str">
        <f t="shared" si="231"/>
        <v/>
      </c>
      <c r="AC570" s="6" t="str">
        <f t="shared" si="232"/>
        <v/>
      </c>
      <c r="AD570" s="1" t="str">
        <f t="shared" ca="1" si="233"/>
        <v/>
      </c>
      <c r="AE570" s="75" t="str">
        <f t="shared" si="234"/>
        <v/>
      </c>
      <c r="AF570" s="75" t="str">
        <f t="shared" si="235"/>
        <v/>
      </c>
      <c r="AG570" s="4" t="str">
        <f t="shared" si="236"/>
        <v/>
      </c>
      <c r="AH570" s="4" t="str">
        <f t="shared" si="237"/>
        <v/>
      </c>
      <c r="AI570" s="4" t="str">
        <f t="shared" si="238"/>
        <v/>
      </c>
      <c r="AJ570" s="4" t="str">
        <f t="shared" si="239"/>
        <v/>
      </c>
      <c r="AK570" s="4" t="str">
        <f t="shared" si="240"/>
        <v/>
      </c>
      <c r="AL570" s="2" t="str">
        <f t="shared" si="241"/>
        <v/>
      </c>
      <c r="AM570" s="6" t="str">
        <f t="shared" si="242"/>
        <v/>
      </c>
      <c r="AN570" s="4" t="str">
        <f t="shared" si="243"/>
        <v/>
      </c>
      <c r="AO570" s="4" t="str">
        <f t="shared" si="244"/>
        <v/>
      </c>
      <c r="AP570" s="4" t="str">
        <f t="shared" si="245"/>
        <v/>
      </c>
      <c r="AQ570" s="4" t="str">
        <f t="shared" si="246"/>
        <v/>
      </c>
      <c r="AR570" s="4" t="str">
        <f t="shared" si="247"/>
        <v/>
      </c>
    </row>
    <row r="571" spans="8:44" s="1" customFormat="1" ht="14.25" x14ac:dyDescent="0.3">
      <c r="H571" s="50"/>
      <c r="J571" s="54"/>
      <c r="L571" s="54"/>
      <c r="R571" s="45"/>
      <c r="S571" s="54"/>
      <c r="T571" s="54"/>
      <c r="U571" s="54"/>
      <c r="V571" s="44"/>
      <c r="W571" s="27"/>
      <c r="Z571" s="27"/>
      <c r="AA571" s="8"/>
      <c r="AB571" s="81" t="str">
        <f t="shared" si="231"/>
        <v/>
      </c>
      <c r="AC571" s="6" t="str">
        <f t="shared" si="232"/>
        <v/>
      </c>
      <c r="AD571" s="1" t="str">
        <f t="shared" ca="1" si="233"/>
        <v/>
      </c>
      <c r="AE571" s="75" t="str">
        <f t="shared" si="234"/>
        <v/>
      </c>
      <c r="AF571" s="75" t="str">
        <f t="shared" si="235"/>
        <v/>
      </c>
      <c r="AG571" s="4" t="str">
        <f t="shared" si="236"/>
        <v/>
      </c>
      <c r="AH571" s="4" t="str">
        <f t="shared" si="237"/>
        <v/>
      </c>
      <c r="AI571" s="4" t="str">
        <f t="shared" si="238"/>
        <v/>
      </c>
      <c r="AJ571" s="4" t="str">
        <f t="shared" si="239"/>
        <v/>
      </c>
      <c r="AK571" s="4" t="str">
        <f t="shared" si="240"/>
        <v/>
      </c>
      <c r="AL571" s="2" t="str">
        <f t="shared" si="241"/>
        <v/>
      </c>
      <c r="AM571" s="6" t="str">
        <f t="shared" si="242"/>
        <v/>
      </c>
      <c r="AN571" s="4" t="str">
        <f t="shared" si="243"/>
        <v/>
      </c>
      <c r="AO571" s="4" t="str">
        <f t="shared" si="244"/>
        <v/>
      </c>
      <c r="AP571" s="4" t="str">
        <f t="shared" si="245"/>
        <v/>
      </c>
      <c r="AQ571" s="4" t="str">
        <f t="shared" si="246"/>
        <v/>
      </c>
      <c r="AR571" s="4" t="str">
        <f t="shared" si="247"/>
        <v/>
      </c>
    </row>
    <row r="572" spans="8:44" s="1" customFormat="1" ht="14.25" x14ac:dyDescent="0.3">
      <c r="H572" s="50"/>
      <c r="J572" s="54"/>
      <c r="L572" s="54"/>
      <c r="R572" s="45"/>
      <c r="S572" s="54"/>
      <c r="T572" s="54"/>
      <c r="U572" s="54"/>
      <c r="V572" s="44"/>
      <c r="W572" s="27"/>
      <c r="Z572" s="27"/>
      <c r="AA572" s="8"/>
      <c r="AB572" s="81" t="str">
        <f t="shared" si="231"/>
        <v/>
      </c>
      <c r="AC572" s="6" t="str">
        <f t="shared" si="232"/>
        <v/>
      </c>
      <c r="AD572" s="1" t="str">
        <f t="shared" ca="1" si="233"/>
        <v/>
      </c>
      <c r="AE572" s="75" t="str">
        <f t="shared" si="234"/>
        <v/>
      </c>
      <c r="AF572" s="75" t="str">
        <f t="shared" si="235"/>
        <v/>
      </c>
      <c r="AG572" s="4" t="str">
        <f t="shared" si="236"/>
        <v/>
      </c>
      <c r="AH572" s="4" t="str">
        <f t="shared" si="237"/>
        <v/>
      </c>
      <c r="AI572" s="4" t="str">
        <f t="shared" si="238"/>
        <v/>
      </c>
      <c r="AJ572" s="4" t="str">
        <f t="shared" si="239"/>
        <v/>
      </c>
      <c r="AK572" s="4" t="str">
        <f t="shared" si="240"/>
        <v/>
      </c>
      <c r="AL572" s="2" t="str">
        <f t="shared" si="241"/>
        <v/>
      </c>
      <c r="AM572" s="6" t="str">
        <f t="shared" si="242"/>
        <v/>
      </c>
      <c r="AN572" s="4" t="str">
        <f t="shared" si="243"/>
        <v/>
      </c>
      <c r="AO572" s="4" t="str">
        <f t="shared" si="244"/>
        <v/>
      </c>
      <c r="AP572" s="4" t="str">
        <f t="shared" si="245"/>
        <v/>
      </c>
      <c r="AQ572" s="4" t="str">
        <f t="shared" si="246"/>
        <v/>
      </c>
      <c r="AR572" s="4" t="str">
        <f t="shared" si="247"/>
        <v/>
      </c>
    </row>
    <row r="573" spans="8:44" s="1" customFormat="1" ht="14.25" x14ac:dyDescent="0.3">
      <c r="H573" s="50"/>
      <c r="J573" s="54"/>
      <c r="L573" s="54"/>
      <c r="R573" s="45"/>
      <c r="S573" s="54"/>
      <c r="T573" s="54"/>
      <c r="U573" s="54"/>
      <c r="V573" s="44"/>
      <c r="W573" s="27"/>
      <c r="Z573" s="27"/>
      <c r="AA573" s="8"/>
      <c r="AB573" s="81" t="str">
        <f t="shared" ref="AB573:AB636" si="248">IF(X573="","",(AH573-AG573)/AG573)</f>
        <v/>
      </c>
      <c r="AC573" s="6" t="str">
        <f t="shared" ref="AC573:AC636" si="249">IF(X573="","",AH573-AG573)</f>
        <v/>
      </c>
      <c r="AD573" s="1" t="str">
        <f t="shared" ref="AD573:AD636" ca="1" si="250">IF(X573="","",IF(W573="","",IF(Z573="",TODAY()-W573,Z573-W573)))</f>
        <v/>
      </c>
      <c r="AE573" s="75" t="str">
        <f t="shared" ref="AE573:AE636" si="251">IF(X573="","",IF(AE572="",IF(AM573="","",AM573),IF(AM573="",AE572,AE572+AM573)))</f>
        <v/>
      </c>
      <c r="AF573" s="75" t="str">
        <f t="shared" ref="AF573:AF636" si="252">IF(X573="","",IF(AF572="",IF(AN573="","",AN573),IF(AN573="",AF572,AF572+AN573)))</f>
        <v/>
      </c>
      <c r="AG573" s="4" t="str">
        <f t="shared" ref="AG573:AG636" si="253">IF(X573="","",X573*Y573*100+AO573+AP573)</f>
        <v/>
      </c>
      <c r="AH573" s="4" t="str">
        <f t="shared" ref="AH573:AH636" si="254">IF(X573="","",IF(AA573="",C573*Y573*100-AO573-AQ573-AR573,AA573*Y573*100-AO573-AQ573-AR573))</f>
        <v/>
      </c>
      <c r="AI573" s="4" t="str">
        <f t="shared" ref="AI573:AI636" si="255">IF(X573="","",AI572+AC573)</f>
        <v/>
      </c>
      <c r="AJ573" s="4" t="str">
        <f t="shared" ref="AJ573:AJ636" si="256">IF(X573="","",AO573+AP573+AO573+AQ573+AR573)</f>
        <v/>
      </c>
      <c r="AK573" s="4" t="str">
        <f t="shared" ref="AK573:AK636" si="257">IF(X573="","",AK572+AJ573)</f>
        <v/>
      </c>
      <c r="AL573" s="2" t="str">
        <f t="shared" ref="AL573:AL636" si="258">IF(X573="","",0.18%)</f>
        <v/>
      </c>
      <c r="AM573" s="6" t="str">
        <f t="shared" ref="AM573:AM636" si="259">IF(X573="","",IF(Z573="",AC573,""))</f>
        <v/>
      </c>
      <c r="AN573" s="4" t="str">
        <f t="shared" ref="AN573:AN636" si="260">IF(X573="","",IF(Z573="",AH573,""))</f>
        <v/>
      </c>
      <c r="AO573" s="4" t="str">
        <f t="shared" ref="AO573:AO636" si="261">IF(X573="","",IF(LEFT(A573,2)="sh",IF(Y573*100/1000&lt;=1,1,Y573*100/1000),0))</f>
        <v/>
      </c>
      <c r="AP573" s="4" t="str">
        <f t="shared" ref="AP573:AP636" si="262">IF(X573="","",IF(X573*Y573*100*AL573&lt;=5,5,X573*Y573*100*AL573))</f>
        <v/>
      </c>
      <c r="AQ573" s="4" t="str">
        <f t="shared" ref="AQ573:AQ636" si="263">IF(X573="","",IF(AA573="",IF(C573*Y573*100*AL573&lt;=5,5,C573*Y573*100*AL573),IF(AA573*Y573*100*AL573&lt;=5,5,AA573*Y573*100*AL573)))</f>
        <v/>
      </c>
      <c r="AR573" s="4" t="str">
        <f t="shared" ref="AR573:AR636" si="264">IF(X573="","",IF(AA573="",C573*Y573*100*0.001,AA573*Y573*100*0.001))</f>
        <v/>
      </c>
    </row>
    <row r="574" spans="8:44" s="1" customFormat="1" ht="14.25" x14ac:dyDescent="0.3">
      <c r="H574" s="50"/>
      <c r="J574" s="54"/>
      <c r="L574" s="54"/>
      <c r="R574" s="45"/>
      <c r="S574" s="54"/>
      <c r="T574" s="54"/>
      <c r="U574" s="54"/>
      <c r="V574" s="44"/>
      <c r="W574" s="27"/>
      <c r="Z574" s="27"/>
      <c r="AA574" s="8"/>
      <c r="AB574" s="81" t="str">
        <f t="shared" si="248"/>
        <v/>
      </c>
      <c r="AC574" s="6" t="str">
        <f t="shared" si="249"/>
        <v/>
      </c>
      <c r="AD574" s="1" t="str">
        <f t="shared" ca="1" si="250"/>
        <v/>
      </c>
      <c r="AE574" s="75" t="str">
        <f t="shared" si="251"/>
        <v/>
      </c>
      <c r="AF574" s="75" t="str">
        <f t="shared" si="252"/>
        <v/>
      </c>
      <c r="AG574" s="4" t="str">
        <f t="shared" si="253"/>
        <v/>
      </c>
      <c r="AH574" s="4" t="str">
        <f t="shared" si="254"/>
        <v/>
      </c>
      <c r="AI574" s="4" t="str">
        <f t="shared" si="255"/>
        <v/>
      </c>
      <c r="AJ574" s="4" t="str">
        <f t="shared" si="256"/>
        <v/>
      </c>
      <c r="AK574" s="4" t="str">
        <f t="shared" si="257"/>
        <v/>
      </c>
      <c r="AL574" s="2" t="str">
        <f t="shared" si="258"/>
        <v/>
      </c>
      <c r="AM574" s="6" t="str">
        <f t="shared" si="259"/>
        <v/>
      </c>
      <c r="AN574" s="4" t="str">
        <f t="shared" si="260"/>
        <v/>
      </c>
      <c r="AO574" s="4" t="str">
        <f t="shared" si="261"/>
        <v/>
      </c>
      <c r="AP574" s="4" t="str">
        <f t="shared" si="262"/>
        <v/>
      </c>
      <c r="AQ574" s="4" t="str">
        <f t="shared" si="263"/>
        <v/>
      </c>
      <c r="AR574" s="4" t="str">
        <f t="shared" si="264"/>
        <v/>
      </c>
    </row>
    <row r="575" spans="8:44" s="1" customFormat="1" ht="14.25" x14ac:dyDescent="0.3">
      <c r="H575" s="50"/>
      <c r="J575" s="54"/>
      <c r="L575" s="54"/>
      <c r="R575" s="45"/>
      <c r="S575" s="54"/>
      <c r="T575" s="54"/>
      <c r="U575" s="54"/>
      <c r="V575" s="44"/>
      <c r="W575" s="27"/>
      <c r="Z575" s="27"/>
      <c r="AA575" s="8"/>
      <c r="AB575" s="81" t="str">
        <f t="shared" si="248"/>
        <v/>
      </c>
      <c r="AC575" s="6" t="str">
        <f t="shared" si="249"/>
        <v/>
      </c>
      <c r="AD575" s="1" t="str">
        <f t="shared" ca="1" si="250"/>
        <v/>
      </c>
      <c r="AE575" s="75" t="str">
        <f t="shared" si="251"/>
        <v/>
      </c>
      <c r="AF575" s="75" t="str">
        <f t="shared" si="252"/>
        <v/>
      </c>
      <c r="AG575" s="4" t="str">
        <f t="shared" si="253"/>
        <v/>
      </c>
      <c r="AH575" s="4" t="str">
        <f t="shared" si="254"/>
        <v/>
      </c>
      <c r="AI575" s="4" t="str">
        <f t="shared" si="255"/>
        <v/>
      </c>
      <c r="AJ575" s="4" t="str">
        <f t="shared" si="256"/>
        <v/>
      </c>
      <c r="AK575" s="4" t="str">
        <f t="shared" si="257"/>
        <v/>
      </c>
      <c r="AL575" s="2" t="str">
        <f t="shared" si="258"/>
        <v/>
      </c>
      <c r="AM575" s="6" t="str">
        <f t="shared" si="259"/>
        <v/>
      </c>
      <c r="AN575" s="4" t="str">
        <f t="shared" si="260"/>
        <v/>
      </c>
      <c r="AO575" s="4" t="str">
        <f t="shared" si="261"/>
        <v/>
      </c>
      <c r="AP575" s="4" t="str">
        <f t="shared" si="262"/>
        <v/>
      </c>
      <c r="AQ575" s="4" t="str">
        <f t="shared" si="263"/>
        <v/>
      </c>
      <c r="AR575" s="4" t="str">
        <f t="shared" si="264"/>
        <v/>
      </c>
    </row>
    <row r="576" spans="8:44" s="1" customFormat="1" ht="14.25" x14ac:dyDescent="0.3">
      <c r="H576" s="50"/>
      <c r="J576" s="54"/>
      <c r="L576" s="54"/>
      <c r="R576" s="45"/>
      <c r="S576" s="54"/>
      <c r="T576" s="54"/>
      <c r="U576" s="54"/>
      <c r="V576" s="44"/>
      <c r="W576" s="27"/>
      <c r="Z576" s="27"/>
      <c r="AA576" s="8"/>
      <c r="AB576" s="81" t="str">
        <f t="shared" si="248"/>
        <v/>
      </c>
      <c r="AC576" s="6" t="str">
        <f t="shared" si="249"/>
        <v/>
      </c>
      <c r="AD576" s="1" t="str">
        <f t="shared" ca="1" si="250"/>
        <v/>
      </c>
      <c r="AE576" s="75" t="str">
        <f t="shared" si="251"/>
        <v/>
      </c>
      <c r="AF576" s="75" t="str">
        <f t="shared" si="252"/>
        <v/>
      </c>
      <c r="AG576" s="4" t="str">
        <f t="shared" si="253"/>
        <v/>
      </c>
      <c r="AH576" s="4" t="str">
        <f t="shared" si="254"/>
        <v/>
      </c>
      <c r="AI576" s="4" t="str">
        <f t="shared" si="255"/>
        <v/>
      </c>
      <c r="AJ576" s="4" t="str">
        <f t="shared" si="256"/>
        <v/>
      </c>
      <c r="AK576" s="4" t="str">
        <f t="shared" si="257"/>
        <v/>
      </c>
      <c r="AL576" s="2" t="str">
        <f t="shared" si="258"/>
        <v/>
      </c>
      <c r="AM576" s="6" t="str">
        <f t="shared" si="259"/>
        <v/>
      </c>
      <c r="AN576" s="4" t="str">
        <f t="shared" si="260"/>
        <v/>
      </c>
      <c r="AO576" s="4" t="str">
        <f t="shared" si="261"/>
        <v/>
      </c>
      <c r="AP576" s="4" t="str">
        <f t="shared" si="262"/>
        <v/>
      </c>
      <c r="AQ576" s="4" t="str">
        <f t="shared" si="263"/>
        <v/>
      </c>
      <c r="AR576" s="4" t="str">
        <f t="shared" si="264"/>
        <v/>
      </c>
    </row>
    <row r="577" spans="8:44" s="1" customFormat="1" ht="14.25" x14ac:dyDescent="0.3">
      <c r="H577" s="50"/>
      <c r="J577" s="54"/>
      <c r="L577" s="54"/>
      <c r="R577" s="45"/>
      <c r="S577" s="54"/>
      <c r="T577" s="54"/>
      <c r="U577" s="54"/>
      <c r="V577" s="44"/>
      <c r="W577" s="27"/>
      <c r="Z577" s="27"/>
      <c r="AA577" s="8"/>
      <c r="AB577" s="81" t="str">
        <f t="shared" si="248"/>
        <v/>
      </c>
      <c r="AC577" s="6" t="str">
        <f t="shared" si="249"/>
        <v/>
      </c>
      <c r="AD577" s="1" t="str">
        <f t="shared" ca="1" si="250"/>
        <v/>
      </c>
      <c r="AE577" s="75" t="str">
        <f t="shared" si="251"/>
        <v/>
      </c>
      <c r="AF577" s="75" t="str">
        <f t="shared" si="252"/>
        <v/>
      </c>
      <c r="AG577" s="4" t="str">
        <f t="shared" si="253"/>
        <v/>
      </c>
      <c r="AH577" s="4" t="str">
        <f t="shared" si="254"/>
        <v/>
      </c>
      <c r="AI577" s="4" t="str">
        <f t="shared" si="255"/>
        <v/>
      </c>
      <c r="AJ577" s="4" t="str">
        <f t="shared" si="256"/>
        <v/>
      </c>
      <c r="AK577" s="4" t="str">
        <f t="shared" si="257"/>
        <v/>
      </c>
      <c r="AL577" s="2" t="str">
        <f t="shared" si="258"/>
        <v/>
      </c>
      <c r="AM577" s="6" t="str">
        <f t="shared" si="259"/>
        <v/>
      </c>
      <c r="AN577" s="4" t="str">
        <f t="shared" si="260"/>
        <v/>
      </c>
      <c r="AO577" s="4" t="str">
        <f t="shared" si="261"/>
        <v/>
      </c>
      <c r="AP577" s="4" t="str">
        <f t="shared" si="262"/>
        <v/>
      </c>
      <c r="AQ577" s="4" t="str">
        <f t="shared" si="263"/>
        <v/>
      </c>
      <c r="AR577" s="4" t="str">
        <f t="shared" si="264"/>
        <v/>
      </c>
    </row>
    <row r="578" spans="8:44" s="1" customFormat="1" ht="14.25" x14ac:dyDescent="0.3">
      <c r="H578" s="50"/>
      <c r="J578" s="54"/>
      <c r="L578" s="54"/>
      <c r="R578" s="45"/>
      <c r="S578" s="54"/>
      <c r="T578" s="54"/>
      <c r="U578" s="54"/>
      <c r="V578" s="44"/>
      <c r="W578" s="27"/>
      <c r="Z578" s="27"/>
      <c r="AA578" s="8"/>
      <c r="AB578" s="81" t="str">
        <f t="shared" si="248"/>
        <v/>
      </c>
      <c r="AC578" s="6" t="str">
        <f t="shared" si="249"/>
        <v/>
      </c>
      <c r="AD578" s="1" t="str">
        <f t="shared" ca="1" si="250"/>
        <v/>
      </c>
      <c r="AE578" s="75" t="str">
        <f t="shared" si="251"/>
        <v/>
      </c>
      <c r="AF578" s="75" t="str">
        <f t="shared" si="252"/>
        <v/>
      </c>
      <c r="AG578" s="4" t="str">
        <f t="shared" si="253"/>
        <v/>
      </c>
      <c r="AH578" s="4" t="str">
        <f t="shared" si="254"/>
        <v/>
      </c>
      <c r="AI578" s="4" t="str">
        <f t="shared" si="255"/>
        <v/>
      </c>
      <c r="AJ578" s="4" t="str">
        <f t="shared" si="256"/>
        <v/>
      </c>
      <c r="AK578" s="4" t="str">
        <f t="shared" si="257"/>
        <v/>
      </c>
      <c r="AL578" s="2" t="str">
        <f t="shared" si="258"/>
        <v/>
      </c>
      <c r="AM578" s="6" t="str">
        <f t="shared" si="259"/>
        <v/>
      </c>
      <c r="AN578" s="4" t="str">
        <f t="shared" si="260"/>
        <v/>
      </c>
      <c r="AO578" s="4" t="str">
        <f t="shared" si="261"/>
        <v/>
      </c>
      <c r="AP578" s="4" t="str">
        <f t="shared" si="262"/>
        <v/>
      </c>
      <c r="AQ578" s="4" t="str">
        <f t="shared" si="263"/>
        <v/>
      </c>
      <c r="AR578" s="4" t="str">
        <f t="shared" si="264"/>
        <v/>
      </c>
    </row>
    <row r="579" spans="8:44" s="1" customFormat="1" ht="14.25" x14ac:dyDescent="0.3">
      <c r="H579" s="50"/>
      <c r="J579" s="54"/>
      <c r="L579" s="54"/>
      <c r="R579" s="45"/>
      <c r="S579" s="54"/>
      <c r="T579" s="54"/>
      <c r="U579" s="54"/>
      <c r="V579" s="44"/>
      <c r="W579" s="27"/>
      <c r="Z579" s="27"/>
      <c r="AA579" s="8"/>
      <c r="AB579" s="81" t="str">
        <f t="shared" si="248"/>
        <v/>
      </c>
      <c r="AC579" s="6" t="str">
        <f t="shared" si="249"/>
        <v/>
      </c>
      <c r="AD579" s="1" t="str">
        <f t="shared" ca="1" si="250"/>
        <v/>
      </c>
      <c r="AE579" s="75" t="str">
        <f t="shared" si="251"/>
        <v/>
      </c>
      <c r="AF579" s="75" t="str">
        <f t="shared" si="252"/>
        <v/>
      </c>
      <c r="AG579" s="4" t="str">
        <f t="shared" si="253"/>
        <v/>
      </c>
      <c r="AH579" s="4" t="str">
        <f t="shared" si="254"/>
        <v/>
      </c>
      <c r="AI579" s="4" t="str">
        <f t="shared" si="255"/>
        <v/>
      </c>
      <c r="AJ579" s="4" t="str">
        <f t="shared" si="256"/>
        <v/>
      </c>
      <c r="AK579" s="4" t="str">
        <f t="shared" si="257"/>
        <v/>
      </c>
      <c r="AL579" s="2" t="str">
        <f t="shared" si="258"/>
        <v/>
      </c>
      <c r="AM579" s="6" t="str">
        <f t="shared" si="259"/>
        <v/>
      </c>
      <c r="AN579" s="4" t="str">
        <f t="shared" si="260"/>
        <v/>
      </c>
      <c r="AO579" s="4" t="str">
        <f t="shared" si="261"/>
        <v/>
      </c>
      <c r="AP579" s="4" t="str">
        <f t="shared" si="262"/>
        <v/>
      </c>
      <c r="AQ579" s="4" t="str">
        <f t="shared" si="263"/>
        <v/>
      </c>
      <c r="AR579" s="4" t="str">
        <f t="shared" si="264"/>
        <v/>
      </c>
    </row>
    <row r="580" spans="8:44" s="1" customFormat="1" ht="14.25" x14ac:dyDescent="0.3">
      <c r="H580" s="50"/>
      <c r="J580" s="54"/>
      <c r="L580" s="54"/>
      <c r="R580" s="45"/>
      <c r="S580" s="54"/>
      <c r="T580" s="54"/>
      <c r="U580" s="54"/>
      <c r="V580" s="44"/>
      <c r="W580" s="27"/>
      <c r="Z580" s="27"/>
      <c r="AA580" s="8"/>
      <c r="AB580" s="81" t="str">
        <f t="shared" si="248"/>
        <v/>
      </c>
      <c r="AC580" s="6" t="str">
        <f t="shared" si="249"/>
        <v/>
      </c>
      <c r="AD580" s="1" t="str">
        <f t="shared" ca="1" si="250"/>
        <v/>
      </c>
      <c r="AE580" s="75" t="str">
        <f t="shared" si="251"/>
        <v/>
      </c>
      <c r="AF580" s="75" t="str">
        <f t="shared" si="252"/>
        <v/>
      </c>
      <c r="AG580" s="4" t="str">
        <f t="shared" si="253"/>
        <v/>
      </c>
      <c r="AH580" s="4" t="str">
        <f t="shared" si="254"/>
        <v/>
      </c>
      <c r="AI580" s="4" t="str">
        <f t="shared" si="255"/>
        <v/>
      </c>
      <c r="AJ580" s="4" t="str">
        <f t="shared" si="256"/>
        <v/>
      </c>
      <c r="AK580" s="4" t="str">
        <f t="shared" si="257"/>
        <v/>
      </c>
      <c r="AL580" s="2" t="str">
        <f t="shared" si="258"/>
        <v/>
      </c>
      <c r="AM580" s="6" t="str">
        <f t="shared" si="259"/>
        <v/>
      </c>
      <c r="AN580" s="4" t="str">
        <f t="shared" si="260"/>
        <v/>
      </c>
      <c r="AO580" s="4" t="str">
        <f t="shared" si="261"/>
        <v/>
      </c>
      <c r="AP580" s="4" t="str">
        <f t="shared" si="262"/>
        <v/>
      </c>
      <c r="AQ580" s="4" t="str">
        <f t="shared" si="263"/>
        <v/>
      </c>
      <c r="AR580" s="4" t="str">
        <f t="shared" si="264"/>
        <v/>
      </c>
    </row>
    <row r="581" spans="8:44" s="1" customFormat="1" ht="14.25" x14ac:dyDescent="0.3">
      <c r="H581" s="50"/>
      <c r="J581" s="54"/>
      <c r="L581" s="54"/>
      <c r="R581" s="45"/>
      <c r="S581" s="54"/>
      <c r="T581" s="54"/>
      <c r="U581" s="54"/>
      <c r="V581" s="44"/>
      <c r="W581" s="27"/>
      <c r="Z581" s="27"/>
      <c r="AA581" s="8"/>
      <c r="AB581" s="81" t="str">
        <f t="shared" si="248"/>
        <v/>
      </c>
      <c r="AC581" s="6" t="str">
        <f t="shared" si="249"/>
        <v/>
      </c>
      <c r="AD581" s="1" t="str">
        <f t="shared" ca="1" si="250"/>
        <v/>
      </c>
      <c r="AE581" s="75" t="str">
        <f t="shared" si="251"/>
        <v/>
      </c>
      <c r="AF581" s="75" t="str">
        <f t="shared" si="252"/>
        <v/>
      </c>
      <c r="AG581" s="4" t="str">
        <f t="shared" si="253"/>
        <v/>
      </c>
      <c r="AH581" s="4" t="str">
        <f t="shared" si="254"/>
        <v/>
      </c>
      <c r="AI581" s="4" t="str">
        <f t="shared" si="255"/>
        <v/>
      </c>
      <c r="AJ581" s="4" t="str">
        <f t="shared" si="256"/>
        <v/>
      </c>
      <c r="AK581" s="4" t="str">
        <f t="shared" si="257"/>
        <v/>
      </c>
      <c r="AL581" s="2" t="str">
        <f t="shared" si="258"/>
        <v/>
      </c>
      <c r="AM581" s="6" t="str">
        <f t="shared" si="259"/>
        <v/>
      </c>
      <c r="AN581" s="4" t="str">
        <f t="shared" si="260"/>
        <v/>
      </c>
      <c r="AO581" s="4" t="str">
        <f t="shared" si="261"/>
        <v/>
      </c>
      <c r="AP581" s="4" t="str">
        <f t="shared" si="262"/>
        <v/>
      </c>
      <c r="AQ581" s="4" t="str">
        <f t="shared" si="263"/>
        <v/>
      </c>
      <c r="AR581" s="4" t="str">
        <f t="shared" si="264"/>
        <v/>
      </c>
    </row>
    <row r="582" spans="8:44" s="1" customFormat="1" ht="14.25" x14ac:dyDescent="0.3">
      <c r="H582" s="50"/>
      <c r="J582" s="54"/>
      <c r="L582" s="54"/>
      <c r="R582" s="45"/>
      <c r="S582" s="54"/>
      <c r="T582" s="54"/>
      <c r="U582" s="54"/>
      <c r="V582" s="44"/>
      <c r="W582" s="27"/>
      <c r="Z582" s="27"/>
      <c r="AA582" s="8"/>
      <c r="AB582" s="81" t="str">
        <f t="shared" si="248"/>
        <v/>
      </c>
      <c r="AC582" s="6" t="str">
        <f t="shared" si="249"/>
        <v/>
      </c>
      <c r="AD582" s="1" t="str">
        <f t="shared" ca="1" si="250"/>
        <v/>
      </c>
      <c r="AE582" s="75" t="str">
        <f t="shared" si="251"/>
        <v/>
      </c>
      <c r="AF582" s="75" t="str">
        <f t="shared" si="252"/>
        <v/>
      </c>
      <c r="AG582" s="4" t="str">
        <f t="shared" si="253"/>
        <v/>
      </c>
      <c r="AH582" s="4" t="str">
        <f t="shared" si="254"/>
        <v/>
      </c>
      <c r="AI582" s="4" t="str">
        <f t="shared" si="255"/>
        <v/>
      </c>
      <c r="AJ582" s="4" t="str">
        <f t="shared" si="256"/>
        <v/>
      </c>
      <c r="AK582" s="4" t="str">
        <f t="shared" si="257"/>
        <v/>
      </c>
      <c r="AL582" s="2" t="str">
        <f t="shared" si="258"/>
        <v/>
      </c>
      <c r="AM582" s="6" t="str">
        <f t="shared" si="259"/>
        <v/>
      </c>
      <c r="AN582" s="4" t="str">
        <f t="shared" si="260"/>
        <v/>
      </c>
      <c r="AO582" s="4" t="str">
        <f t="shared" si="261"/>
        <v/>
      </c>
      <c r="AP582" s="4" t="str">
        <f t="shared" si="262"/>
        <v/>
      </c>
      <c r="AQ582" s="4" t="str">
        <f t="shared" si="263"/>
        <v/>
      </c>
      <c r="AR582" s="4" t="str">
        <f t="shared" si="264"/>
        <v/>
      </c>
    </row>
    <row r="583" spans="8:44" s="1" customFormat="1" ht="14.25" x14ac:dyDescent="0.3">
      <c r="H583" s="50"/>
      <c r="J583" s="54"/>
      <c r="L583" s="54"/>
      <c r="R583" s="45"/>
      <c r="S583" s="54"/>
      <c r="T583" s="54"/>
      <c r="U583" s="54"/>
      <c r="V583" s="44"/>
      <c r="W583" s="27"/>
      <c r="Z583" s="27"/>
      <c r="AA583" s="8"/>
      <c r="AB583" s="81" t="str">
        <f t="shared" si="248"/>
        <v/>
      </c>
      <c r="AC583" s="6" t="str">
        <f t="shared" si="249"/>
        <v/>
      </c>
      <c r="AD583" s="1" t="str">
        <f t="shared" ca="1" si="250"/>
        <v/>
      </c>
      <c r="AE583" s="75" t="str">
        <f t="shared" si="251"/>
        <v/>
      </c>
      <c r="AF583" s="75" t="str">
        <f t="shared" si="252"/>
        <v/>
      </c>
      <c r="AG583" s="4" t="str">
        <f t="shared" si="253"/>
        <v/>
      </c>
      <c r="AH583" s="4" t="str">
        <f t="shared" si="254"/>
        <v/>
      </c>
      <c r="AI583" s="4" t="str">
        <f t="shared" si="255"/>
        <v/>
      </c>
      <c r="AJ583" s="4" t="str">
        <f t="shared" si="256"/>
        <v/>
      </c>
      <c r="AK583" s="4" t="str">
        <f t="shared" si="257"/>
        <v/>
      </c>
      <c r="AL583" s="2" t="str">
        <f t="shared" si="258"/>
        <v/>
      </c>
      <c r="AM583" s="6" t="str">
        <f t="shared" si="259"/>
        <v/>
      </c>
      <c r="AN583" s="4" t="str">
        <f t="shared" si="260"/>
        <v/>
      </c>
      <c r="AO583" s="4" t="str">
        <f t="shared" si="261"/>
        <v/>
      </c>
      <c r="AP583" s="4" t="str">
        <f t="shared" si="262"/>
        <v/>
      </c>
      <c r="AQ583" s="4" t="str">
        <f t="shared" si="263"/>
        <v/>
      </c>
      <c r="AR583" s="4" t="str">
        <f t="shared" si="264"/>
        <v/>
      </c>
    </row>
    <row r="584" spans="8:44" s="1" customFormat="1" ht="14.25" x14ac:dyDescent="0.3">
      <c r="H584" s="50"/>
      <c r="J584" s="54"/>
      <c r="L584" s="54"/>
      <c r="R584" s="45"/>
      <c r="S584" s="54"/>
      <c r="T584" s="54"/>
      <c r="U584" s="54"/>
      <c r="V584" s="44"/>
      <c r="W584" s="27"/>
      <c r="Z584" s="27"/>
      <c r="AA584" s="8"/>
      <c r="AB584" s="81" t="str">
        <f t="shared" si="248"/>
        <v/>
      </c>
      <c r="AC584" s="6" t="str">
        <f t="shared" si="249"/>
        <v/>
      </c>
      <c r="AD584" s="1" t="str">
        <f t="shared" ca="1" si="250"/>
        <v/>
      </c>
      <c r="AE584" s="75" t="str">
        <f t="shared" si="251"/>
        <v/>
      </c>
      <c r="AF584" s="75" t="str">
        <f t="shared" si="252"/>
        <v/>
      </c>
      <c r="AG584" s="4" t="str">
        <f t="shared" si="253"/>
        <v/>
      </c>
      <c r="AH584" s="4" t="str">
        <f t="shared" si="254"/>
        <v/>
      </c>
      <c r="AI584" s="4" t="str">
        <f t="shared" si="255"/>
        <v/>
      </c>
      <c r="AJ584" s="4" t="str">
        <f t="shared" si="256"/>
        <v/>
      </c>
      <c r="AK584" s="4" t="str">
        <f t="shared" si="257"/>
        <v/>
      </c>
      <c r="AL584" s="2" t="str">
        <f t="shared" si="258"/>
        <v/>
      </c>
      <c r="AM584" s="6" t="str">
        <f t="shared" si="259"/>
        <v/>
      </c>
      <c r="AN584" s="4" t="str">
        <f t="shared" si="260"/>
        <v/>
      </c>
      <c r="AO584" s="4" t="str">
        <f t="shared" si="261"/>
        <v/>
      </c>
      <c r="AP584" s="4" t="str">
        <f t="shared" si="262"/>
        <v/>
      </c>
      <c r="AQ584" s="4" t="str">
        <f t="shared" si="263"/>
        <v/>
      </c>
      <c r="AR584" s="4" t="str">
        <f t="shared" si="264"/>
        <v/>
      </c>
    </row>
    <row r="585" spans="8:44" s="1" customFormat="1" ht="14.25" x14ac:dyDescent="0.3">
      <c r="H585" s="50"/>
      <c r="J585" s="54"/>
      <c r="L585" s="54"/>
      <c r="R585" s="45"/>
      <c r="S585" s="54"/>
      <c r="T585" s="54"/>
      <c r="U585" s="54"/>
      <c r="V585" s="44"/>
      <c r="W585" s="27"/>
      <c r="Z585" s="27"/>
      <c r="AA585" s="8"/>
      <c r="AB585" s="81" t="str">
        <f t="shared" si="248"/>
        <v/>
      </c>
      <c r="AC585" s="6" t="str">
        <f t="shared" si="249"/>
        <v/>
      </c>
      <c r="AD585" s="1" t="str">
        <f t="shared" ca="1" si="250"/>
        <v/>
      </c>
      <c r="AE585" s="75" t="str">
        <f t="shared" si="251"/>
        <v/>
      </c>
      <c r="AF585" s="75" t="str">
        <f t="shared" si="252"/>
        <v/>
      </c>
      <c r="AG585" s="4" t="str">
        <f t="shared" si="253"/>
        <v/>
      </c>
      <c r="AH585" s="4" t="str">
        <f t="shared" si="254"/>
        <v/>
      </c>
      <c r="AI585" s="4" t="str">
        <f t="shared" si="255"/>
        <v/>
      </c>
      <c r="AJ585" s="4" t="str">
        <f t="shared" si="256"/>
        <v/>
      </c>
      <c r="AK585" s="4" t="str">
        <f t="shared" si="257"/>
        <v/>
      </c>
      <c r="AL585" s="2" t="str">
        <f t="shared" si="258"/>
        <v/>
      </c>
      <c r="AM585" s="6" t="str">
        <f t="shared" si="259"/>
        <v/>
      </c>
      <c r="AN585" s="4" t="str">
        <f t="shared" si="260"/>
        <v/>
      </c>
      <c r="AO585" s="4" t="str">
        <f t="shared" si="261"/>
        <v/>
      </c>
      <c r="AP585" s="4" t="str">
        <f t="shared" si="262"/>
        <v/>
      </c>
      <c r="AQ585" s="4" t="str">
        <f t="shared" si="263"/>
        <v/>
      </c>
      <c r="AR585" s="4" t="str">
        <f t="shared" si="264"/>
        <v/>
      </c>
    </row>
    <row r="586" spans="8:44" s="1" customFormat="1" ht="14.25" x14ac:dyDescent="0.3">
      <c r="H586" s="50"/>
      <c r="J586" s="54"/>
      <c r="L586" s="54"/>
      <c r="R586" s="45"/>
      <c r="S586" s="54"/>
      <c r="T586" s="54"/>
      <c r="U586" s="54"/>
      <c r="V586" s="44"/>
      <c r="W586" s="27"/>
      <c r="Z586" s="27"/>
      <c r="AA586" s="8"/>
      <c r="AB586" s="81" t="str">
        <f t="shared" si="248"/>
        <v/>
      </c>
      <c r="AC586" s="6" t="str">
        <f t="shared" si="249"/>
        <v/>
      </c>
      <c r="AD586" s="1" t="str">
        <f t="shared" ca="1" si="250"/>
        <v/>
      </c>
      <c r="AE586" s="75" t="str">
        <f t="shared" si="251"/>
        <v/>
      </c>
      <c r="AF586" s="75" t="str">
        <f t="shared" si="252"/>
        <v/>
      </c>
      <c r="AG586" s="4" t="str">
        <f t="shared" si="253"/>
        <v/>
      </c>
      <c r="AH586" s="4" t="str">
        <f t="shared" si="254"/>
        <v/>
      </c>
      <c r="AI586" s="4" t="str">
        <f t="shared" si="255"/>
        <v/>
      </c>
      <c r="AJ586" s="4" t="str">
        <f t="shared" si="256"/>
        <v/>
      </c>
      <c r="AK586" s="4" t="str">
        <f t="shared" si="257"/>
        <v/>
      </c>
      <c r="AL586" s="2" t="str">
        <f t="shared" si="258"/>
        <v/>
      </c>
      <c r="AM586" s="6" t="str">
        <f t="shared" si="259"/>
        <v/>
      </c>
      <c r="AN586" s="4" t="str">
        <f t="shared" si="260"/>
        <v/>
      </c>
      <c r="AO586" s="4" t="str">
        <f t="shared" si="261"/>
        <v/>
      </c>
      <c r="AP586" s="4" t="str">
        <f t="shared" si="262"/>
        <v/>
      </c>
      <c r="AQ586" s="4" t="str">
        <f t="shared" si="263"/>
        <v/>
      </c>
      <c r="AR586" s="4" t="str">
        <f t="shared" si="264"/>
        <v/>
      </c>
    </row>
    <row r="587" spans="8:44" s="1" customFormat="1" ht="14.25" x14ac:dyDescent="0.3">
      <c r="H587" s="50"/>
      <c r="J587" s="54"/>
      <c r="L587" s="54"/>
      <c r="R587" s="45"/>
      <c r="S587" s="54"/>
      <c r="T587" s="54"/>
      <c r="U587" s="54"/>
      <c r="V587" s="44"/>
      <c r="W587" s="27"/>
      <c r="Z587" s="27"/>
      <c r="AA587" s="8"/>
      <c r="AB587" s="81" t="str">
        <f t="shared" si="248"/>
        <v/>
      </c>
      <c r="AC587" s="6" t="str">
        <f t="shared" si="249"/>
        <v/>
      </c>
      <c r="AD587" s="1" t="str">
        <f t="shared" ca="1" si="250"/>
        <v/>
      </c>
      <c r="AE587" s="75" t="str">
        <f t="shared" si="251"/>
        <v/>
      </c>
      <c r="AF587" s="75" t="str">
        <f t="shared" si="252"/>
        <v/>
      </c>
      <c r="AG587" s="4" t="str">
        <f t="shared" si="253"/>
        <v/>
      </c>
      <c r="AH587" s="4" t="str">
        <f t="shared" si="254"/>
        <v/>
      </c>
      <c r="AI587" s="4" t="str">
        <f t="shared" si="255"/>
        <v/>
      </c>
      <c r="AJ587" s="4" t="str">
        <f t="shared" si="256"/>
        <v/>
      </c>
      <c r="AK587" s="4" t="str">
        <f t="shared" si="257"/>
        <v/>
      </c>
      <c r="AL587" s="2" t="str">
        <f t="shared" si="258"/>
        <v/>
      </c>
      <c r="AM587" s="6" t="str">
        <f t="shared" si="259"/>
        <v/>
      </c>
      <c r="AN587" s="4" t="str">
        <f t="shared" si="260"/>
        <v/>
      </c>
      <c r="AO587" s="4" t="str">
        <f t="shared" si="261"/>
        <v/>
      </c>
      <c r="AP587" s="4" t="str">
        <f t="shared" si="262"/>
        <v/>
      </c>
      <c r="AQ587" s="4" t="str">
        <f t="shared" si="263"/>
        <v/>
      </c>
      <c r="AR587" s="4" t="str">
        <f t="shared" si="264"/>
        <v/>
      </c>
    </row>
    <row r="588" spans="8:44" s="1" customFormat="1" ht="14.25" x14ac:dyDescent="0.3">
      <c r="H588" s="50"/>
      <c r="J588" s="54"/>
      <c r="L588" s="54"/>
      <c r="R588" s="45"/>
      <c r="S588" s="54"/>
      <c r="T588" s="54"/>
      <c r="U588" s="54"/>
      <c r="V588" s="44"/>
      <c r="W588" s="27"/>
      <c r="Z588" s="27"/>
      <c r="AA588" s="8"/>
      <c r="AB588" s="81" t="str">
        <f t="shared" si="248"/>
        <v/>
      </c>
      <c r="AC588" s="6" t="str">
        <f t="shared" si="249"/>
        <v/>
      </c>
      <c r="AD588" s="1" t="str">
        <f t="shared" ca="1" si="250"/>
        <v/>
      </c>
      <c r="AE588" s="75" t="str">
        <f t="shared" si="251"/>
        <v/>
      </c>
      <c r="AF588" s="75" t="str">
        <f t="shared" si="252"/>
        <v/>
      </c>
      <c r="AG588" s="4" t="str">
        <f t="shared" si="253"/>
        <v/>
      </c>
      <c r="AH588" s="4" t="str">
        <f t="shared" si="254"/>
        <v/>
      </c>
      <c r="AI588" s="4" t="str">
        <f t="shared" si="255"/>
        <v/>
      </c>
      <c r="AJ588" s="4" t="str">
        <f t="shared" si="256"/>
        <v/>
      </c>
      <c r="AK588" s="4" t="str">
        <f t="shared" si="257"/>
        <v/>
      </c>
      <c r="AL588" s="2" t="str">
        <f t="shared" si="258"/>
        <v/>
      </c>
      <c r="AM588" s="6" t="str">
        <f t="shared" si="259"/>
        <v/>
      </c>
      <c r="AN588" s="4" t="str">
        <f t="shared" si="260"/>
        <v/>
      </c>
      <c r="AO588" s="4" t="str">
        <f t="shared" si="261"/>
        <v/>
      </c>
      <c r="AP588" s="4" t="str">
        <f t="shared" si="262"/>
        <v/>
      </c>
      <c r="AQ588" s="4" t="str">
        <f t="shared" si="263"/>
        <v/>
      </c>
      <c r="AR588" s="4" t="str">
        <f t="shared" si="264"/>
        <v/>
      </c>
    </row>
    <row r="589" spans="8:44" s="1" customFormat="1" ht="14.25" x14ac:dyDescent="0.3">
      <c r="H589" s="50"/>
      <c r="J589" s="54"/>
      <c r="L589" s="54"/>
      <c r="R589" s="45"/>
      <c r="S589" s="54"/>
      <c r="T589" s="54"/>
      <c r="U589" s="54"/>
      <c r="V589" s="44"/>
      <c r="W589" s="27"/>
      <c r="Z589" s="27"/>
      <c r="AA589" s="8"/>
      <c r="AB589" s="81" t="str">
        <f t="shared" si="248"/>
        <v/>
      </c>
      <c r="AC589" s="6" t="str">
        <f t="shared" si="249"/>
        <v/>
      </c>
      <c r="AD589" s="1" t="str">
        <f t="shared" ca="1" si="250"/>
        <v/>
      </c>
      <c r="AE589" s="75" t="str">
        <f t="shared" si="251"/>
        <v/>
      </c>
      <c r="AF589" s="75" t="str">
        <f t="shared" si="252"/>
        <v/>
      </c>
      <c r="AG589" s="4" t="str">
        <f t="shared" si="253"/>
        <v/>
      </c>
      <c r="AH589" s="4" t="str">
        <f t="shared" si="254"/>
        <v/>
      </c>
      <c r="AI589" s="4" t="str">
        <f t="shared" si="255"/>
        <v/>
      </c>
      <c r="AJ589" s="4" t="str">
        <f t="shared" si="256"/>
        <v/>
      </c>
      <c r="AK589" s="4" t="str">
        <f t="shared" si="257"/>
        <v/>
      </c>
      <c r="AL589" s="2" t="str">
        <f t="shared" si="258"/>
        <v/>
      </c>
      <c r="AM589" s="6" t="str">
        <f t="shared" si="259"/>
        <v/>
      </c>
      <c r="AN589" s="4" t="str">
        <f t="shared" si="260"/>
        <v/>
      </c>
      <c r="AO589" s="4" t="str">
        <f t="shared" si="261"/>
        <v/>
      </c>
      <c r="AP589" s="4" t="str">
        <f t="shared" si="262"/>
        <v/>
      </c>
      <c r="AQ589" s="4" t="str">
        <f t="shared" si="263"/>
        <v/>
      </c>
      <c r="AR589" s="4" t="str">
        <f t="shared" si="264"/>
        <v/>
      </c>
    </row>
    <row r="590" spans="8:44" s="1" customFormat="1" ht="14.25" x14ac:dyDescent="0.3">
      <c r="H590" s="50"/>
      <c r="J590" s="54"/>
      <c r="L590" s="54"/>
      <c r="R590" s="45"/>
      <c r="S590" s="54"/>
      <c r="T590" s="54"/>
      <c r="U590" s="54"/>
      <c r="V590" s="44"/>
      <c r="W590" s="27"/>
      <c r="Z590" s="27"/>
      <c r="AA590" s="8"/>
      <c r="AB590" s="81" t="str">
        <f t="shared" si="248"/>
        <v/>
      </c>
      <c r="AC590" s="6" t="str">
        <f t="shared" si="249"/>
        <v/>
      </c>
      <c r="AD590" s="1" t="str">
        <f t="shared" ca="1" si="250"/>
        <v/>
      </c>
      <c r="AE590" s="75" t="str">
        <f t="shared" si="251"/>
        <v/>
      </c>
      <c r="AF590" s="75" t="str">
        <f t="shared" si="252"/>
        <v/>
      </c>
      <c r="AG590" s="4" t="str">
        <f t="shared" si="253"/>
        <v/>
      </c>
      <c r="AH590" s="4" t="str">
        <f t="shared" si="254"/>
        <v/>
      </c>
      <c r="AI590" s="4" t="str">
        <f t="shared" si="255"/>
        <v/>
      </c>
      <c r="AJ590" s="4" t="str">
        <f t="shared" si="256"/>
        <v/>
      </c>
      <c r="AK590" s="4" t="str">
        <f t="shared" si="257"/>
        <v/>
      </c>
      <c r="AL590" s="2" t="str">
        <f t="shared" si="258"/>
        <v/>
      </c>
      <c r="AM590" s="6" t="str">
        <f t="shared" si="259"/>
        <v/>
      </c>
      <c r="AN590" s="4" t="str">
        <f t="shared" si="260"/>
        <v/>
      </c>
      <c r="AO590" s="4" t="str">
        <f t="shared" si="261"/>
        <v/>
      </c>
      <c r="AP590" s="4" t="str">
        <f t="shared" si="262"/>
        <v/>
      </c>
      <c r="AQ590" s="4" t="str">
        <f t="shared" si="263"/>
        <v/>
      </c>
      <c r="AR590" s="4" t="str">
        <f t="shared" si="264"/>
        <v/>
      </c>
    </row>
    <row r="591" spans="8:44" s="1" customFormat="1" ht="14.25" x14ac:dyDescent="0.3">
      <c r="H591" s="50"/>
      <c r="J591" s="54"/>
      <c r="L591" s="54"/>
      <c r="R591" s="45"/>
      <c r="S591" s="54"/>
      <c r="T591" s="54"/>
      <c r="U591" s="54"/>
      <c r="V591" s="44"/>
      <c r="W591" s="27"/>
      <c r="Z591" s="27"/>
      <c r="AA591" s="8"/>
      <c r="AB591" s="81" t="str">
        <f t="shared" si="248"/>
        <v/>
      </c>
      <c r="AC591" s="6" t="str">
        <f t="shared" si="249"/>
        <v/>
      </c>
      <c r="AD591" s="1" t="str">
        <f t="shared" ca="1" si="250"/>
        <v/>
      </c>
      <c r="AE591" s="75" t="str">
        <f t="shared" si="251"/>
        <v/>
      </c>
      <c r="AF591" s="75" t="str">
        <f t="shared" si="252"/>
        <v/>
      </c>
      <c r="AG591" s="4" t="str">
        <f t="shared" si="253"/>
        <v/>
      </c>
      <c r="AH591" s="4" t="str">
        <f t="shared" si="254"/>
        <v/>
      </c>
      <c r="AI591" s="4" t="str">
        <f t="shared" si="255"/>
        <v/>
      </c>
      <c r="AJ591" s="4" t="str">
        <f t="shared" si="256"/>
        <v/>
      </c>
      <c r="AK591" s="4" t="str">
        <f t="shared" si="257"/>
        <v/>
      </c>
      <c r="AL591" s="2" t="str">
        <f t="shared" si="258"/>
        <v/>
      </c>
      <c r="AM591" s="6" t="str">
        <f t="shared" si="259"/>
        <v/>
      </c>
      <c r="AN591" s="4" t="str">
        <f t="shared" si="260"/>
        <v/>
      </c>
      <c r="AO591" s="4" t="str">
        <f t="shared" si="261"/>
        <v/>
      </c>
      <c r="AP591" s="4" t="str">
        <f t="shared" si="262"/>
        <v/>
      </c>
      <c r="AQ591" s="4" t="str">
        <f t="shared" si="263"/>
        <v/>
      </c>
      <c r="AR591" s="4" t="str">
        <f t="shared" si="264"/>
        <v/>
      </c>
    </row>
    <row r="592" spans="8:44" s="1" customFormat="1" ht="14.25" x14ac:dyDescent="0.3">
      <c r="H592" s="50"/>
      <c r="J592" s="54"/>
      <c r="L592" s="54"/>
      <c r="R592" s="45"/>
      <c r="S592" s="54"/>
      <c r="T592" s="54"/>
      <c r="U592" s="54"/>
      <c r="V592" s="44"/>
      <c r="W592" s="27"/>
      <c r="Z592" s="27"/>
      <c r="AA592" s="8"/>
      <c r="AB592" s="81" t="str">
        <f t="shared" si="248"/>
        <v/>
      </c>
      <c r="AC592" s="6" t="str">
        <f t="shared" si="249"/>
        <v/>
      </c>
      <c r="AD592" s="1" t="str">
        <f t="shared" ca="1" si="250"/>
        <v/>
      </c>
      <c r="AE592" s="75" t="str">
        <f t="shared" si="251"/>
        <v/>
      </c>
      <c r="AF592" s="75" t="str">
        <f t="shared" si="252"/>
        <v/>
      </c>
      <c r="AG592" s="4" t="str">
        <f t="shared" si="253"/>
        <v/>
      </c>
      <c r="AH592" s="4" t="str">
        <f t="shared" si="254"/>
        <v/>
      </c>
      <c r="AI592" s="4" t="str">
        <f t="shared" si="255"/>
        <v/>
      </c>
      <c r="AJ592" s="4" t="str">
        <f t="shared" si="256"/>
        <v/>
      </c>
      <c r="AK592" s="4" t="str">
        <f t="shared" si="257"/>
        <v/>
      </c>
      <c r="AL592" s="2" t="str">
        <f t="shared" si="258"/>
        <v/>
      </c>
      <c r="AM592" s="6" t="str">
        <f t="shared" si="259"/>
        <v/>
      </c>
      <c r="AN592" s="4" t="str">
        <f t="shared" si="260"/>
        <v/>
      </c>
      <c r="AO592" s="4" t="str">
        <f t="shared" si="261"/>
        <v/>
      </c>
      <c r="AP592" s="4" t="str">
        <f t="shared" si="262"/>
        <v/>
      </c>
      <c r="AQ592" s="4" t="str">
        <f t="shared" si="263"/>
        <v/>
      </c>
      <c r="AR592" s="4" t="str">
        <f t="shared" si="264"/>
        <v/>
      </c>
    </row>
    <row r="593" spans="8:44" s="1" customFormat="1" ht="14.25" x14ac:dyDescent="0.3">
      <c r="H593" s="50"/>
      <c r="J593" s="54"/>
      <c r="L593" s="54"/>
      <c r="R593" s="45"/>
      <c r="S593" s="54"/>
      <c r="T593" s="54"/>
      <c r="U593" s="54"/>
      <c r="V593" s="44"/>
      <c r="W593" s="27"/>
      <c r="Z593" s="27"/>
      <c r="AA593" s="8"/>
      <c r="AB593" s="81" t="str">
        <f t="shared" si="248"/>
        <v/>
      </c>
      <c r="AC593" s="6" t="str">
        <f t="shared" si="249"/>
        <v/>
      </c>
      <c r="AD593" s="1" t="str">
        <f t="shared" ca="1" si="250"/>
        <v/>
      </c>
      <c r="AE593" s="75" t="str">
        <f t="shared" si="251"/>
        <v/>
      </c>
      <c r="AF593" s="75" t="str">
        <f t="shared" si="252"/>
        <v/>
      </c>
      <c r="AG593" s="4" t="str">
        <f t="shared" si="253"/>
        <v/>
      </c>
      <c r="AH593" s="4" t="str">
        <f t="shared" si="254"/>
        <v/>
      </c>
      <c r="AI593" s="4" t="str">
        <f t="shared" si="255"/>
        <v/>
      </c>
      <c r="AJ593" s="4" t="str">
        <f t="shared" si="256"/>
        <v/>
      </c>
      <c r="AK593" s="4" t="str">
        <f t="shared" si="257"/>
        <v/>
      </c>
      <c r="AL593" s="2" t="str">
        <f t="shared" si="258"/>
        <v/>
      </c>
      <c r="AM593" s="6" t="str">
        <f t="shared" si="259"/>
        <v/>
      </c>
      <c r="AN593" s="4" t="str">
        <f t="shared" si="260"/>
        <v/>
      </c>
      <c r="AO593" s="4" t="str">
        <f t="shared" si="261"/>
        <v/>
      </c>
      <c r="AP593" s="4" t="str">
        <f t="shared" si="262"/>
        <v/>
      </c>
      <c r="AQ593" s="4" t="str">
        <f t="shared" si="263"/>
        <v/>
      </c>
      <c r="AR593" s="4" t="str">
        <f t="shared" si="264"/>
        <v/>
      </c>
    </row>
    <row r="594" spans="8:44" s="1" customFormat="1" ht="14.25" x14ac:dyDescent="0.3">
      <c r="H594" s="50"/>
      <c r="J594" s="54"/>
      <c r="L594" s="54"/>
      <c r="R594" s="45"/>
      <c r="S594" s="54"/>
      <c r="T594" s="54"/>
      <c r="U594" s="54"/>
      <c r="V594" s="44"/>
      <c r="W594" s="27"/>
      <c r="Z594" s="27"/>
      <c r="AA594" s="8"/>
      <c r="AB594" s="81" t="str">
        <f t="shared" si="248"/>
        <v/>
      </c>
      <c r="AC594" s="6" t="str">
        <f t="shared" si="249"/>
        <v/>
      </c>
      <c r="AD594" s="1" t="str">
        <f t="shared" ca="1" si="250"/>
        <v/>
      </c>
      <c r="AE594" s="75" t="str">
        <f t="shared" si="251"/>
        <v/>
      </c>
      <c r="AF594" s="75" t="str">
        <f t="shared" si="252"/>
        <v/>
      </c>
      <c r="AG594" s="4" t="str">
        <f t="shared" si="253"/>
        <v/>
      </c>
      <c r="AH594" s="4" t="str">
        <f t="shared" si="254"/>
        <v/>
      </c>
      <c r="AI594" s="4" t="str">
        <f t="shared" si="255"/>
        <v/>
      </c>
      <c r="AJ594" s="4" t="str">
        <f t="shared" si="256"/>
        <v/>
      </c>
      <c r="AK594" s="4" t="str">
        <f t="shared" si="257"/>
        <v/>
      </c>
      <c r="AL594" s="2" t="str">
        <f t="shared" si="258"/>
        <v/>
      </c>
      <c r="AM594" s="6" t="str">
        <f t="shared" si="259"/>
        <v/>
      </c>
      <c r="AN594" s="4" t="str">
        <f t="shared" si="260"/>
        <v/>
      </c>
      <c r="AO594" s="4" t="str">
        <f t="shared" si="261"/>
        <v/>
      </c>
      <c r="AP594" s="4" t="str">
        <f t="shared" si="262"/>
        <v/>
      </c>
      <c r="AQ594" s="4" t="str">
        <f t="shared" si="263"/>
        <v/>
      </c>
      <c r="AR594" s="4" t="str">
        <f t="shared" si="264"/>
        <v/>
      </c>
    </row>
    <row r="595" spans="8:44" s="1" customFormat="1" ht="14.25" x14ac:dyDescent="0.3">
      <c r="H595" s="50"/>
      <c r="J595" s="54"/>
      <c r="L595" s="54"/>
      <c r="R595" s="45"/>
      <c r="S595" s="54"/>
      <c r="T595" s="54"/>
      <c r="U595" s="54"/>
      <c r="V595" s="44"/>
      <c r="W595" s="27"/>
      <c r="Z595" s="27"/>
      <c r="AA595" s="8"/>
      <c r="AB595" s="81" t="str">
        <f t="shared" si="248"/>
        <v/>
      </c>
      <c r="AC595" s="6" t="str">
        <f t="shared" si="249"/>
        <v/>
      </c>
      <c r="AD595" s="1" t="str">
        <f t="shared" ca="1" si="250"/>
        <v/>
      </c>
      <c r="AE595" s="75" t="str">
        <f t="shared" si="251"/>
        <v/>
      </c>
      <c r="AF595" s="75" t="str">
        <f t="shared" si="252"/>
        <v/>
      </c>
      <c r="AG595" s="4" t="str">
        <f t="shared" si="253"/>
        <v/>
      </c>
      <c r="AH595" s="4" t="str">
        <f t="shared" si="254"/>
        <v/>
      </c>
      <c r="AI595" s="4" t="str">
        <f t="shared" si="255"/>
        <v/>
      </c>
      <c r="AJ595" s="4" t="str">
        <f t="shared" si="256"/>
        <v/>
      </c>
      <c r="AK595" s="4" t="str">
        <f t="shared" si="257"/>
        <v/>
      </c>
      <c r="AL595" s="2" t="str">
        <f t="shared" si="258"/>
        <v/>
      </c>
      <c r="AM595" s="6" t="str">
        <f t="shared" si="259"/>
        <v/>
      </c>
      <c r="AN595" s="4" t="str">
        <f t="shared" si="260"/>
        <v/>
      </c>
      <c r="AO595" s="4" t="str">
        <f t="shared" si="261"/>
        <v/>
      </c>
      <c r="AP595" s="4" t="str">
        <f t="shared" si="262"/>
        <v/>
      </c>
      <c r="AQ595" s="4" t="str">
        <f t="shared" si="263"/>
        <v/>
      </c>
      <c r="AR595" s="4" t="str">
        <f t="shared" si="264"/>
        <v/>
      </c>
    </row>
    <row r="596" spans="8:44" s="1" customFormat="1" ht="14.25" x14ac:dyDescent="0.3">
      <c r="H596" s="50"/>
      <c r="J596" s="54"/>
      <c r="L596" s="54"/>
      <c r="R596" s="45"/>
      <c r="S596" s="54"/>
      <c r="T596" s="54"/>
      <c r="U596" s="54"/>
      <c r="V596" s="44"/>
      <c r="W596" s="27"/>
      <c r="Z596" s="27"/>
      <c r="AA596" s="8"/>
      <c r="AB596" s="81" t="str">
        <f t="shared" si="248"/>
        <v/>
      </c>
      <c r="AC596" s="6" t="str">
        <f t="shared" si="249"/>
        <v/>
      </c>
      <c r="AD596" s="1" t="str">
        <f t="shared" ca="1" si="250"/>
        <v/>
      </c>
      <c r="AE596" s="75" t="str">
        <f t="shared" si="251"/>
        <v/>
      </c>
      <c r="AF596" s="75" t="str">
        <f t="shared" si="252"/>
        <v/>
      </c>
      <c r="AG596" s="4" t="str">
        <f t="shared" si="253"/>
        <v/>
      </c>
      <c r="AH596" s="4" t="str">
        <f t="shared" si="254"/>
        <v/>
      </c>
      <c r="AI596" s="4" t="str">
        <f t="shared" si="255"/>
        <v/>
      </c>
      <c r="AJ596" s="4" t="str">
        <f t="shared" si="256"/>
        <v/>
      </c>
      <c r="AK596" s="4" t="str">
        <f t="shared" si="257"/>
        <v/>
      </c>
      <c r="AL596" s="2" t="str">
        <f t="shared" si="258"/>
        <v/>
      </c>
      <c r="AM596" s="6" t="str">
        <f t="shared" si="259"/>
        <v/>
      </c>
      <c r="AN596" s="4" t="str">
        <f t="shared" si="260"/>
        <v/>
      </c>
      <c r="AO596" s="4" t="str">
        <f t="shared" si="261"/>
        <v/>
      </c>
      <c r="AP596" s="4" t="str">
        <f t="shared" si="262"/>
        <v/>
      </c>
      <c r="AQ596" s="4" t="str">
        <f t="shared" si="263"/>
        <v/>
      </c>
      <c r="AR596" s="4" t="str">
        <f t="shared" si="264"/>
        <v/>
      </c>
    </row>
    <row r="597" spans="8:44" s="1" customFormat="1" ht="14.25" x14ac:dyDescent="0.3">
      <c r="H597" s="50"/>
      <c r="J597" s="54"/>
      <c r="L597" s="54"/>
      <c r="R597" s="45"/>
      <c r="S597" s="54"/>
      <c r="T597" s="54"/>
      <c r="U597" s="54"/>
      <c r="V597" s="44"/>
      <c r="W597" s="27"/>
      <c r="Z597" s="27"/>
      <c r="AA597" s="8"/>
      <c r="AB597" s="81" t="str">
        <f t="shared" si="248"/>
        <v/>
      </c>
      <c r="AC597" s="6" t="str">
        <f t="shared" si="249"/>
        <v/>
      </c>
      <c r="AD597" s="1" t="str">
        <f t="shared" ca="1" si="250"/>
        <v/>
      </c>
      <c r="AE597" s="75" t="str">
        <f t="shared" si="251"/>
        <v/>
      </c>
      <c r="AF597" s="75" t="str">
        <f t="shared" si="252"/>
        <v/>
      </c>
      <c r="AG597" s="4" t="str">
        <f t="shared" si="253"/>
        <v/>
      </c>
      <c r="AH597" s="4" t="str">
        <f t="shared" si="254"/>
        <v/>
      </c>
      <c r="AI597" s="4" t="str">
        <f t="shared" si="255"/>
        <v/>
      </c>
      <c r="AJ597" s="4" t="str">
        <f t="shared" si="256"/>
        <v/>
      </c>
      <c r="AK597" s="4" t="str">
        <f t="shared" si="257"/>
        <v/>
      </c>
      <c r="AL597" s="2" t="str">
        <f t="shared" si="258"/>
        <v/>
      </c>
      <c r="AM597" s="6" t="str">
        <f t="shared" si="259"/>
        <v/>
      </c>
      <c r="AN597" s="4" t="str">
        <f t="shared" si="260"/>
        <v/>
      </c>
      <c r="AO597" s="4" t="str">
        <f t="shared" si="261"/>
        <v/>
      </c>
      <c r="AP597" s="4" t="str">
        <f t="shared" si="262"/>
        <v/>
      </c>
      <c r="AQ597" s="4" t="str">
        <f t="shared" si="263"/>
        <v/>
      </c>
      <c r="AR597" s="4" t="str">
        <f t="shared" si="264"/>
        <v/>
      </c>
    </row>
    <row r="598" spans="8:44" s="1" customFormat="1" ht="14.25" x14ac:dyDescent="0.3">
      <c r="H598" s="50"/>
      <c r="J598" s="54"/>
      <c r="L598" s="54"/>
      <c r="R598" s="45"/>
      <c r="S598" s="54"/>
      <c r="T598" s="54"/>
      <c r="U598" s="54"/>
      <c r="V598" s="44"/>
      <c r="W598" s="27"/>
      <c r="Z598" s="27"/>
      <c r="AA598" s="8"/>
      <c r="AB598" s="81" t="str">
        <f t="shared" si="248"/>
        <v/>
      </c>
      <c r="AC598" s="6" t="str">
        <f t="shared" si="249"/>
        <v/>
      </c>
      <c r="AD598" s="1" t="str">
        <f t="shared" ca="1" si="250"/>
        <v/>
      </c>
      <c r="AE598" s="75" t="str">
        <f t="shared" si="251"/>
        <v/>
      </c>
      <c r="AF598" s="75" t="str">
        <f t="shared" si="252"/>
        <v/>
      </c>
      <c r="AG598" s="4" t="str">
        <f t="shared" si="253"/>
        <v/>
      </c>
      <c r="AH598" s="4" t="str">
        <f t="shared" si="254"/>
        <v/>
      </c>
      <c r="AI598" s="4" t="str">
        <f t="shared" si="255"/>
        <v/>
      </c>
      <c r="AJ598" s="4" t="str">
        <f t="shared" si="256"/>
        <v/>
      </c>
      <c r="AK598" s="4" t="str">
        <f t="shared" si="257"/>
        <v/>
      </c>
      <c r="AL598" s="2" t="str">
        <f t="shared" si="258"/>
        <v/>
      </c>
      <c r="AM598" s="6" t="str">
        <f t="shared" si="259"/>
        <v/>
      </c>
      <c r="AN598" s="4" t="str">
        <f t="shared" si="260"/>
        <v/>
      </c>
      <c r="AO598" s="4" t="str">
        <f t="shared" si="261"/>
        <v/>
      </c>
      <c r="AP598" s="4" t="str">
        <f t="shared" si="262"/>
        <v/>
      </c>
      <c r="AQ598" s="4" t="str">
        <f t="shared" si="263"/>
        <v/>
      </c>
      <c r="AR598" s="4" t="str">
        <f t="shared" si="264"/>
        <v/>
      </c>
    </row>
    <row r="599" spans="8:44" s="1" customFormat="1" ht="14.25" x14ac:dyDescent="0.3">
      <c r="H599" s="50"/>
      <c r="J599" s="54"/>
      <c r="L599" s="54"/>
      <c r="R599" s="45"/>
      <c r="S599" s="54"/>
      <c r="T599" s="54"/>
      <c r="U599" s="54"/>
      <c r="V599" s="44"/>
      <c r="W599" s="27"/>
      <c r="Z599" s="27"/>
      <c r="AA599" s="8"/>
      <c r="AB599" s="81" t="str">
        <f t="shared" si="248"/>
        <v/>
      </c>
      <c r="AC599" s="6" t="str">
        <f t="shared" si="249"/>
        <v/>
      </c>
      <c r="AD599" s="1" t="str">
        <f t="shared" ca="1" si="250"/>
        <v/>
      </c>
      <c r="AE599" s="75" t="str">
        <f t="shared" si="251"/>
        <v/>
      </c>
      <c r="AF599" s="75" t="str">
        <f t="shared" si="252"/>
        <v/>
      </c>
      <c r="AG599" s="4" t="str">
        <f t="shared" si="253"/>
        <v/>
      </c>
      <c r="AH599" s="4" t="str">
        <f t="shared" si="254"/>
        <v/>
      </c>
      <c r="AI599" s="4" t="str">
        <f t="shared" si="255"/>
        <v/>
      </c>
      <c r="AJ599" s="4" t="str">
        <f t="shared" si="256"/>
        <v/>
      </c>
      <c r="AK599" s="4" t="str">
        <f t="shared" si="257"/>
        <v/>
      </c>
      <c r="AL599" s="2" t="str">
        <f t="shared" si="258"/>
        <v/>
      </c>
      <c r="AM599" s="6" t="str">
        <f t="shared" si="259"/>
        <v/>
      </c>
      <c r="AN599" s="4" t="str">
        <f t="shared" si="260"/>
        <v/>
      </c>
      <c r="AO599" s="4" t="str">
        <f t="shared" si="261"/>
        <v/>
      </c>
      <c r="AP599" s="4" t="str">
        <f t="shared" si="262"/>
        <v/>
      </c>
      <c r="AQ599" s="4" t="str">
        <f t="shared" si="263"/>
        <v/>
      </c>
      <c r="AR599" s="4" t="str">
        <f t="shared" si="264"/>
        <v/>
      </c>
    </row>
    <row r="600" spans="8:44" s="1" customFormat="1" ht="14.25" x14ac:dyDescent="0.3">
      <c r="H600" s="50"/>
      <c r="J600" s="54"/>
      <c r="L600" s="54"/>
      <c r="R600" s="45"/>
      <c r="S600" s="54"/>
      <c r="T600" s="54"/>
      <c r="U600" s="54"/>
      <c r="V600" s="44"/>
      <c r="W600" s="27"/>
      <c r="Z600" s="27"/>
      <c r="AA600" s="8"/>
      <c r="AB600" s="81" t="str">
        <f t="shared" si="248"/>
        <v/>
      </c>
      <c r="AC600" s="6" t="str">
        <f t="shared" si="249"/>
        <v/>
      </c>
      <c r="AD600" s="1" t="str">
        <f t="shared" ca="1" si="250"/>
        <v/>
      </c>
      <c r="AE600" s="75" t="str">
        <f t="shared" si="251"/>
        <v/>
      </c>
      <c r="AF600" s="75" t="str">
        <f t="shared" si="252"/>
        <v/>
      </c>
      <c r="AG600" s="4" t="str">
        <f t="shared" si="253"/>
        <v/>
      </c>
      <c r="AH600" s="4" t="str">
        <f t="shared" si="254"/>
        <v/>
      </c>
      <c r="AI600" s="4" t="str">
        <f t="shared" si="255"/>
        <v/>
      </c>
      <c r="AJ600" s="4" t="str">
        <f t="shared" si="256"/>
        <v/>
      </c>
      <c r="AK600" s="4" t="str">
        <f t="shared" si="257"/>
        <v/>
      </c>
      <c r="AL600" s="2" t="str">
        <f t="shared" si="258"/>
        <v/>
      </c>
      <c r="AM600" s="6" t="str">
        <f t="shared" si="259"/>
        <v/>
      </c>
      <c r="AN600" s="4" t="str">
        <f t="shared" si="260"/>
        <v/>
      </c>
      <c r="AO600" s="4" t="str">
        <f t="shared" si="261"/>
        <v/>
      </c>
      <c r="AP600" s="4" t="str">
        <f t="shared" si="262"/>
        <v/>
      </c>
      <c r="AQ600" s="4" t="str">
        <f t="shared" si="263"/>
        <v/>
      </c>
      <c r="AR600" s="4" t="str">
        <f t="shared" si="264"/>
        <v/>
      </c>
    </row>
    <row r="601" spans="8:44" s="1" customFormat="1" ht="14.25" x14ac:dyDescent="0.3">
      <c r="H601" s="50"/>
      <c r="J601" s="54"/>
      <c r="L601" s="54"/>
      <c r="R601" s="45"/>
      <c r="S601" s="54"/>
      <c r="T601" s="54"/>
      <c r="U601" s="54"/>
      <c r="V601" s="44"/>
      <c r="W601" s="27"/>
      <c r="Z601" s="27"/>
      <c r="AA601" s="8"/>
      <c r="AB601" s="81" t="str">
        <f t="shared" si="248"/>
        <v/>
      </c>
      <c r="AC601" s="6" t="str">
        <f t="shared" si="249"/>
        <v/>
      </c>
      <c r="AD601" s="1" t="str">
        <f t="shared" ca="1" si="250"/>
        <v/>
      </c>
      <c r="AE601" s="75" t="str">
        <f t="shared" si="251"/>
        <v/>
      </c>
      <c r="AF601" s="75" t="str">
        <f t="shared" si="252"/>
        <v/>
      </c>
      <c r="AG601" s="4" t="str">
        <f t="shared" si="253"/>
        <v/>
      </c>
      <c r="AH601" s="4" t="str">
        <f t="shared" si="254"/>
        <v/>
      </c>
      <c r="AI601" s="4" t="str">
        <f t="shared" si="255"/>
        <v/>
      </c>
      <c r="AJ601" s="4" t="str">
        <f t="shared" si="256"/>
        <v/>
      </c>
      <c r="AK601" s="4" t="str">
        <f t="shared" si="257"/>
        <v/>
      </c>
      <c r="AL601" s="2" t="str">
        <f t="shared" si="258"/>
        <v/>
      </c>
      <c r="AM601" s="6" t="str">
        <f t="shared" si="259"/>
        <v/>
      </c>
      <c r="AN601" s="4" t="str">
        <f t="shared" si="260"/>
        <v/>
      </c>
      <c r="AO601" s="4" t="str">
        <f t="shared" si="261"/>
        <v/>
      </c>
      <c r="AP601" s="4" t="str">
        <f t="shared" si="262"/>
        <v/>
      </c>
      <c r="AQ601" s="4" t="str">
        <f t="shared" si="263"/>
        <v/>
      </c>
      <c r="AR601" s="4" t="str">
        <f t="shared" si="264"/>
        <v/>
      </c>
    </row>
    <row r="602" spans="8:44" s="1" customFormat="1" ht="14.25" x14ac:dyDescent="0.3">
      <c r="H602" s="50"/>
      <c r="J602" s="54"/>
      <c r="L602" s="54"/>
      <c r="R602" s="45"/>
      <c r="S602" s="54"/>
      <c r="T602" s="54"/>
      <c r="U602" s="54"/>
      <c r="V602" s="44"/>
      <c r="W602" s="27"/>
      <c r="Z602" s="27"/>
      <c r="AA602" s="8"/>
      <c r="AB602" s="81" t="str">
        <f t="shared" si="248"/>
        <v/>
      </c>
      <c r="AC602" s="6" t="str">
        <f t="shared" si="249"/>
        <v/>
      </c>
      <c r="AD602" s="1" t="str">
        <f t="shared" ca="1" si="250"/>
        <v/>
      </c>
      <c r="AE602" s="75" t="str">
        <f t="shared" si="251"/>
        <v/>
      </c>
      <c r="AF602" s="75" t="str">
        <f t="shared" si="252"/>
        <v/>
      </c>
      <c r="AG602" s="4" t="str">
        <f t="shared" si="253"/>
        <v/>
      </c>
      <c r="AH602" s="4" t="str">
        <f t="shared" si="254"/>
        <v/>
      </c>
      <c r="AI602" s="4" t="str">
        <f t="shared" si="255"/>
        <v/>
      </c>
      <c r="AJ602" s="4" t="str">
        <f t="shared" si="256"/>
        <v/>
      </c>
      <c r="AK602" s="4" t="str">
        <f t="shared" si="257"/>
        <v/>
      </c>
      <c r="AL602" s="2" t="str">
        <f t="shared" si="258"/>
        <v/>
      </c>
      <c r="AM602" s="6" t="str">
        <f t="shared" si="259"/>
        <v/>
      </c>
      <c r="AN602" s="4" t="str">
        <f t="shared" si="260"/>
        <v/>
      </c>
      <c r="AO602" s="4" t="str">
        <f t="shared" si="261"/>
        <v/>
      </c>
      <c r="AP602" s="4" t="str">
        <f t="shared" si="262"/>
        <v/>
      </c>
      <c r="AQ602" s="4" t="str">
        <f t="shared" si="263"/>
        <v/>
      </c>
      <c r="AR602" s="4" t="str">
        <f t="shared" si="264"/>
        <v/>
      </c>
    </row>
    <row r="603" spans="8:44" s="1" customFormat="1" ht="14.25" x14ac:dyDescent="0.3">
      <c r="H603" s="50"/>
      <c r="J603" s="54"/>
      <c r="L603" s="54"/>
      <c r="R603" s="45"/>
      <c r="S603" s="54"/>
      <c r="T603" s="54"/>
      <c r="U603" s="54"/>
      <c r="V603" s="44"/>
      <c r="W603" s="27"/>
      <c r="Z603" s="27"/>
      <c r="AA603" s="8"/>
      <c r="AB603" s="81" t="str">
        <f t="shared" si="248"/>
        <v/>
      </c>
      <c r="AC603" s="6" t="str">
        <f t="shared" si="249"/>
        <v/>
      </c>
      <c r="AD603" s="1" t="str">
        <f t="shared" ca="1" si="250"/>
        <v/>
      </c>
      <c r="AE603" s="75" t="str">
        <f t="shared" si="251"/>
        <v/>
      </c>
      <c r="AF603" s="75" t="str">
        <f t="shared" si="252"/>
        <v/>
      </c>
      <c r="AG603" s="4" t="str">
        <f t="shared" si="253"/>
        <v/>
      </c>
      <c r="AH603" s="4" t="str">
        <f t="shared" si="254"/>
        <v/>
      </c>
      <c r="AI603" s="4" t="str">
        <f t="shared" si="255"/>
        <v/>
      </c>
      <c r="AJ603" s="4" t="str">
        <f t="shared" si="256"/>
        <v/>
      </c>
      <c r="AK603" s="4" t="str">
        <f t="shared" si="257"/>
        <v/>
      </c>
      <c r="AL603" s="2" t="str">
        <f t="shared" si="258"/>
        <v/>
      </c>
      <c r="AM603" s="6" t="str">
        <f t="shared" si="259"/>
        <v/>
      </c>
      <c r="AN603" s="4" t="str">
        <f t="shared" si="260"/>
        <v/>
      </c>
      <c r="AO603" s="4" t="str">
        <f t="shared" si="261"/>
        <v/>
      </c>
      <c r="AP603" s="4" t="str">
        <f t="shared" si="262"/>
        <v/>
      </c>
      <c r="AQ603" s="4" t="str">
        <f t="shared" si="263"/>
        <v/>
      </c>
      <c r="AR603" s="4" t="str">
        <f t="shared" si="264"/>
        <v/>
      </c>
    </row>
    <row r="604" spans="8:44" s="1" customFormat="1" ht="14.25" x14ac:dyDescent="0.3">
      <c r="H604" s="50"/>
      <c r="J604" s="54"/>
      <c r="L604" s="54"/>
      <c r="R604" s="45"/>
      <c r="S604" s="54"/>
      <c r="T604" s="54"/>
      <c r="U604" s="54"/>
      <c r="V604" s="44"/>
      <c r="W604" s="27"/>
      <c r="Z604" s="27"/>
      <c r="AA604" s="8"/>
      <c r="AB604" s="81" t="str">
        <f t="shared" si="248"/>
        <v/>
      </c>
      <c r="AC604" s="6" t="str">
        <f t="shared" si="249"/>
        <v/>
      </c>
      <c r="AD604" s="1" t="str">
        <f t="shared" ca="1" si="250"/>
        <v/>
      </c>
      <c r="AE604" s="75" t="str">
        <f t="shared" si="251"/>
        <v/>
      </c>
      <c r="AF604" s="75" t="str">
        <f t="shared" si="252"/>
        <v/>
      </c>
      <c r="AG604" s="4" t="str">
        <f t="shared" si="253"/>
        <v/>
      </c>
      <c r="AH604" s="4" t="str">
        <f t="shared" si="254"/>
        <v/>
      </c>
      <c r="AI604" s="4" t="str">
        <f t="shared" si="255"/>
        <v/>
      </c>
      <c r="AJ604" s="4" t="str">
        <f t="shared" si="256"/>
        <v/>
      </c>
      <c r="AK604" s="4" t="str">
        <f t="shared" si="257"/>
        <v/>
      </c>
      <c r="AL604" s="2" t="str">
        <f t="shared" si="258"/>
        <v/>
      </c>
      <c r="AM604" s="6" t="str">
        <f t="shared" si="259"/>
        <v/>
      </c>
      <c r="AN604" s="4" t="str">
        <f t="shared" si="260"/>
        <v/>
      </c>
      <c r="AO604" s="4" t="str">
        <f t="shared" si="261"/>
        <v/>
      </c>
      <c r="AP604" s="4" t="str">
        <f t="shared" si="262"/>
        <v/>
      </c>
      <c r="AQ604" s="4" t="str">
        <f t="shared" si="263"/>
        <v/>
      </c>
      <c r="AR604" s="4" t="str">
        <f t="shared" si="264"/>
        <v/>
      </c>
    </row>
    <row r="605" spans="8:44" s="1" customFormat="1" ht="14.25" x14ac:dyDescent="0.3">
      <c r="H605" s="50"/>
      <c r="J605" s="54"/>
      <c r="L605" s="54"/>
      <c r="R605" s="45"/>
      <c r="S605" s="54"/>
      <c r="T605" s="54"/>
      <c r="U605" s="54"/>
      <c r="V605" s="44"/>
      <c r="W605" s="27"/>
      <c r="Z605" s="27"/>
      <c r="AA605" s="8"/>
      <c r="AB605" s="81" t="str">
        <f t="shared" si="248"/>
        <v/>
      </c>
      <c r="AC605" s="6" t="str">
        <f t="shared" si="249"/>
        <v/>
      </c>
      <c r="AD605" s="1" t="str">
        <f t="shared" ca="1" si="250"/>
        <v/>
      </c>
      <c r="AE605" s="75" t="str">
        <f t="shared" si="251"/>
        <v/>
      </c>
      <c r="AF605" s="75" t="str">
        <f t="shared" si="252"/>
        <v/>
      </c>
      <c r="AG605" s="4" t="str">
        <f t="shared" si="253"/>
        <v/>
      </c>
      <c r="AH605" s="4" t="str">
        <f t="shared" si="254"/>
        <v/>
      </c>
      <c r="AI605" s="4" t="str">
        <f t="shared" si="255"/>
        <v/>
      </c>
      <c r="AJ605" s="4" t="str">
        <f t="shared" si="256"/>
        <v/>
      </c>
      <c r="AK605" s="4" t="str">
        <f t="shared" si="257"/>
        <v/>
      </c>
      <c r="AL605" s="2" t="str">
        <f t="shared" si="258"/>
        <v/>
      </c>
      <c r="AM605" s="6" t="str">
        <f t="shared" si="259"/>
        <v/>
      </c>
      <c r="AN605" s="4" t="str">
        <f t="shared" si="260"/>
        <v/>
      </c>
      <c r="AO605" s="4" t="str">
        <f t="shared" si="261"/>
        <v/>
      </c>
      <c r="AP605" s="4" t="str">
        <f t="shared" si="262"/>
        <v/>
      </c>
      <c r="AQ605" s="4" t="str">
        <f t="shared" si="263"/>
        <v/>
      </c>
      <c r="AR605" s="4" t="str">
        <f t="shared" si="264"/>
        <v/>
      </c>
    </row>
    <row r="606" spans="8:44" s="1" customFormat="1" ht="14.25" x14ac:dyDescent="0.3">
      <c r="H606" s="50"/>
      <c r="J606" s="54"/>
      <c r="L606" s="54"/>
      <c r="R606" s="45"/>
      <c r="S606" s="54"/>
      <c r="T606" s="54"/>
      <c r="U606" s="54"/>
      <c r="V606" s="44"/>
      <c r="W606" s="27"/>
      <c r="Z606" s="27"/>
      <c r="AA606" s="8"/>
      <c r="AB606" s="81" t="str">
        <f t="shared" si="248"/>
        <v/>
      </c>
      <c r="AC606" s="6" t="str">
        <f t="shared" si="249"/>
        <v/>
      </c>
      <c r="AD606" s="1" t="str">
        <f t="shared" ca="1" si="250"/>
        <v/>
      </c>
      <c r="AE606" s="75" t="str">
        <f t="shared" si="251"/>
        <v/>
      </c>
      <c r="AF606" s="75" t="str">
        <f t="shared" si="252"/>
        <v/>
      </c>
      <c r="AG606" s="4" t="str">
        <f t="shared" si="253"/>
        <v/>
      </c>
      <c r="AH606" s="4" t="str">
        <f t="shared" si="254"/>
        <v/>
      </c>
      <c r="AI606" s="4" t="str">
        <f t="shared" si="255"/>
        <v/>
      </c>
      <c r="AJ606" s="4" t="str">
        <f t="shared" si="256"/>
        <v/>
      </c>
      <c r="AK606" s="4" t="str">
        <f t="shared" si="257"/>
        <v/>
      </c>
      <c r="AL606" s="2" t="str">
        <f t="shared" si="258"/>
        <v/>
      </c>
      <c r="AM606" s="6" t="str">
        <f t="shared" si="259"/>
        <v/>
      </c>
      <c r="AN606" s="4" t="str">
        <f t="shared" si="260"/>
        <v/>
      </c>
      <c r="AO606" s="4" t="str">
        <f t="shared" si="261"/>
        <v/>
      </c>
      <c r="AP606" s="4" t="str">
        <f t="shared" si="262"/>
        <v/>
      </c>
      <c r="AQ606" s="4" t="str">
        <f t="shared" si="263"/>
        <v/>
      </c>
      <c r="AR606" s="4" t="str">
        <f t="shared" si="264"/>
        <v/>
      </c>
    </row>
    <row r="607" spans="8:44" s="1" customFormat="1" ht="14.25" x14ac:dyDescent="0.3">
      <c r="H607" s="50"/>
      <c r="J607" s="54"/>
      <c r="L607" s="54"/>
      <c r="R607" s="45"/>
      <c r="S607" s="54"/>
      <c r="T607" s="54"/>
      <c r="U607" s="54"/>
      <c r="V607" s="44"/>
      <c r="W607" s="27"/>
      <c r="Z607" s="27"/>
      <c r="AA607" s="8"/>
      <c r="AB607" s="81" t="str">
        <f t="shared" si="248"/>
        <v/>
      </c>
      <c r="AC607" s="6" t="str">
        <f t="shared" si="249"/>
        <v/>
      </c>
      <c r="AD607" s="1" t="str">
        <f t="shared" ca="1" si="250"/>
        <v/>
      </c>
      <c r="AE607" s="75" t="str">
        <f t="shared" si="251"/>
        <v/>
      </c>
      <c r="AF607" s="75" t="str">
        <f t="shared" si="252"/>
        <v/>
      </c>
      <c r="AG607" s="4" t="str">
        <f t="shared" si="253"/>
        <v/>
      </c>
      <c r="AH607" s="4" t="str">
        <f t="shared" si="254"/>
        <v/>
      </c>
      <c r="AI607" s="4" t="str">
        <f t="shared" si="255"/>
        <v/>
      </c>
      <c r="AJ607" s="4" t="str">
        <f t="shared" si="256"/>
        <v/>
      </c>
      <c r="AK607" s="4" t="str">
        <f t="shared" si="257"/>
        <v/>
      </c>
      <c r="AL607" s="2" t="str">
        <f t="shared" si="258"/>
        <v/>
      </c>
      <c r="AM607" s="6" t="str">
        <f t="shared" si="259"/>
        <v/>
      </c>
      <c r="AN607" s="4" t="str">
        <f t="shared" si="260"/>
        <v/>
      </c>
      <c r="AO607" s="4" t="str">
        <f t="shared" si="261"/>
        <v/>
      </c>
      <c r="AP607" s="4" t="str">
        <f t="shared" si="262"/>
        <v/>
      </c>
      <c r="AQ607" s="4" t="str">
        <f t="shared" si="263"/>
        <v/>
      </c>
      <c r="AR607" s="4" t="str">
        <f t="shared" si="264"/>
        <v/>
      </c>
    </row>
    <row r="608" spans="8:44" s="1" customFormat="1" ht="14.25" x14ac:dyDescent="0.3">
      <c r="H608" s="50"/>
      <c r="J608" s="54"/>
      <c r="L608" s="54"/>
      <c r="R608" s="45"/>
      <c r="S608" s="54"/>
      <c r="T608" s="54"/>
      <c r="U608" s="54"/>
      <c r="V608" s="44"/>
      <c r="W608" s="27"/>
      <c r="Z608" s="27"/>
      <c r="AA608" s="8"/>
      <c r="AB608" s="81" t="str">
        <f t="shared" si="248"/>
        <v/>
      </c>
      <c r="AC608" s="6" t="str">
        <f t="shared" si="249"/>
        <v/>
      </c>
      <c r="AD608" s="1" t="str">
        <f t="shared" ca="1" si="250"/>
        <v/>
      </c>
      <c r="AE608" s="75" t="str">
        <f t="shared" si="251"/>
        <v/>
      </c>
      <c r="AF608" s="75" t="str">
        <f t="shared" si="252"/>
        <v/>
      </c>
      <c r="AG608" s="4" t="str">
        <f t="shared" si="253"/>
        <v/>
      </c>
      <c r="AH608" s="4" t="str">
        <f t="shared" si="254"/>
        <v/>
      </c>
      <c r="AI608" s="4" t="str">
        <f t="shared" si="255"/>
        <v/>
      </c>
      <c r="AJ608" s="4" t="str">
        <f t="shared" si="256"/>
        <v/>
      </c>
      <c r="AK608" s="4" t="str">
        <f t="shared" si="257"/>
        <v/>
      </c>
      <c r="AL608" s="2" t="str">
        <f t="shared" si="258"/>
        <v/>
      </c>
      <c r="AM608" s="6" t="str">
        <f t="shared" si="259"/>
        <v/>
      </c>
      <c r="AN608" s="4" t="str">
        <f t="shared" si="260"/>
        <v/>
      </c>
      <c r="AO608" s="4" t="str">
        <f t="shared" si="261"/>
        <v/>
      </c>
      <c r="AP608" s="4" t="str">
        <f t="shared" si="262"/>
        <v/>
      </c>
      <c r="AQ608" s="4" t="str">
        <f t="shared" si="263"/>
        <v/>
      </c>
      <c r="AR608" s="4" t="str">
        <f t="shared" si="264"/>
        <v/>
      </c>
    </row>
    <row r="609" spans="8:44" s="1" customFormat="1" ht="14.25" x14ac:dyDescent="0.3">
      <c r="H609" s="50"/>
      <c r="J609" s="54"/>
      <c r="L609" s="54"/>
      <c r="R609" s="45"/>
      <c r="S609" s="54"/>
      <c r="T609" s="54"/>
      <c r="U609" s="54"/>
      <c r="V609" s="44"/>
      <c r="W609" s="27"/>
      <c r="Z609" s="27"/>
      <c r="AA609" s="8"/>
      <c r="AB609" s="81" t="str">
        <f t="shared" si="248"/>
        <v/>
      </c>
      <c r="AC609" s="6" t="str">
        <f t="shared" si="249"/>
        <v/>
      </c>
      <c r="AD609" s="1" t="str">
        <f t="shared" ca="1" si="250"/>
        <v/>
      </c>
      <c r="AE609" s="75" t="str">
        <f t="shared" si="251"/>
        <v/>
      </c>
      <c r="AF609" s="75" t="str">
        <f t="shared" si="252"/>
        <v/>
      </c>
      <c r="AG609" s="4" t="str">
        <f t="shared" si="253"/>
        <v/>
      </c>
      <c r="AH609" s="4" t="str">
        <f t="shared" si="254"/>
        <v/>
      </c>
      <c r="AI609" s="4" t="str">
        <f t="shared" si="255"/>
        <v/>
      </c>
      <c r="AJ609" s="4" t="str">
        <f t="shared" si="256"/>
        <v/>
      </c>
      <c r="AK609" s="4" t="str">
        <f t="shared" si="257"/>
        <v/>
      </c>
      <c r="AL609" s="2" t="str">
        <f t="shared" si="258"/>
        <v/>
      </c>
      <c r="AM609" s="6" t="str">
        <f t="shared" si="259"/>
        <v/>
      </c>
      <c r="AN609" s="4" t="str">
        <f t="shared" si="260"/>
        <v/>
      </c>
      <c r="AO609" s="4" t="str">
        <f t="shared" si="261"/>
        <v/>
      </c>
      <c r="AP609" s="4" t="str">
        <f t="shared" si="262"/>
        <v/>
      </c>
      <c r="AQ609" s="4" t="str">
        <f t="shared" si="263"/>
        <v/>
      </c>
      <c r="AR609" s="4" t="str">
        <f t="shared" si="264"/>
        <v/>
      </c>
    </row>
    <row r="610" spans="8:44" s="1" customFormat="1" ht="14.25" x14ac:dyDescent="0.3">
      <c r="H610" s="50"/>
      <c r="J610" s="54"/>
      <c r="L610" s="54"/>
      <c r="R610" s="45"/>
      <c r="S610" s="54"/>
      <c r="T610" s="54"/>
      <c r="U610" s="54"/>
      <c r="V610" s="44"/>
      <c r="W610" s="27"/>
      <c r="Z610" s="27"/>
      <c r="AA610" s="8"/>
      <c r="AB610" s="81" t="str">
        <f t="shared" si="248"/>
        <v/>
      </c>
      <c r="AC610" s="6" t="str">
        <f t="shared" si="249"/>
        <v/>
      </c>
      <c r="AD610" s="1" t="str">
        <f t="shared" ca="1" si="250"/>
        <v/>
      </c>
      <c r="AE610" s="75" t="str">
        <f t="shared" si="251"/>
        <v/>
      </c>
      <c r="AF610" s="75" t="str">
        <f t="shared" si="252"/>
        <v/>
      </c>
      <c r="AG610" s="4" t="str">
        <f t="shared" si="253"/>
        <v/>
      </c>
      <c r="AH610" s="4" t="str">
        <f t="shared" si="254"/>
        <v/>
      </c>
      <c r="AI610" s="4" t="str">
        <f t="shared" si="255"/>
        <v/>
      </c>
      <c r="AJ610" s="4" t="str">
        <f t="shared" si="256"/>
        <v/>
      </c>
      <c r="AK610" s="4" t="str">
        <f t="shared" si="257"/>
        <v/>
      </c>
      <c r="AL610" s="2" t="str">
        <f t="shared" si="258"/>
        <v/>
      </c>
      <c r="AM610" s="6" t="str">
        <f t="shared" si="259"/>
        <v/>
      </c>
      <c r="AN610" s="4" t="str">
        <f t="shared" si="260"/>
        <v/>
      </c>
      <c r="AO610" s="4" t="str">
        <f t="shared" si="261"/>
        <v/>
      </c>
      <c r="AP610" s="4" t="str">
        <f t="shared" si="262"/>
        <v/>
      </c>
      <c r="AQ610" s="4" t="str">
        <f t="shared" si="263"/>
        <v/>
      </c>
      <c r="AR610" s="4" t="str">
        <f t="shared" si="264"/>
        <v/>
      </c>
    </row>
    <row r="611" spans="8:44" s="1" customFormat="1" ht="14.25" x14ac:dyDescent="0.3">
      <c r="H611" s="50"/>
      <c r="J611" s="54"/>
      <c r="L611" s="54"/>
      <c r="R611" s="45"/>
      <c r="S611" s="54"/>
      <c r="T611" s="54"/>
      <c r="U611" s="54"/>
      <c r="V611" s="44"/>
      <c r="W611" s="27"/>
      <c r="Z611" s="27"/>
      <c r="AA611" s="8"/>
      <c r="AB611" s="81" t="str">
        <f t="shared" si="248"/>
        <v/>
      </c>
      <c r="AC611" s="6" t="str">
        <f t="shared" si="249"/>
        <v/>
      </c>
      <c r="AD611" s="1" t="str">
        <f t="shared" ca="1" si="250"/>
        <v/>
      </c>
      <c r="AE611" s="75" t="str">
        <f t="shared" si="251"/>
        <v/>
      </c>
      <c r="AF611" s="75" t="str">
        <f t="shared" si="252"/>
        <v/>
      </c>
      <c r="AG611" s="4" t="str">
        <f t="shared" si="253"/>
        <v/>
      </c>
      <c r="AH611" s="4" t="str">
        <f t="shared" si="254"/>
        <v/>
      </c>
      <c r="AI611" s="4" t="str">
        <f t="shared" si="255"/>
        <v/>
      </c>
      <c r="AJ611" s="4" t="str">
        <f t="shared" si="256"/>
        <v/>
      </c>
      <c r="AK611" s="4" t="str">
        <f t="shared" si="257"/>
        <v/>
      </c>
      <c r="AL611" s="2" t="str">
        <f t="shared" si="258"/>
        <v/>
      </c>
      <c r="AM611" s="6" t="str">
        <f t="shared" si="259"/>
        <v/>
      </c>
      <c r="AN611" s="4" t="str">
        <f t="shared" si="260"/>
        <v/>
      </c>
      <c r="AO611" s="4" t="str">
        <f t="shared" si="261"/>
        <v/>
      </c>
      <c r="AP611" s="4" t="str">
        <f t="shared" si="262"/>
        <v/>
      </c>
      <c r="AQ611" s="4" t="str">
        <f t="shared" si="263"/>
        <v/>
      </c>
      <c r="AR611" s="4" t="str">
        <f t="shared" si="264"/>
        <v/>
      </c>
    </row>
    <row r="612" spans="8:44" s="1" customFormat="1" ht="14.25" x14ac:dyDescent="0.3">
      <c r="H612" s="50"/>
      <c r="J612" s="54"/>
      <c r="L612" s="54"/>
      <c r="R612" s="45"/>
      <c r="S612" s="54"/>
      <c r="T612" s="54"/>
      <c r="U612" s="54"/>
      <c r="V612" s="44"/>
      <c r="W612" s="27"/>
      <c r="Z612" s="27"/>
      <c r="AA612" s="8"/>
      <c r="AB612" s="81" t="str">
        <f t="shared" si="248"/>
        <v/>
      </c>
      <c r="AC612" s="6" t="str">
        <f t="shared" si="249"/>
        <v/>
      </c>
      <c r="AD612" s="1" t="str">
        <f t="shared" ca="1" si="250"/>
        <v/>
      </c>
      <c r="AE612" s="75" t="str">
        <f t="shared" si="251"/>
        <v/>
      </c>
      <c r="AF612" s="75" t="str">
        <f t="shared" si="252"/>
        <v/>
      </c>
      <c r="AG612" s="4" t="str">
        <f t="shared" si="253"/>
        <v/>
      </c>
      <c r="AH612" s="4" t="str">
        <f t="shared" si="254"/>
        <v/>
      </c>
      <c r="AI612" s="4" t="str">
        <f t="shared" si="255"/>
        <v/>
      </c>
      <c r="AJ612" s="4" t="str">
        <f t="shared" si="256"/>
        <v/>
      </c>
      <c r="AK612" s="4" t="str">
        <f t="shared" si="257"/>
        <v/>
      </c>
      <c r="AL612" s="2" t="str">
        <f t="shared" si="258"/>
        <v/>
      </c>
      <c r="AM612" s="6" t="str">
        <f t="shared" si="259"/>
        <v/>
      </c>
      <c r="AN612" s="4" t="str">
        <f t="shared" si="260"/>
        <v/>
      </c>
      <c r="AO612" s="4" t="str">
        <f t="shared" si="261"/>
        <v/>
      </c>
      <c r="AP612" s="4" t="str">
        <f t="shared" si="262"/>
        <v/>
      </c>
      <c r="AQ612" s="4" t="str">
        <f t="shared" si="263"/>
        <v/>
      </c>
      <c r="AR612" s="4" t="str">
        <f t="shared" si="264"/>
        <v/>
      </c>
    </row>
    <row r="613" spans="8:44" s="1" customFormat="1" ht="14.25" x14ac:dyDescent="0.3">
      <c r="H613" s="50"/>
      <c r="J613" s="54"/>
      <c r="L613" s="54"/>
      <c r="R613" s="45"/>
      <c r="S613" s="54"/>
      <c r="T613" s="54"/>
      <c r="U613" s="54"/>
      <c r="V613" s="44"/>
      <c r="W613" s="27"/>
      <c r="Z613" s="27"/>
      <c r="AA613" s="8"/>
      <c r="AB613" s="81" t="str">
        <f t="shared" si="248"/>
        <v/>
      </c>
      <c r="AC613" s="6" t="str">
        <f t="shared" si="249"/>
        <v/>
      </c>
      <c r="AD613" s="1" t="str">
        <f t="shared" ca="1" si="250"/>
        <v/>
      </c>
      <c r="AE613" s="75" t="str">
        <f t="shared" si="251"/>
        <v/>
      </c>
      <c r="AF613" s="75" t="str">
        <f t="shared" si="252"/>
        <v/>
      </c>
      <c r="AG613" s="4" t="str">
        <f t="shared" si="253"/>
        <v/>
      </c>
      <c r="AH613" s="4" t="str">
        <f t="shared" si="254"/>
        <v/>
      </c>
      <c r="AI613" s="4" t="str">
        <f t="shared" si="255"/>
        <v/>
      </c>
      <c r="AJ613" s="4" t="str">
        <f t="shared" si="256"/>
        <v/>
      </c>
      <c r="AK613" s="4" t="str">
        <f t="shared" si="257"/>
        <v/>
      </c>
      <c r="AL613" s="2" t="str">
        <f t="shared" si="258"/>
        <v/>
      </c>
      <c r="AM613" s="6" t="str">
        <f t="shared" si="259"/>
        <v/>
      </c>
      <c r="AN613" s="4" t="str">
        <f t="shared" si="260"/>
        <v/>
      </c>
      <c r="AO613" s="4" t="str">
        <f t="shared" si="261"/>
        <v/>
      </c>
      <c r="AP613" s="4" t="str">
        <f t="shared" si="262"/>
        <v/>
      </c>
      <c r="AQ613" s="4" t="str">
        <f t="shared" si="263"/>
        <v/>
      </c>
      <c r="AR613" s="4" t="str">
        <f t="shared" si="264"/>
        <v/>
      </c>
    </row>
    <row r="614" spans="8:44" s="1" customFormat="1" ht="14.25" x14ac:dyDescent="0.3">
      <c r="H614" s="50"/>
      <c r="J614" s="54"/>
      <c r="L614" s="54"/>
      <c r="R614" s="45"/>
      <c r="S614" s="54"/>
      <c r="T614" s="54"/>
      <c r="U614" s="54"/>
      <c r="V614" s="44"/>
      <c r="W614" s="27"/>
      <c r="Z614" s="27"/>
      <c r="AA614" s="8"/>
      <c r="AB614" s="81" t="str">
        <f t="shared" si="248"/>
        <v/>
      </c>
      <c r="AC614" s="6" t="str">
        <f t="shared" si="249"/>
        <v/>
      </c>
      <c r="AD614" s="1" t="str">
        <f t="shared" ca="1" si="250"/>
        <v/>
      </c>
      <c r="AE614" s="75" t="str">
        <f t="shared" si="251"/>
        <v/>
      </c>
      <c r="AF614" s="75" t="str">
        <f t="shared" si="252"/>
        <v/>
      </c>
      <c r="AG614" s="4" t="str">
        <f t="shared" si="253"/>
        <v/>
      </c>
      <c r="AH614" s="4" t="str">
        <f t="shared" si="254"/>
        <v/>
      </c>
      <c r="AI614" s="4" t="str">
        <f t="shared" si="255"/>
        <v/>
      </c>
      <c r="AJ614" s="4" t="str">
        <f t="shared" si="256"/>
        <v/>
      </c>
      <c r="AK614" s="4" t="str">
        <f t="shared" si="257"/>
        <v/>
      </c>
      <c r="AL614" s="2" t="str">
        <f t="shared" si="258"/>
        <v/>
      </c>
      <c r="AM614" s="6" t="str">
        <f t="shared" si="259"/>
        <v/>
      </c>
      <c r="AN614" s="4" t="str">
        <f t="shared" si="260"/>
        <v/>
      </c>
      <c r="AO614" s="4" t="str">
        <f t="shared" si="261"/>
        <v/>
      </c>
      <c r="AP614" s="4" t="str">
        <f t="shared" si="262"/>
        <v/>
      </c>
      <c r="AQ614" s="4" t="str">
        <f t="shared" si="263"/>
        <v/>
      </c>
      <c r="AR614" s="4" t="str">
        <f t="shared" si="264"/>
        <v/>
      </c>
    </row>
    <row r="615" spans="8:44" s="1" customFormat="1" ht="14.25" x14ac:dyDescent="0.3">
      <c r="H615" s="50"/>
      <c r="J615" s="54"/>
      <c r="L615" s="54"/>
      <c r="R615" s="45"/>
      <c r="S615" s="54"/>
      <c r="T615" s="54"/>
      <c r="U615" s="54"/>
      <c r="V615" s="44"/>
      <c r="W615" s="27"/>
      <c r="Z615" s="27"/>
      <c r="AA615" s="8"/>
      <c r="AB615" s="81" t="str">
        <f t="shared" si="248"/>
        <v/>
      </c>
      <c r="AC615" s="6" t="str">
        <f t="shared" si="249"/>
        <v/>
      </c>
      <c r="AD615" s="1" t="str">
        <f t="shared" ca="1" si="250"/>
        <v/>
      </c>
      <c r="AE615" s="75" t="str">
        <f t="shared" si="251"/>
        <v/>
      </c>
      <c r="AF615" s="75" t="str">
        <f t="shared" si="252"/>
        <v/>
      </c>
      <c r="AG615" s="4" t="str">
        <f t="shared" si="253"/>
        <v/>
      </c>
      <c r="AH615" s="4" t="str">
        <f t="shared" si="254"/>
        <v/>
      </c>
      <c r="AI615" s="4" t="str">
        <f t="shared" si="255"/>
        <v/>
      </c>
      <c r="AJ615" s="4" t="str">
        <f t="shared" si="256"/>
        <v/>
      </c>
      <c r="AK615" s="4" t="str">
        <f t="shared" si="257"/>
        <v/>
      </c>
      <c r="AL615" s="2" t="str">
        <f t="shared" si="258"/>
        <v/>
      </c>
      <c r="AM615" s="6" t="str">
        <f t="shared" si="259"/>
        <v/>
      </c>
      <c r="AN615" s="4" t="str">
        <f t="shared" si="260"/>
        <v/>
      </c>
      <c r="AO615" s="4" t="str">
        <f t="shared" si="261"/>
        <v/>
      </c>
      <c r="AP615" s="4" t="str">
        <f t="shared" si="262"/>
        <v/>
      </c>
      <c r="AQ615" s="4" t="str">
        <f t="shared" si="263"/>
        <v/>
      </c>
      <c r="AR615" s="4" t="str">
        <f t="shared" si="264"/>
        <v/>
      </c>
    </row>
    <row r="616" spans="8:44" s="1" customFormat="1" ht="14.25" x14ac:dyDescent="0.3">
      <c r="H616" s="50"/>
      <c r="J616" s="54"/>
      <c r="L616" s="54"/>
      <c r="R616" s="45"/>
      <c r="S616" s="54"/>
      <c r="T616" s="54"/>
      <c r="U616" s="54"/>
      <c r="V616" s="44"/>
      <c r="W616" s="27"/>
      <c r="Z616" s="27"/>
      <c r="AA616" s="8"/>
      <c r="AB616" s="81" t="str">
        <f t="shared" si="248"/>
        <v/>
      </c>
      <c r="AC616" s="6" t="str">
        <f t="shared" si="249"/>
        <v/>
      </c>
      <c r="AD616" s="1" t="str">
        <f t="shared" ca="1" si="250"/>
        <v/>
      </c>
      <c r="AE616" s="75" t="str">
        <f t="shared" si="251"/>
        <v/>
      </c>
      <c r="AF616" s="75" t="str">
        <f t="shared" si="252"/>
        <v/>
      </c>
      <c r="AG616" s="4" t="str">
        <f t="shared" si="253"/>
        <v/>
      </c>
      <c r="AH616" s="4" t="str">
        <f t="shared" si="254"/>
        <v/>
      </c>
      <c r="AI616" s="4" t="str">
        <f t="shared" si="255"/>
        <v/>
      </c>
      <c r="AJ616" s="4" t="str">
        <f t="shared" si="256"/>
        <v/>
      </c>
      <c r="AK616" s="4" t="str">
        <f t="shared" si="257"/>
        <v/>
      </c>
      <c r="AL616" s="2" t="str">
        <f t="shared" si="258"/>
        <v/>
      </c>
      <c r="AM616" s="6" t="str">
        <f t="shared" si="259"/>
        <v/>
      </c>
      <c r="AN616" s="4" t="str">
        <f t="shared" si="260"/>
        <v/>
      </c>
      <c r="AO616" s="4" t="str">
        <f t="shared" si="261"/>
        <v/>
      </c>
      <c r="AP616" s="4" t="str">
        <f t="shared" si="262"/>
        <v/>
      </c>
      <c r="AQ616" s="4" t="str">
        <f t="shared" si="263"/>
        <v/>
      </c>
      <c r="AR616" s="4" t="str">
        <f t="shared" si="264"/>
        <v/>
      </c>
    </row>
    <row r="617" spans="8:44" s="1" customFormat="1" ht="14.25" x14ac:dyDescent="0.3">
      <c r="H617" s="50"/>
      <c r="J617" s="54"/>
      <c r="L617" s="54"/>
      <c r="R617" s="45"/>
      <c r="S617" s="54"/>
      <c r="T617" s="54"/>
      <c r="U617" s="54"/>
      <c r="V617" s="44"/>
      <c r="W617" s="27"/>
      <c r="Z617" s="27"/>
      <c r="AA617" s="8"/>
      <c r="AB617" s="81" t="str">
        <f t="shared" si="248"/>
        <v/>
      </c>
      <c r="AC617" s="6" t="str">
        <f t="shared" si="249"/>
        <v/>
      </c>
      <c r="AD617" s="1" t="str">
        <f t="shared" ca="1" si="250"/>
        <v/>
      </c>
      <c r="AE617" s="75" t="str">
        <f t="shared" si="251"/>
        <v/>
      </c>
      <c r="AF617" s="75" t="str">
        <f t="shared" si="252"/>
        <v/>
      </c>
      <c r="AG617" s="4" t="str">
        <f t="shared" si="253"/>
        <v/>
      </c>
      <c r="AH617" s="4" t="str">
        <f t="shared" si="254"/>
        <v/>
      </c>
      <c r="AI617" s="4" t="str">
        <f t="shared" si="255"/>
        <v/>
      </c>
      <c r="AJ617" s="4" t="str">
        <f t="shared" si="256"/>
        <v/>
      </c>
      <c r="AK617" s="4" t="str">
        <f t="shared" si="257"/>
        <v/>
      </c>
      <c r="AL617" s="2" t="str">
        <f t="shared" si="258"/>
        <v/>
      </c>
      <c r="AM617" s="6" t="str">
        <f t="shared" si="259"/>
        <v/>
      </c>
      <c r="AN617" s="4" t="str">
        <f t="shared" si="260"/>
        <v/>
      </c>
      <c r="AO617" s="4" t="str">
        <f t="shared" si="261"/>
        <v/>
      </c>
      <c r="AP617" s="4" t="str">
        <f t="shared" si="262"/>
        <v/>
      </c>
      <c r="AQ617" s="4" t="str">
        <f t="shared" si="263"/>
        <v/>
      </c>
      <c r="AR617" s="4" t="str">
        <f t="shared" si="264"/>
        <v/>
      </c>
    </row>
    <row r="618" spans="8:44" s="1" customFormat="1" ht="14.25" x14ac:dyDescent="0.3">
      <c r="H618" s="50"/>
      <c r="J618" s="54"/>
      <c r="L618" s="54"/>
      <c r="R618" s="45"/>
      <c r="S618" s="54"/>
      <c r="T618" s="54"/>
      <c r="U618" s="54"/>
      <c r="V618" s="44"/>
      <c r="W618" s="27"/>
      <c r="Z618" s="27"/>
      <c r="AA618" s="8"/>
      <c r="AB618" s="81" t="str">
        <f t="shared" si="248"/>
        <v/>
      </c>
      <c r="AC618" s="6" t="str">
        <f t="shared" si="249"/>
        <v/>
      </c>
      <c r="AD618" s="1" t="str">
        <f t="shared" ca="1" si="250"/>
        <v/>
      </c>
      <c r="AE618" s="75" t="str">
        <f t="shared" si="251"/>
        <v/>
      </c>
      <c r="AF618" s="75" t="str">
        <f t="shared" si="252"/>
        <v/>
      </c>
      <c r="AG618" s="4" t="str">
        <f t="shared" si="253"/>
        <v/>
      </c>
      <c r="AH618" s="4" t="str">
        <f t="shared" si="254"/>
        <v/>
      </c>
      <c r="AI618" s="4" t="str">
        <f t="shared" si="255"/>
        <v/>
      </c>
      <c r="AJ618" s="4" t="str">
        <f t="shared" si="256"/>
        <v/>
      </c>
      <c r="AK618" s="4" t="str">
        <f t="shared" si="257"/>
        <v/>
      </c>
      <c r="AL618" s="2" t="str">
        <f t="shared" si="258"/>
        <v/>
      </c>
      <c r="AM618" s="6" t="str">
        <f t="shared" si="259"/>
        <v/>
      </c>
      <c r="AN618" s="4" t="str">
        <f t="shared" si="260"/>
        <v/>
      </c>
      <c r="AO618" s="4" t="str">
        <f t="shared" si="261"/>
        <v/>
      </c>
      <c r="AP618" s="4" t="str">
        <f t="shared" si="262"/>
        <v/>
      </c>
      <c r="AQ618" s="4" t="str">
        <f t="shared" si="263"/>
        <v/>
      </c>
      <c r="AR618" s="4" t="str">
        <f t="shared" si="264"/>
        <v/>
      </c>
    </row>
    <row r="619" spans="8:44" s="1" customFormat="1" ht="14.25" x14ac:dyDescent="0.3">
      <c r="H619" s="50"/>
      <c r="J619" s="54"/>
      <c r="L619" s="54"/>
      <c r="R619" s="45"/>
      <c r="S619" s="54"/>
      <c r="T619" s="54"/>
      <c r="U619" s="54"/>
      <c r="V619" s="44"/>
      <c r="W619" s="27"/>
      <c r="Z619" s="27"/>
      <c r="AA619" s="8"/>
      <c r="AB619" s="81" t="str">
        <f t="shared" si="248"/>
        <v/>
      </c>
      <c r="AC619" s="6" t="str">
        <f t="shared" si="249"/>
        <v/>
      </c>
      <c r="AD619" s="1" t="str">
        <f t="shared" ca="1" si="250"/>
        <v/>
      </c>
      <c r="AE619" s="75" t="str">
        <f t="shared" si="251"/>
        <v/>
      </c>
      <c r="AF619" s="75" t="str">
        <f t="shared" si="252"/>
        <v/>
      </c>
      <c r="AG619" s="4" t="str">
        <f t="shared" si="253"/>
        <v/>
      </c>
      <c r="AH619" s="4" t="str">
        <f t="shared" si="254"/>
        <v/>
      </c>
      <c r="AI619" s="4" t="str">
        <f t="shared" si="255"/>
        <v/>
      </c>
      <c r="AJ619" s="4" t="str">
        <f t="shared" si="256"/>
        <v/>
      </c>
      <c r="AK619" s="4" t="str">
        <f t="shared" si="257"/>
        <v/>
      </c>
      <c r="AL619" s="2" t="str">
        <f t="shared" si="258"/>
        <v/>
      </c>
      <c r="AM619" s="6" t="str">
        <f t="shared" si="259"/>
        <v/>
      </c>
      <c r="AN619" s="4" t="str">
        <f t="shared" si="260"/>
        <v/>
      </c>
      <c r="AO619" s="4" t="str">
        <f t="shared" si="261"/>
        <v/>
      </c>
      <c r="AP619" s="4" t="str">
        <f t="shared" si="262"/>
        <v/>
      </c>
      <c r="AQ619" s="4" t="str">
        <f t="shared" si="263"/>
        <v/>
      </c>
      <c r="AR619" s="4" t="str">
        <f t="shared" si="264"/>
        <v/>
      </c>
    </row>
    <row r="620" spans="8:44" s="1" customFormat="1" ht="14.25" x14ac:dyDescent="0.3">
      <c r="H620" s="50"/>
      <c r="J620" s="54"/>
      <c r="L620" s="54"/>
      <c r="R620" s="45"/>
      <c r="S620" s="54"/>
      <c r="T620" s="54"/>
      <c r="U620" s="54"/>
      <c r="V620" s="44"/>
      <c r="W620" s="27"/>
      <c r="Z620" s="27"/>
      <c r="AA620" s="8"/>
      <c r="AB620" s="81" t="str">
        <f t="shared" si="248"/>
        <v/>
      </c>
      <c r="AC620" s="6" t="str">
        <f t="shared" si="249"/>
        <v/>
      </c>
      <c r="AD620" s="1" t="str">
        <f t="shared" ca="1" si="250"/>
        <v/>
      </c>
      <c r="AE620" s="75" t="str">
        <f t="shared" si="251"/>
        <v/>
      </c>
      <c r="AF620" s="75" t="str">
        <f t="shared" si="252"/>
        <v/>
      </c>
      <c r="AG620" s="4" t="str">
        <f t="shared" si="253"/>
        <v/>
      </c>
      <c r="AH620" s="4" t="str">
        <f t="shared" si="254"/>
        <v/>
      </c>
      <c r="AI620" s="4" t="str">
        <f t="shared" si="255"/>
        <v/>
      </c>
      <c r="AJ620" s="4" t="str">
        <f t="shared" si="256"/>
        <v/>
      </c>
      <c r="AK620" s="4" t="str">
        <f t="shared" si="257"/>
        <v/>
      </c>
      <c r="AL620" s="2" t="str">
        <f t="shared" si="258"/>
        <v/>
      </c>
      <c r="AM620" s="6" t="str">
        <f t="shared" si="259"/>
        <v/>
      </c>
      <c r="AN620" s="4" t="str">
        <f t="shared" si="260"/>
        <v/>
      </c>
      <c r="AO620" s="4" t="str">
        <f t="shared" si="261"/>
        <v/>
      </c>
      <c r="AP620" s="4" t="str">
        <f t="shared" si="262"/>
        <v/>
      </c>
      <c r="AQ620" s="4" t="str">
        <f t="shared" si="263"/>
        <v/>
      </c>
      <c r="AR620" s="4" t="str">
        <f t="shared" si="264"/>
        <v/>
      </c>
    </row>
    <row r="621" spans="8:44" s="1" customFormat="1" ht="14.25" x14ac:dyDescent="0.3">
      <c r="H621" s="50"/>
      <c r="J621" s="54"/>
      <c r="L621" s="54"/>
      <c r="R621" s="45"/>
      <c r="S621" s="54"/>
      <c r="T621" s="54"/>
      <c r="U621" s="54"/>
      <c r="V621" s="44"/>
      <c r="W621" s="27"/>
      <c r="Z621" s="27"/>
      <c r="AA621" s="8"/>
      <c r="AB621" s="81" t="str">
        <f t="shared" si="248"/>
        <v/>
      </c>
      <c r="AC621" s="6" t="str">
        <f t="shared" si="249"/>
        <v/>
      </c>
      <c r="AD621" s="1" t="str">
        <f t="shared" ca="1" si="250"/>
        <v/>
      </c>
      <c r="AE621" s="75" t="str">
        <f t="shared" si="251"/>
        <v/>
      </c>
      <c r="AF621" s="75" t="str">
        <f t="shared" si="252"/>
        <v/>
      </c>
      <c r="AG621" s="4" t="str">
        <f t="shared" si="253"/>
        <v/>
      </c>
      <c r="AH621" s="4" t="str">
        <f t="shared" si="254"/>
        <v/>
      </c>
      <c r="AI621" s="4" t="str">
        <f t="shared" si="255"/>
        <v/>
      </c>
      <c r="AJ621" s="4" t="str">
        <f t="shared" si="256"/>
        <v/>
      </c>
      <c r="AK621" s="4" t="str">
        <f t="shared" si="257"/>
        <v/>
      </c>
      <c r="AL621" s="2" t="str">
        <f t="shared" si="258"/>
        <v/>
      </c>
      <c r="AM621" s="6" t="str">
        <f t="shared" si="259"/>
        <v/>
      </c>
      <c r="AN621" s="4" t="str">
        <f t="shared" si="260"/>
        <v/>
      </c>
      <c r="AO621" s="4" t="str">
        <f t="shared" si="261"/>
        <v/>
      </c>
      <c r="AP621" s="4" t="str">
        <f t="shared" si="262"/>
        <v/>
      </c>
      <c r="AQ621" s="4" t="str">
        <f t="shared" si="263"/>
        <v/>
      </c>
      <c r="AR621" s="4" t="str">
        <f t="shared" si="264"/>
        <v/>
      </c>
    </row>
    <row r="622" spans="8:44" s="1" customFormat="1" ht="14.25" x14ac:dyDescent="0.3">
      <c r="H622" s="50"/>
      <c r="J622" s="54"/>
      <c r="L622" s="54"/>
      <c r="R622" s="45"/>
      <c r="S622" s="54"/>
      <c r="T622" s="54"/>
      <c r="U622" s="54"/>
      <c r="V622" s="44"/>
      <c r="W622" s="27"/>
      <c r="Z622" s="27"/>
      <c r="AA622" s="8"/>
      <c r="AB622" s="81" t="str">
        <f t="shared" si="248"/>
        <v/>
      </c>
      <c r="AC622" s="6" t="str">
        <f t="shared" si="249"/>
        <v/>
      </c>
      <c r="AD622" s="1" t="str">
        <f t="shared" ca="1" si="250"/>
        <v/>
      </c>
      <c r="AE622" s="75" t="str">
        <f t="shared" si="251"/>
        <v/>
      </c>
      <c r="AF622" s="75" t="str">
        <f t="shared" si="252"/>
        <v/>
      </c>
      <c r="AG622" s="4" t="str">
        <f t="shared" si="253"/>
        <v/>
      </c>
      <c r="AH622" s="4" t="str">
        <f t="shared" si="254"/>
        <v/>
      </c>
      <c r="AI622" s="4" t="str">
        <f t="shared" si="255"/>
        <v/>
      </c>
      <c r="AJ622" s="4" t="str">
        <f t="shared" si="256"/>
        <v/>
      </c>
      <c r="AK622" s="4" t="str">
        <f t="shared" si="257"/>
        <v/>
      </c>
      <c r="AL622" s="2" t="str">
        <f t="shared" si="258"/>
        <v/>
      </c>
      <c r="AM622" s="6" t="str">
        <f t="shared" si="259"/>
        <v/>
      </c>
      <c r="AN622" s="4" t="str">
        <f t="shared" si="260"/>
        <v/>
      </c>
      <c r="AO622" s="4" t="str">
        <f t="shared" si="261"/>
        <v/>
      </c>
      <c r="AP622" s="4" t="str">
        <f t="shared" si="262"/>
        <v/>
      </c>
      <c r="AQ622" s="4" t="str">
        <f t="shared" si="263"/>
        <v/>
      </c>
      <c r="AR622" s="4" t="str">
        <f t="shared" si="264"/>
        <v/>
      </c>
    </row>
    <row r="623" spans="8:44" s="1" customFormat="1" ht="14.25" x14ac:dyDescent="0.3">
      <c r="H623" s="50"/>
      <c r="J623" s="54"/>
      <c r="L623" s="54"/>
      <c r="R623" s="45"/>
      <c r="S623" s="54"/>
      <c r="T623" s="54"/>
      <c r="U623" s="54"/>
      <c r="V623" s="44"/>
      <c r="W623" s="27"/>
      <c r="Z623" s="27"/>
      <c r="AA623" s="8"/>
      <c r="AB623" s="81" t="str">
        <f t="shared" si="248"/>
        <v/>
      </c>
      <c r="AC623" s="6" t="str">
        <f t="shared" si="249"/>
        <v/>
      </c>
      <c r="AD623" s="1" t="str">
        <f t="shared" ca="1" si="250"/>
        <v/>
      </c>
      <c r="AE623" s="75" t="str">
        <f t="shared" si="251"/>
        <v/>
      </c>
      <c r="AF623" s="75" t="str">
        <f t="shared" si="252"/>
        <v/>
      </c>
      <c r="AG623" s="4" t="str">
        <f t="shared" si="253"/>
        <v/>
      </c>
      <c r="AH623" s="4" t="str">
        <f t="shared" si="254"/>
        <v/>
      </c>
      <c r="AI623" s="4" t="str">
        <f t="shared" si="255"/>
        <v/>
      </c>
      <c r="AJ623" s="4" t="str">
        <f t="shared" si="256"/>
        <v/>
      </c>
      <c r="AK623" s="4" t="str">
        <f t="shared" si="257"/>
        <v/>
      </c>
      <c r="AL623" s="2" t="str">
        <f t="shared" si="258"/>
        <v/>
      </c>
      <c r="AM623" s="6" t="str">
        <f t="shared" si="259"/>
        <v/>
      </c>
      <c r="AN623" s="4" t="str">
        <f t="shared" si="260"/>
        <v/>
      </c>
      <c r="AO623" s="4" t="str">
        <f t="shared" si="261"/>
        <v/>
      </c>
      <c r="AP623" s="4" t="str">
        <f t="shared" si="262"/>
        <v/>
      </c>
      <c r="AQ623" s="4" t="str">
        <f t="shared" si="263"/>
        <v/>
      </c>
      <c r="AR623" s="4" t="str">
        <f t="shared" si="264"/>
        <v/>
      </c>
    </row>
    <row r="624" spans="8:44" s="1" customFormat="1" ht="14.25" x14ac:dyDescent="0.3">
      <c r="H624" s="50"/>
      <c r="J624" s="54"/>
      <c r="L624" s="54"/>
      <c r="R624" s="45"/>
      <c r="S624" s="54"/>
      <c r="T624" s="54"/>
      <c r="U624" s="54"/>
      <c r="V624" s="44"/>
      <c r="W624" s="27"/>
      <c r="Z624" s="27"/>
      <c r="AA624" s="8"/>
      <c r="AB624" s="81" t="str">
        <f t="shared" si="248"/>
        <v/>
      </c>
      <c r="AC624" s="6" t="str">
        <f t="shared" si="249"/>
        <v/>
      </c>
      <c r="AD624" s="1" t="str">
        <f t="shared" ca="1" si="250"/>
        <v/>
      </c>
      <c r="AE624" s="75" t="str">
        <f t="shared" si="251"/>
        <v/>
      </c>
      <c r="AF624" s="75" t="str">
        <f t="shared" si="252"/>
        <v/>
      </c>
      <c r="AG624" s="4" t="str">
        <f t="shared" si="253"/>
        <v/>
      </c>
      <c r="AH624" s="4" t="str">
        <f t="shared" si="254"/>
        <v/>
      </c>
      <c r="AI624" s="4" t="str">
        <f t="shared" si="255"/>
        <v/>
      </c>
      <c r="AJ624" s="4" t="str">
        <f t="shared" si="256"/>
        <v/>
      </c>
      <c r="AK624" s="4" t="str">
        <f t="shared" si="257"/>
        <v/>
      </c>
      <c r="AL624" s="2" t="str">
        <f t="shared" si="258"/>
        <v/>
      </c>
      <c r="AM624" s="6" t="str">
        <f t="shared" si="259"/>
        <v/>
      </c>
      <c r="AN624" s="4" t="str">
        <f t="shared" si="260"/>
        <v/>
      </c>
      <c r="AO624" s="4" t="str">
        <f t="shared" si="261"/>
        <v/>
      </c>
      <c r="AP624" s="4" t="str">
        <f t="shared" si="262"/>
        <v/>
      </c>
      <c r="AQ624" s="4" t="str">
        <f t="shared" si="263"/>
        <v/>
      </c>
      <c r="AR624" s="4" t="str">
        <f t="shared" si="264"/>
        <v/>
      </c>
    </row>
    <row r="625" spans="8:44" s="1" customFormat="1" ht="14.25" x14ac:dyDescent="0.3">
      <c r="H625" s="50"/>
      <c r="J625" s="54"/>
      <c r="L625" s="54"/>
      <c r="R625" s="45"/>
      <c r="S625" s="54"/>
      <c r="T625" s="54"/>
      <c r="U625" s="54"/>
      <c r="V625" s="44"/>
      <c r="W625" s="27"/>
      <c r="Z625" s="27"/>
      <c r="AA625" s="8"/>
      <c r="AB625" s="81" t="str">
        <f t="shared" si="248"/>
        <v/>
      </c>
      <c r="AC625" s="6" t="str">
        <f t="shared" si="249"/>
        <v/>
      </c>
      <c r="AD625" s="1" t="str">
        <f t="shared" ca="1" si="250"/>
        <v/>
      </c>
      <c r="AE625" s="75" t="str">
        <f t="shared" si="251"/>
        <v/>
      </c>
      <c r="AF625" s="75" t="str">
        <f t="shared" si="252"/>
        <v/>
      </c>
      <c r="AG625" s="4" t="str">
        <f t="shared" si="253"/>
        <v/>
      </c>
      <c r="AH625" s="4" t="str">
        <f t="shared" si="254"/>
        <v/>
      </c>
      <c r="AI625" s="4" t="str">
        <f t="shared" si="255"/>
        <v/>
      </c>
      <c r="AJ625" s="4" t="str">
        <f t="shared" si="256"/>
        <v/>
      </c>
      <c r="AK625" s="4" t="str">
        <f t="shared" si="257"/>
        <v/>
      </c>
      <c r="AL625" s="2" t="str">
        <f t="shared" si="258"/>
        <v/>
      </c>
      <c r="AM625" s="6" t="str">
        <f t="shared" si="259"/>
        <v/>
      </c>
      <c r="AN625" s="4" t="str">
        <f t="shared" si="260"/>
        <v/>
      </c>
      <c r="AO625" s="4" t="str">
        <f t="shared" si="261"/>
        <v/>
      </c>
      <c r="AP625" s="4" t="str">
        <f t="shared" si="262"/>
        <v/>
      </c>
      <c r="AQ625" s="4" t="str">
        <f t="shared" si="263"/>
        <v/>
      </c>
      <c r="AR625" s="4" t="str">
        <f t="shared" si="264"/>
        <v/>
      </c>
    </row>
    <row r="626" spans="8:44" s="1" customFormat="1" ht="14.25" x14ac:dyDescent="0.3">
      <c r="H626" s="50"/>
      <c r="J626" s="54"/>
      <c r="L626" s="54"/>
      <c r="R626" s="45"/>
      <c r="S626" s="54"/>
      <c r="T626" s="54"/>
      <c r="U626" s="54"/>
      <c r="V626" s="44"/>
      <c r="W626" s="27"/>
      <c r="Z626" s="27"/>
      <c r="AA626" s="8"/>
      <c r="AB626" s="81" t="str">
        <f t="shared" si="248"/>
        <v/>
      </c>
      <c r="AC626" s="6" t="str">
        <f t="shared" si="249"/>
        <v/>
      </c>
      <c r="AD626" s="1" t="str">
        <f t="shared" ca="1" si="250"/>
        <v/>
      </c>
      <c r="AE626" s="75" t="str">
        <f t="shared" si="251"/>
        <v/>
      </c>
      <c r="AF626" s="75" t="str">
        <f t="shared" si="252"/>
        <v/>
      </c>
      <c r="AG626" s="4" t="str">
        <f t="shared" si="253"/>
        <v/>
      </c>
      <c r="AH626" s="4" t="str">
        <f t="shared" si="254"/>
        <v/>
      </c>
      <c r="AI626" s="4" t="str">
        <f t="shared" si="255"/>
        <v/>
      </c>
      <c r="AJ626" s="4" t="str">
        <f t="shared" si="256"/>
        <v/>
      </c>
      <c r="AK626" s="4" t="str">
        <f t="shared" si="257"/>
        <v/>
      </c>
      <c r="AL626" s="2" t="str">
        <f t="shared" si="258"/>
        <v/>
      </c>
      <c r="AM626" s="6" t="str">
        <f t="shared" si="259"/>
        <v/>
      </c>
      <c r="AN626" s="4" t="str">
        <f t="shared" si="260"/>
        <v/>
      </c>
      <c r="AO626" s="4" t="str">
        <f t="shared" si="261"/>
        <v/>
      </c>
      <c r="AP626" s="4" t="str">
        <f t="shared" si="262"/>
        <v/>
      </c>
      <c r="AQ626" s="4" t="str">
        <f t="shared" si="263"/>
        <v/>
      </c>
      <c r="AR626" s="4" t="str">
        <f t="shared" si="264"/>
        <v/>
      </c>
    </row>
    <row r="627" spans="8:44" s="1" customFormat="1" ht="14.25" x14ac:dyDescent="0.3">
      <c r="H627" s="50"/>
      <c r="J627" s="54"/>
      <c r="L627" s="54"/>
      <c r="R627" s="45"/>
      <c r="S627" s="54"/>
      <c r="T627" s="54"/>
      <c r="U627" s="54"/>
      <c r="V627" s="44"/>
      <c r="W627" s="27"/>
      <c r="Z627" s="27"/>
      <c r="AA627" s="8"/>
      <c r="AB627" s="81" t="str">
        <f t="shared" si="248"/>
        <v/>
      </c>
      <c r="AC627" s="6" t="str">
        <f t="shared" si="249"/>
        <v/>
      </c>
      <c r="AD627" s="1" t="str">
        <f t="shared" ca="1" si="250"/>
        <v/>
      </c>
      <c r="AE627" s="75" t="str">
        <f t="shared" si="251"/>
        <v/>
      </c>
      <c r="AF627" s="75" t="str">
        <f t="shared" si="252"/>
        <v/>
      </c>
      <c r="AG627" s="4" t="str">
        <f t="shared" si="253"/>
        <v/>
      </c>
      <c r="AH627" s="4" t="str">
        <f t="shared" si="254"/>
        <v/>
      </c>
      <c r="AI627" s="4" t="str">
        <f t="shared" si="255"/>
        <v/>
      </c>
      <c r="AJ627" s="4" t="str">
        <f t="shared" si="256"/>
        <v/>
      </c>
      <c r="AK627" s="4" t="str">
        <f t="shared" si="257"/>
        <v/>
      </c>
      <c r="AL627" s="2" t="str">
        <f t="shared" si="258"/>
        <v/>
      </c>
      <c r="AM627" s="6" t="str">
        <f t="shared" si="259"/>
        <v/>
      </c>
      <c r="AN627" s="4" t="str">
        <f t="shared" si="260"/>
        <v/>
      </c>
      <c r="AO627" s="4" t="str">
        <f t="shared" si="261"/>
        <v/>
      </c>
      <c r="AP627" s="4" t="str">
        <f t="shared" si="262"/>
        <v/>
      </c>
      <c r="AQ627" s="4" t="str">
        <f t="shared" si="263"/>
        <v/>
      </c>
      <c r="AR627" s="4" t="str">
        <f t="shared" si="264"/>
        <v/>
      </c>
    </row>
    <row r="628" spans="8:44" s="1" customFormat="1" ht="14.25" x14ac:dyDescent="0.3">
      <c r="H628" s="50"/>
      <c r="J628" s="54"/>
      <c r="L628" s="54"/>
      <c r="R628" s="45"/>
      <c r="S628" s="54"/>
      <c r="T628" s="54"/>
      <c r="U628" s="54"/>
      <c r="V628" s="44"/>
      <c r="W628" s="27"/>
      <c r="Z628" s="27"/>
      <c r="AA628" s="8"/>
      <c r="AB628" s="81" t="str">
        <f t="shared" si="248"/>
        <v/>
      </c>
      <c r="AC628" s="6" t="str">
        <f t="shared" si="249"/>
        <v/>
      </c>
      <c r="AD628" s="1" t="str">
        <f t="shared" ca="1" si="250"/>
        <v/>
      </c>
      <c r="AE628" s="75" t="str">
        <f t="shared" si="251"/>
        <v/>
      </c>
      <c r="AF628" s="75" t="str">
        <f t="shared" si="252"/>
        <v/>
      </c>
      <c r="AG628" s="4" t="str">
        <f t="shared" si="253"/>
        <v/>
      </c>
      <c r="AH628" s="4" t="str">
        <f t="shared" si="254"/>
        <v/>
      </c>
      <c r="AI628" s="4" t="str">
        <f t="shared" si="255"/>
        <v/>
      </c>
      <c r="AJ628" s="4" t="str">
        <f t="shared" si="256"/>
        <v/>
      </c>
      <c r="AK628" s="4" t="str">
        <f t="shared" si="257"/>
        <v/>
      </c>
      <c r="AL628" s="2" t="str">
        <f t="shared" si="258"/>
        <v/>
      </c>
      <c r="AM628" s="6" t="str">
        <f t="shared" si="259"/>
        <v/>
      </c>
      <c r="AN628" s="4" t="str">
        <f t="shared" si="260"/>
        <v/>
      </c>
      <c r="AO628" s="4" t="str">
        <f t="shared" si="261"/>
        <v/>
      </c>
      <c r="AP628" s="4" t="str">
        <f t="shared" si="262"/>
        <v/>
      </c>
      <c r="AQ628" s="4" t="str">
        <f t="shared" si="263"/>
        <v/>
      </c>
      <c r="AR628" s="4" t="str">
        <f t="shared" si="264"/>
        <v/>
      </c>
    </row>
    <row r="629" spans="8:44" s="1" customFormat="1" ht="14.25" x14ac:dyDescent="0.3">
      <c r="H629" s="50"/>
      <c r="J629" s="54"/>
      <c r="L629" s="54"/>
      <c r="R629" s="45"/>
      <c r="S629" s="54"/>
      <c r="T629" s="54"/>
      <c r="U629" s="54"/>
      <c r="V629" s="44"/>
      <c r="W629" s="27"/>
      <c r="Z629" s="27"/>
      <c r="AA629" s="8"/>
      <c r="AB629" s="81" t="str">
        <f t="shared" si="248"/>
        <v/>
      </c>
      <c r="AC629" s="6" t="str">
        <f t="shared" si="249"/>
        <v/>
      </c>
      <c r="AD629" s="1" t="str">
        <f t="shared" ca="1" si="250"/>
        <v/>
      </c>
      <c r="AE629" s="75" t="str">
        <f t="shared" si="251"/>
        <v/>
      </c>
      <c r="AF629" s="75" t="str">
        <f t="shared" si="252"/>
        <v/>
      </c>
      <c r="AG629" s="4" t="str">
        <f t="shared" si="253"/>
        <v/>
      </c>
      <c r="AH629" s="4" t="str">
        <f t="shared" si="254"/>
        <v/>
      </c>
      <c r="AI629" s="4" t="str">
        <f t="shared" si="255"/>
        <v/>
      </c>
      <c r="AJ629" s="4" t="str">
        <f t="shared" si="256"/>
        <v/>
      </c>
      <c r="AK629" s="4" t="str">
        <f t="shared" si="257"/>
        <v/>
      </c>
      <c r="AL629" s="2" t="str">
        <f t="shared" si="258"/>
        <v/>
      </c>
      <c r="AM629" s="6" t="str">
        <f t="shared" si="259"/>
        <v/>
      </c>
      <c r="AN629" s="4" t="str">
        <f t="shared" si="260"/>
        <v/>
      </c>
      <c r="AO629" s="4" t="str">
        <f t="shared" si="261"/>
        <v/>
      </c>
      <c r="AP629" s="4" t="str">
        <f t="shared" si="262"/>
        <v/>
      </c>
      <c r="AQ629" s="4" t="str">
        <f t="shared" si="263"/>
        <v/>
      </c>
      <c r="AR629" s="4" t="str">
        <f t="shared" si="264"/>
        <v/>
      </c>
    </row>
    <row r="630" spans="8:44" s="1" customFormat="1" ht="14.25" x14ac:dyDescent="0.3">
      <c r="H630" s="50"/>
      <c r="J630" s="54"/>
      <c r="L630" s="54"/>
      <c r="R630" s="45"/>
      <c r="S630" s="54"/>
      <c r="T630" s="54"/>
      <c r="U630" s="54"/>
      <c r="V630" s="44"/>
      <c r="W630" s="27"/>
      <c r="Z630" s="27"/>
      <c r="AA630" s="8"/>
      <c r="AB630" s="81" t="str">
        <f t="shared" si="248"/>
        <v/>
      </c>
      <c r="AC630" s="6" t="str">
        <f t="shared" si="249"/>
        <v/>
      </c>
      <c r="AD630" s="1" t="str">
        <f t="shared" ca="1" si="250"/>
        <v/>
      </c>
      <c r="AE630" s="75" t="str">
        <f t="shared" si="251"/>
        <v/>
      </c>
      <c r="AF630" s="75" t="str">
        <f t="shared" si="252"/>
        <v/>
      </c>
      <c r="AG630" s="4" t="str">
        <f t="shared" si="253"/>
        <v/>
      </c>
      <c r="AH630" s="4" t="str">
        <f t="shared" si="254"/>
        <v/>
      </c>
      <c r="AI630" s="4" t="str">
        <f t="shared" si="255"/>
        <v/>
      </c>
      <c r="AJ630" s="4" t="str">
        <f t="shared" si="256"/>
        <v/>
      </c>
      <c r="AK630" s="4" t="str">
        <f t="shared" si="257"/>
        <v/>
      </c>
      <c r="AL630" s="2" t="str">
        <f t="shared" si="258"/>
        <v/>
      </c>
      <c r="AM630" s="6" t="str">
        <f t="shared" si="259"/>
        <v/>
      </c>
      <c r="AN630" s="4" t="str">
        <f t="shared" si="260"/>
        <v/>
      </c>
      <c r="AO630" s="4" t="str">
        <f t="shared" si="261"/>
        <v/>
      </c>
      <c r="AP630" s="4" t="str">
        <f t="shared" si="262"/>
        <v/>
      </c>
      <c r="AQ630" s="4" t="str">
        <f t="shared" si="263"/>
        <v/>
      </c>
      <c r="AR630" s="4" t="str">
        <f t="shared" si="264"/>
        <v/>
      </c>
    </row>
    <row r="631" spans="8:44" s="1" customFormat="1" ht="14.25" x14ac:dyDescent="0.3">
      <c r="H631" s="50"/>
      <c r="J631" s="54"/>
      <c r="L631" s="54"/>
      <c r="R631" s="45"/>
      <c r="S631" s="54"/>
      <c r="T631" s="54"/>
      <c r="U631" s="54"/>
      <c r="V631" s="44"/>
      <c r="W631" s="27"/>
      <c r="Z631" s="27"/>
      <c r="AA631" s="8"/>
      <c r="AB631" s="81" t="str">
        <f t="shared" si="248"/>
        <v/>
      </c>
      <c r="AC631" s="6" t="str">
        <f t="shared" si="249"/>
        <v/>
      </c>
      <c r="AD631" s="1" t="str">
        <f t="shared" ca="1" si="250"/>
        <v/>
      </c>
      <c r="AE631" s="75" t="str">
        <f t="shared" si="251"/>
        <v/>
      </c>
      <c r="AF631" s="75" t="str">
        <f t="shared" si="252"/>
        <v/>
      </c>
      <c r="AG631" s="4" t="str">
        <f t="shared" si="253"/>
        <v/>
      </c>
      <c r="AH631" s="4" t="str">
        <f t="shared" si="254"/>
        <v/>
      </c>
      <c r="AI631" s="4" t="str">
        <f t="shared" si="255"/>
        <v/>
      </c>
      <c r="AJ631" s="4" t="str">
        <f t="shared" si="256"/>
        <v/>
      </c>
      <c r="AK631" s="4" t="str">
        <f t="shared" si="257"/>
        <v/>
      </c>
      <c r="AL631" s="2" t="str">
        <f t="shared" si="258"/>
        <v/>
      </c>
      <c r="AM631" s="6" t="str">
        <f t="shared" si="259"/>
        <v/>
      </c>
      <c r="AN631" s="4" t="str">
        <f t="shared" si="260"/>
        <v/>
      </c>
      <c r="AO631" s="4" t="str">
        <f t="shared" si="261"/>
        <v/>
      </c>
      <c r="AP631" s="4" t="str">
        <f t="shared" si="262"/>
        <v/>
      </c>
      <c r="AQ631" s="4" t="str">
        <f t="shared" si="263"/>
        <v/>
      </c>
      <c r="AR631" s="4" t="str">
        <f t="shared" si="264"/>
        <v/>
      </c>
    </row>
    <row r="632" spans="8:44" s="1" customFormat="1" ht="14.25" x14ac:dyDescent="0.3">
      <c r="H632" s="50"/>
      <c r="J632" s="54"/>
      <c r="L632" s="54"/>
      <c r="R632" s="45"/>
      <c r="S632" s="54"/>
      <c r="T632" s="54"/>
      <c r="U632" s="54"/>
      <c r="V632" s="44"/>
      <c r="W632" s="27"/>
      <c r="Z632" s="27"/>
      <c r="AA632" s="8"/>
      <c r="AB632" s="81" t="str">
        <f t="shared" si="248"/>
        <v/>
      </c>
      <c r="AC632" s="6" t="str">
        <f t="shared" si="249"/>
        <v/>
      </c>
      <c r="AD632" s="1" t="str">
        <f t="shared" ca="1" si="250"/>
        <v/>
      </c>
      <c r="AE632" s="75" t="str">
        <f t="shared" si="251"/>
        <v/>
      </c>
      <c r="AF632" s="75" t="str">
        <f t="shared" si="252"/>
        <v/>
      </c>
      <c r="AG632" s="4" t="str">
        <f t="shared" si="253"/>
        <v/>
      </c>
      <c r="AH632" s="4" t="str">
        <f t="shared" si="254"/>
        <v/>
      </c>
      <c r="AI632" s="4" t="str">
        <f t="shared" si="255"/>
        <v/>
      </c>
      <c r="AJ632" s="4" t="str">
        <f t="shared" si="256"/>
        <v/>
      </c>
      <c r="AK632" s="4" t="str">
        <f t="shared" si="257"/>
        <v/>
      </c>
      <c r="AL632" s="2" t="str">
        <f t="shared" si="258"/>
        <v/>
      </c>
      <c r="AM632" s="6" t="str">
        <f t="shared" si="259"/>
        <v/>
      </c>
      <c r="AN632" s="4" t="str">
        <f t="shared" si="260"/>
        <v/>
      </c>
      <c r="AO632" s="4" t="str">
        <f t="shared" si="261"/>
        <v/>
      </c>
      <c r="AP632" s="4" t="str">
        <f t="shared" si="262"/>
        <v/>
      </c>
      <c r="AQ632" s="4" t="str">
        <f t="shared" si="263"/>
        <v/>
      </c>
      <c r="AR632" s="4" t="str">
        <f t="shared" si="264"/>
        <v/>
      </c>
    </row>
    <row r="633" spans="8:44" s="1" customFormat="1" ht="14.25" x14ac:dyDescent="0.3">
      <c r="H633" s="50"/>
      <c r="J633" s="54"/>
      <c r="L633" s="54"/>
      <c r="R633" s="45"/>
      <c r="S633" s="54"/>
      <c r="T633" s="54"/>
      <c r="U633" s="54"/>
      <c r="V633" s="44"/>
      <c r="W633" s="27"/>
      <c r="Z633" s="27"/>
      <c r="AA633" s="8"/>
      <c r="AB633" s="81" t="str">
        <f t="shared" si="248"/>
        <v/>
      </c>
      <c r="AC633" s="6" t="str">
        <f t="shared" si="249"/>
        <v/>
      </c>
      <c r="AD633" s="1" t="str">
        <f t="shared" ca="1" si="250"/>
        <v/>
      </c>
      <c r="AE633" s="75" t="str">
        <f t="shared" si="251"/>
        <v/>
      </c>
      <c r="AF633" s="75" t="str">
        <f t="shared" si="252"/>
        <v/>
      </c>
      <c r="AG633" s="4" t="str">
        <f t="shared" si="253"/>
        <v/>
      </c>
      <c r="AH633" s="4" t="str">
        <f t="shared" si="254"/>
        <v/>
      </c>
      <c r="AI633" s="4" t="str">
        <f t="shared" si="255"/>
        <v/>
      </c>
      <c r="AJ633" s="4" t="str">
        <f t="shared" si="256"/>
        <v/>
      </c>
      <c r="AK633" s="4" t="str">
        <f t="shared" si="257"/>
        <v/>
      </c>
      <c r="AL633" s="2" t="str">
        <f t="shared" si="258"/>
        <v/>
      </c>
      <c r="AM633" s="6" t="str">
        <f t="shared" si="259"/>
        <v/>
      </c>
      <c r="AN633" s="4" t="str">
        <f t="shared" si="260"/>
        <v/>
      </c>
      <c r="AO633" s="4" t="str">
        <f t="shared" si="261"/>
        <v/>
      </c>
      <c r="AP633" s="4" t="str">
        <f t="shared" si="262"/>
        <v/>
      </c>
      <c r="AQ633" s="4" t="str">
        <f t="shared" si="263"/>
        <v/>
      </c>
      <c r="AR633" s="4" t="str">
        <f t="shared" si="264"/>
        <v/>
      </c>
    </row>
    <row r="634" spans="8:44" s="1" customFormat="1" ht="14.25" x14ac:dyDescent="0.3">
      <c r="H634" s="50"/>
      <c r="J634" s="54"/>
      <c r="L634" s="54"/>
      <c r="R634" s="45"/>
      <c r="S634" s="54"/>
      <c r="T634" s="54"/>
      <c r="U634" s="54"/>
      <c r="V634" s="44"/>
      <c r="W634" s="27"/>
      <c r="Z634" s="27"/>
      <c r="AA634" s="8"/>
      <c r="AB634" s="81" t="str">
        <f t="shared" si="248"/>
        <v/>
      </c>
      <c r="AC634" s="6" t="str">
        <f t="shared" si="249"/>
        <v/>
      </c>
      <c r="AD634" s="1" t="str">
        <f t="shared" ca="1" si="250"/>
        <v/>
      </c>
      <c r="AE634" s="75" t="str">
        <f t="shared" si="251"/>
        <v/>
      </c>
      <c r="AF634" s="75" t="str">
        <f t="shared" si="252"/>
        <v/>
      </c>
      <c r="AG634" s="4" t="str">
        <f t="shared" si="253"/>
        <v/>
      </c>
      <c r="AH634" s="4" t="str">
        <f t="shared" si="254"/>
        <v/>
      </c>
      <c r="AI634" s="4" t="str">
        <f t="shared" si="255"/>
        <v/>
      </c>
      <c r="AJ634" s="4" t="str">
        <f t="shared" si="256"/>
        <v/>
      </c>
      <c r="AK634" s="4" t="str">
        <f t="shared" si="257"/>
        <v/>
      </c>
      <c r="AL634" s="2" t="str">
        <f t="shared" si="258"/>
        <v/>
      </c>
      <c r="AM634" s="6" t="str">
        <f t="shared" si="259"/>
        <v/>
      </c>
      <c r="AN634" s="4" t="str">
        <f t="shared" si="260"/>
        <v/>
      </c>
      <c r="AO634" s="4" t="str">
        <f t="shared" si="261"/>
        <v/>
      </c>
      <c r="AP634" s="4" t="str">
        <f t="shared" si="262"/>
        <v/>
      </c>
      <c r="AQ634" s="4" t="str">
        <f t="shared" si="263"/>
        <v/>
      </c>
      <c r="AR634" s="4" t="str">
        <f t="shared" si="264"/>
        <v/>
      </c>
    </row>
    <row r="635" spans="8:44" s="1" customFormat="1" ht="14.25" x14ac:dyDescent="0.3">
      <c r="H635" s="50"/>
      <c r="J635" s="54"/>
      <c r="L635" s="54"/>
      <c r="R635" s="45"/>
      <c r="S635" s="54"/>
      <c r="T635" s="54"/>
      <c r="U635" s="54"/>
      <c r="V635" s="44"/>
      <c r="W635" s="27"/>
      <c r="Z635" s="27"/>
      <c r="AA635" s="8"/>
      <c r="AB635" s="81" t="str">
        <f t="shared" si="248"/>
        <v/>
      </c>
      <c r="AC635" s="6" t="str">
        <f t="shared" si="249"/>
        <v/>
      </c>
      <c r="AD635" s="1" t="str">
        <f t="shared" ca="1" si="250"/>
        <v/>
      </c>
      <c r="AE635" s="75" t="str">
        <f t="shared" si="251"/>
        <v/>
      </c>
      <c r="AF635" s="75" t="str">
        <f t="shared" si="252"/>
        <v/>
      </c>
      <c r="AG635" s="4" t="str">
        <f t="shared" si="253"/>
        <v/>
      </c>
      <c r="AH635" s="4" t="str">
        <f t="shared" si="254"/>
        <v/>
      </c>
      <c r="AI635" s="4" t="str">
        <f t="shared" si="255"/>
        <v/>
      </c>
      <c r="AJ635" s="4" t="str">
        <f t="shared" si="256"/>
        <v/>
      </c>
      <c r="AK635" s="4" t="str">
        <f t="shared" si="257"/>
        <v/>
      </c>
      <c r="AL635" s="2" t="str">
        <f t="shared" si="258"/>
        <v/>
      </c>
      <c r="AM635" s="6" t="str">
        <f t="shared" si="259"/>
        <v/>
      </c>
      <c r="AN635" s="4" t="str">
        <f t="shared" si="260"/>
        <v/>
      </c>
      <c r="AO635" s="4" t="str">
        <f t="shared" si="261"/>
        <v/>
      </c>
      <c r="AP635" s="4" t="str">
        <f t="shared" si="262"/>
        <v/>
      </c>
      <c r="AQ635" s="4" t="str">
        <f t="shared" si="263"/>
        <v/>
      </c>
      <c r="AR635" s="4" t="str">
        <f t="shared" si="264"/>
        <v/>
      </c>
    </row>
    <row r="636" spans="8:44" s="1" customFormat="1" ht="14.25" x14ac:dyDescent="0.3">
      <c r="H636" s="50"/>
      <c r="J636" s="54"/>
      <c r="L636" s="54"/>
      <c r="R636" s="45"/>
      <c r="S636" s="54"/>
      <c r="T636" s="54"/>
      <c r="U636" s="54"/>
      <c r="V636" s="44"/>
      <c r="W636" s="27"/>
      <c r="Z636" s="27"/>
      <c r="AA636" s="8"/>
      <c r="AB636" s="81" t="str">
        <f t="shared" si="248"/>
        <v/>
      </c>
      <c r="AC636" s="6" t="str">
        <f t="shared" si="249"/>
        <v/>
      </c>
      <c r="AD636" s="1" t="str">
        <f t="shared" ca="1" si="250"/>
        <v/>
      </c>
      <c r="AE636" s="75" t="str">
        <f t="shared" si="251"/>
        <v/>
      </c>
      <c r="AF636" s="75" t="str">
        <f t="shared" si="252"/>
        <v/>
      </c>
      <c r="AG636" s="4" t="str">
        <f t="shared" si="253"/>
        <v/>
      </c>
      <c r="AH636" s="4" t="str">
        <f t="shared" si="254"/>
        <v/>
      </c>
      <c r="AI636" s="4" t="str">
        <f t="shared" si="255"/>
        <v/>
      </c>
      <c r="AJ636" s="4" t="str">
        <f t="shared" si="256"/>
        <v/>
      </c>
      <c r="AK636" s="4" t="str">
        <f t="shared" si="257"/>
        <v/>
      </c>
      <c r="AL636" s="2" t="str">
        <f t="shared" si="258"/>
        <v/>
      </c>
      <c r="AM636" s="6" t="str">
        <f t="shared" si="259"/>
        <v/>
      </c>
      <c r="AN636" s="4" t="str">
        <f t="shared" si="260"/>
        <v/>
      </c>
      <c r="AO636" s="4" t="str">
        <f t="shared" si="261"/>
        <v/>
      </c>
      <c r="AP636" s="4" t="str">
        <f t="shared" si="262"/>
        <v/>
      </c>
      <c r="AQ636" s="4" t="str">
        <f t="shared" si="263"/>
        <v/>
      </c>
      <c r="AR636" s="4" t="str">
        <f t="shared" si="264"/>
        <v/>
      </c>
    </row>
    <row r="637" spans="8:44" s="1" customFormat="1" ht="14.25" x14ac:dyDescent="0.3">
      <c r="H637" s="50"/>
      <c r="J637" s="54"/>
      <c r="L637" s="54"/>
      <c r="R637" s="45"/>
      <c r="S637" s="54"/>
      <c r="T637" s="54"/>
      <c r="U637" s="54"/>
      <c r="V637" s="44"/>
      <c r="W637" s="27"/>
      <c r="Z637" s="27"/>
      <c r="AA637" s="8"/>
      <c r="AB637" s="81" t="str">
        <f t="shared" ref="AB637:AB700" si="265">IF(X637="","",(AH637-AG637)/AG637)</f>
        <v/>
      </c>
      <c r="AC637" s="6" t="str">
        <f t="shared" ref="AC637:AC700" si="266">IF(X637="","",AH637-AG637)</f>
        <v/>
      </c>
      <c r="AD637" s="1" t="str">
        <f t="shared" ref="AD637:AD700" ca="1" si="267">IF(X637="","",IF(W637="","",IF(Z637="",TODAY()-W637,Z637-W637)))</f>
        <v/>
      </c>
      <c r="AE637" s="75" t="str">
        <f t="shared" ref="AE637:AE700" si="268">IF(X637="","",IF(AE636="",IF(AM637="","",AM637),IF(AM637="",AE636,AE636+AM637)))</f>
        <v/>
      </c>
      <c r="AF637" s="75" t="str">
        <f t="shared" ref="AF637:AF700" si="269">IF(X637="","",IF(AF636="",IF(AN637="","",AN637),IF(AN637="",AF636,AF636+AN637)))</f>
        <v/>
      </c>
      <c r="AG637" s="4" t="str">
        <f t="shared" ref="AG637:AG700" si="270">IF(X637="","",X637*Y637*100+AO637+AP637)</f>
        <v/>
      </c>
      <c r="AH637" s="4" t="str">
        <f t="shared" ref="AH637:AH700" si="271">IF(X637="","",IF(AA637="",C637*Y637*100-AO637-AQ637-AR637,AA637*Y637*100-AO637-AQ637-AR637))</f>
        <v/>
      </c>
      <c r="AI637" s="4" t="str">
        <f t="shared" ref="AI637:AI700" si="272">IF(X637="","",AI636+AC637)</f>
        <v/>
      </c>
      <c r="AJ637" s="4" t="str">
        <f t="shared" ref="AJ637:AJ700" si="273">IF(X637="","",AO637+AP637+AO637+AQ637+AR637)</f>
        <v/>
      </c>
      <c r="AK637" s="4" t="str">
        <f t="shared" ref="AK637:AK700" si="274">IF(X637="","",AK636+AJ637)</f>
        <v/>
      </c>
      <c r="AL637" s="2" t="str">
        <f t="shared" ref="AL637:AL700" si="275">IF(X637="","",0.18%)</f>
        <v/>
      </c>
      <c r="AM637" s="6" t="str">
        <f t="shared" ref="AM637:AM700" si="276">IF(X637="","",IF(Z637="",AC637,""))</f>
        <v/>
      </c>
      <c r="AN637" s="4" t="str">
        <f t="shared" ref="AN637:AN700" si="277">IF(X637="","",IF(Z637="",AH637,""))</f>
        <v/>
      </c>
      <c r="AO637" s="4" t="str">
        <f t="shared" ref="AO637:AO700" si="278">IF(X637="","",IF(LEFT(A637,2)="sh",IF(Y637*100/1000&lt;=1,1,Y637*100/1000),0))</f>
        <v/>
      </c>
      <c r="AP637" s="4" t="str">
        <f t="shared" ref="AP637:AP700" si="279">IF(X637="","",IF(X637*Y637*100*AL637&lt;=5,5,X637*Y637*100*AL637))</f>
        <v/>
      </c>
      <c r="AQ637" s="4" t="str">
        <f t="shared" ref="AQ637:AQ700" si="280">IF(X637="","",IF(AA637="",IF(C637*Y637*100*AL637&lt;=5,5,C637*Y637*100*AL637),IF(AA637*Y637*100*AL637&lt;=5,5,AA637*Y637*100*AL637)))</f>
        <v/>
      </c>
      <c r="AR637" s="4" t="str">
        <f t="shared" ref="AR637:AR700" si="281">IF(X637="","",IF(AA637="",C637*Y637*100*0.001,AA637*Y637*100*0.001))</f>
        <v/>
      </c>
    </row>
    <row r="638" spans="8:44" s="1" customFormat="1" ht="14.25" x14ac:dyDescent="0.3">
      <c r="H638" s="50"/>
      <c r="J638" s="54"/>
      <c r="L638" s="54"/>
      <c r="R638" s="45"/>
      <c r="S638" s="54"/>
      <c r="T638" s="54"/>
      <c r="U638" s="54"/>
      <c r="V638" s="44"/>
      <c r="W638" s="27"/>
      <c r="Z638" s="27"/>
      <c r="AA638" s="8"/>
      <c r="AB638" s="81" t="str">
        <f t="shared" si="265"/>
        <v/>
      </c>
      <c r="AC638" s="6" t="str">
        <f t="shared" si="266"/>
        <v/>
      </c>
      <c r="AD638" s="1" t="str">
        <f t="shared" ca="1" si="267"/>
        <v/>
      </c>
      <c r="AE638" s="75" t="str">
        <f t="shared" si="268"/>
        <v/>
      </c>
      <c r="AF638" s="75" t="str">
        <f t="shared" si="269"/>
        <v/>
      </c>
      <c r="AG638" s="4" t="str">
        <f t="shared" si="270"/>
        <v/>
      </c>
      <c r="AH638" s="4" t="str">
        <f t="shared" si="271"/>
        <v/>
      </c>
      <c r="AI638" s="4" t="str">
        <f t="shared" si="272"/>
        <v/>
      </c>
      <c r="AJ638" s="4" t="str">
        <f t="shared" si="273"/>
        <v/>
      </c>
      <c r="AK638" s="4" t="str">
        <f t="shared" si="274"/>
        <v/>
      </c>
      <c r="AL638" s="2" t="str">
        <f t="shared" si="275"/>
        <v/>
      </c>
      <c r="AM638" s="6" t="str">
        <f t="shared" si="276"/>
        <v/>
      </c>
      <c r="AN638" s="4" t="str">
        <f t="shared" si="277"/>
        <v/>
      </c>
      <c r="AO638" s="4" t="str">
        <f t="shared" si="278"/>
        <v/>
      </c>
      <c r="AP638" s="4" t="str">
        <f t="shared" si="279"/>
        <v/>
      </c>
      <c r="AQ638" s="4" t="str">
        <f t="shared" si="280"/>
        <v/>
      </c>
      <c r="AR638" s="4" t="str">
        <f t="shared" si="281"/>
        <v/>
      </c>
    </row>
    <row r="639" spans="8:44" s="1" customFormat="1" ht="14.25" x14ac:dyDescent="0.3">
      <c r="H639" s="50"/>
      <c r="J639" s="54"/>
      <c r="L639" s="54"/>
      <c r="R639" s="45"/>
      <c r="S639" s="54"/>
      <c r="T639" s="54"/>
      <c r="U639" s="54"/>
      <c r="V639" s="44"/>
      <c r="W639" s="27"/>
      <c r="Z639" s="27"/>
      <c r="AA639" s="8"/>
      <c r="AB639" s="81" t="str">
        <f t="shared" si="265"/>
        <v/>
      </c>
      <c r="AC639" s="6" t="str">
        <f t="shared" si="266"/>
        <v/>
      </c>
      <c r="AD639" s="1" t="str">
        <f t="shared" ca="1" si="267"/>
        <v/>
      </c>
      <c r="AE639" s="75" t="str">
        <f t="shared" si="268"/>
        <v/>
      </c>
      <c r="AF639" s="75" t="str">
        <f t="shared" si="269"/>
        <v/>
      </c>
      <c r="AG639" s="4" t="str">
        <f t="shared" si="270"/>
        <v/>
      </c>
      <c r="AH639" s="4" t="str">
        <f t="shared" si="271"/>
        <v/>
      </c>
      <c r="AI639" s="4" t="str">
        <f t="shared" si="272"/>
        <v/>
      </c>
      <c r="AJ639" s="4" t="str">
        <f t="shared" si="273"/>
        <v/>
      </c>
      <c r="AK639" s="4" t="str">
        <f t="shared" si="274"/>
        <v/>
      </c>
      <c r="AL639" s="2" t="str">
        <f t="shared" si="275"/>
        <v/>
      </c>
      <c r="AM639" s="6" t="str">
        <f t="shared" si="276"/>
        <v/>
      </c>
      <c r="AN639" s="4" t="str">
        <f t="shared" si="277"/>
        <v/>
      </c>
      <c r="AO639" s="4" t="str">
        <f t="shared" si="278"/>
        <v/>
      </c>
      <c r="AP639" s="4" t="str">
        <f t="shared" si="279"/>
        <v/>
      </c>
      <c r="AQ639" s="4" t="str">
        <f t="shared" si="280"/>
        <v/>
      </c>
      <c r="AR639" s="4" t="str">
        <f t="shared" si="281"/>
        <v/>
      </c>
    </row>
    <row r="640" spans="8:44" s="1" customFormat="1" ht="14.25" x14ac:dyDescent="0.3">
      <c r="H640" s="50"/>
      <c r="J640" s="54"/>
      <c r="L640" s="54"/>
      <c r="R640" s="45"/>
      <c r="S640" s="54"/>
      <c r="T640" s="54"/>
      <c r="U640" s="54"/>
      <c r="V640" s="44"/>
      <c r="W640" s="27"/>
      <c r="Z640" s="27"/>
      <c r="AA640" s="8"/>
      <c r="AB640" s="81" t="str">
        <f t="shared" si="265"/>
        <v/>
      </c>
      <c r="AC640" s="6" t="str">
        <f t="shared" si="266"/>
        <v/>
      </c>
      <c r="AD640" s="1" t="str">
        <f t="shared" ca="1" si="267"/>
        <v/>
      </c>
      <c r="AE640" s="75" t="str">
        <f t="shared" si="268"/>
        <v/>
      </c>
      <c r="AF640" s="75" t="str">
        <f t="shared" si="269"/>
        <v/>
      </c>
      <c r="AG640" s="4" t="str">
        <f t="shared" si="270"/>
        <v/>
      </c>
      <c r="AH640" s="4" t="str">
        <f t="shared" si="271"/>
        <v/>
      </c>
      <c r="AI640" s="4" t="str">
        <f t="shared" si="272"/>
        <v/>
      </c>
      <c r="AJ640" s="4" t="str">
        <f t="shared" si="273"/>
        <v/>
      </c>
      <c r="AK640" s="4" t="str">
        <f t="shared" si="274"/>
        <v/>
      </c>
      <c r="AL640" s="2" t="str">
        <f t="shared" si="275"/>
        <v/>
      </c>
      <c r="AM640" s="6" t="str">
        <f t="shared" si="276"/>
        <v/>
      </c>
      <c r="AN640" s="4" t="str">
        <f t="shared" si="277"/>
        <v/>
      </c>
      <c r="AO640" s="4" t="str">
        <f t="shared" si="278"/>
        <v/>
      </c>
      <c r="AP640" s="4" t="str">
        <f t="shared" si="279"/>
        <v/>
      </c>
      <c r="AQ640" s="4" t="str">
        <f t="shared" si="280"/>
        <v/>
      </c>
      <c r="AR640" s="4" t="str">
        <f t="shared" si="281"/>
        <v/>
      </c>
    </row>
    <row r="641" spans="8:44" s="1" customFormat="1" ht="14.25" x14ac:dyDescent="0.3">
      <c r="H641" s="50"/>
      <c r="J641" s="54"/>
      <c r="L641" s="54"/>
      <c r="R641" s="45"/>
      <c r="S641" s="54"/>
      <c r="T641" s="54"/>
      <c r="U641" s="54"/>
      <c r="V641" s="44"/>
      <c r="W641" s="27"/>
      <c r="Z641" s="27"/>
      <c r="AA641" s="8"/>
      <c r="AB641" s="81" t="str">
        <f t="shared" si="265"/>
        <v/>
      </c>
      <c r="AC641" s="6" t="str">
        <f t="shared" si="266"/>
        <v/>
      </c>
      <c r="AD641" s="1" t="str">
        <f t="shared" ca="1" si="267"/>
        <v/>
      </c>
      <c r="AE641" s="75" t="str">
        <f t="shared" si="268"/>
        <v/>
      </c>
      <c r="AF641" s="75" t="str">
        <f t="shared" si="269"/>
        <v/>
      </c>
      <c r="AG641" s="4" t="str">
        <f t="shared" si="270"/>
        <v/>
      </c>
      <c r="AH641" s="4" t="str">
        <f t="shared" si="271"/>
        <v/>
      </c>
      <c r="AI641" s="4" t="str">
        <f t="shared" si="272"/>
        <v/>
      </c>
      <c r="AJ641" s="4" t="str">
        <f t="shared" si="273"/>
        <v/>
      </c>
      <c r="AK641" s="4" t="str">
        <f t="shared" si="274"/>
        <v/>
      </c>
      <c r="AL641" s="2" t="str">
        <f t="shared" si="275"/>
        <v/>
      </c>
      <c r="AM641" s="6" t="str">
        <f t="shared" si="276"/>
        <v/>
      </c>
      <c r="AN641" s="4" t="str">
        <f t="shared" si="277"/>
        <v/>
      </c>
      <c r="AO641" s="4" t="str">
        <f t="shared" si="278"/>
        <v/>
      </c>
      <c r="AP641" s="4" t="str">
        <f t="shared" si="279"/>
        <v/>
      </c>
      <c r="AQ641" s="4" t="str">
        <f t="shared" si="280"/>
        <v/>
      </c>
      <c r="AR641" s="4" t="str">
        <f t="shared" si="281"/>
        <v/>
      </c>
    </row>
    <row r="642" spans="8:44" s="1" customFormat="1" ht="14.25" x14ac:dyDescent="0.3">
      <c r="H642" s="50"/>
      <c r="J642" s="54"/>
      <c r="L642" s="54"/>
      <c r="R642" s="45"/>
      <c r="S642" s="54"/>
      <c r="T642" s="54"/>
      <c r="U642" s="54"/>
      <c r="V642" s="44"/>
      <c r="W642" s="27"/>
      <c r="Z642" s="27"/>
      <c r="AA642" s="8"/>
      <c r="AB642" s="81" t="str">
        <f t="shared" si="265"/>
        <v/>
      </c>
      <c r="AC642" s="6" t="str">
        <f t="shared" si="266"/>
        <v/>
      </c>
      <c r="AD642" s="1" t="str">
        <f t="shared" ca="1" si="267"/>
        <v/>
      </c>
      <c r="AE642" s="75" t="str">
        <f t="shared" si="268"/>
        <v/>
      </c>
      <c r="AF642" s="75" t="str">
        <f t="shared" si="269"/>
        <v/>
      </c>
      <c r="AG642" s="4" t="str">
        <f t="shared" si="270"/>
        <v/>
      </c>
      <c r="AH642" s="4" t="str">
        <f t="shared" si="271"/>
        <v/>
      </c>
      <c r="AI642" s="4" t="str">
        <f t="shared" si="272"/>
        <v/>
      </c>
      <c r="AJ642" s="4" t="str">
        <f t="shared" si="273"/>
        <v/>
      </c>
      <c r="AK642" s="4" t="str">
        <f t="shared" si="274"/>
        <v/>
      </c>
      <c r="AL642" s="2" t="str">
        <f t="shared" si="275"/>
        <v/>
      </c>
      <c r="AM642" s="6" t="str">
        <f t="shared" si="276"/>
        <v/>
      </c>
      <c r="AN642" s="4" t="str">
        <f t="shared" si="277"/>
        <v/>
      </c>
      <c r="AO642" s="4" t="str">
        <f t="shared" si="278"/>
        <v/>
      </c>
      <c r="AP642" s="4" t="str">
        <f t="shared" si="279"/>
        <v/>
      </c>
      <c r="AQ642" s="4" t="str">
        <f t="shared" si="280"/>
        <v/>
      </c>
      <c r="AR642" s="4" t="str">
        <f t="shared" si="281"/>
        <v/>
      </c>
    </row>
    <row r="643" spans="8:44" s="1" customFormat="1" ht="14.25" x14ac:dyDescent="0.3">
      <c r="H643" s="50"/>
      <c r="J643" s="54"/>
      <c r="L643" s="54"/>
      <c r="R643" s="45"/>
      <c r="S643" s="54"/>
      <c r="T643" s="54"/>
      <c r="U643" s="54"/>
      <c r="V643" s="44"/>
      <c r="W643" s="27"/>
      <c r="Z643" s="27"/>
      <c r="AA643" s="8"/>
      <c r="AB643" s="81" t="str">
        <f t="shared" si="265"/>
        <v/>
      </c>
      <c r="AC643" s="6" t="str">
        <f t="shared" si="266"/>
        <v/>
      </c>
      <c r="AD643" s="1" t="str">
        <f t="shared" ca="1" si="267"/>
        <v/>
      </c>
      <c r="AE643" s="75" t="str">
        <f t="shared" si="268"/>
        <v/>
      </c>
      <c r="AF643" s="75" t="str">
        <f t="shared" si="269"/>
        <v/>
      </c>
      <c r="AG643" s="4" t="str">
        <f t="shared" si="270"/>
        <v/>
      </c>
      <c r="AH643" s="4" t="str">
        <f t="shared" si="271"/>
        <v/>
      </c>
      <c r="AI643" s="4" t="str">
        <f t="shared" si="272"/>
        <v/>
      </c>
      <c r="AJ643" s="4" t="str">
        <f t="shared" si="273"/>
        <v/>
      </c>
      <c r="AK643" s="4" t="str">
        <f t="shared" si="274"/>
        <v/>
      </c>
      <c r="AL643" s="2" t="str">
        <f t="shared" si="275"/>
        <v/>
      </c>
      <c r="AM643" s="6" t="str">
        <f t="shared" si="276"/>
        <v/>
      </c>
      <c r="AN643" s="4" t="str">
        <f t="shared" si="277"/>
        <v/>
      </c>
      <c r="AO643" s="4" t="str">
        <f t="shared" si="278"/>
        <v/>
      </c>
      <c r="AP643" s="4" t="str">
        <f t="shared" si="279"/>
        <v/>
      </c>
      <c r="AQ643" s="4" t="str">
        <f t="shared" si="280"/>
        <v/>
      </c>
      <c r="AR643" s="4" t="str">
        <f t="shared" si="281"/>
        <v/>
      </c>
    </row>
    <row r="644" spans="8:44" s="1" customFormat="1" ht="14.25" x14ac:dyDescent="0.3">
      <c r="H644" s="50"/>
      <c r="J644" s="54"/>
      <c r="L644" s="54"/>
      <c r="R644" s="45"/>
      <c r="S644" s="54"/>
      <c r="T644" s="54"/>
      <c r="U644" s="54"/>
      <c r="V644" s="44"/>
      <c r="W644" s="27"/>
      <c r="Z644" s="27"/>
      <c r="AA644" s="8"/>
      <c r="AB644" s="81" t="str">
        <f t="shared" si="265"/>
        <v/>
      </c>
      <c r="AC644" s="6" t="str">
        <f t="shared" si="266"/>
        <v/>
      </c>
      <c r="AD644" s="1" t="str">
        <f t="shared" ca="1" si="267"/>
        <v/>
      </c>
      <c r="AE644" s="75" t="str">
        <f t="shared" si="268"/>
        <v/>
      </c>
      <c r="AF644" s="75" t="str">
        <f t="shared" si="269"/>
        <v/>
      </c>
      <c r="AG644" s="4" t="str">
        <f t="shared" si="270"/>
        <v/>
      </c>
      <c r="AH644" s="4" t="str">
        <f t="shared" si="271"/>
        <v/>
      </c>
      <c r="AI644" s="4" t="str">
        <f t="shared" si="272"/>
        <v/>
      </c>
      <c r="AJ644" s="4" t="str">
        <f t="shared" si="273"/>
        <v/>
      </c>
      <c r="AK644" s="4" t="str">
        <f t="shared" si="274"/>
        <v/>
      </c>
      <c r="AL644" s="2" t="str">
        <f t="shared" si="275"/>
        <v/>
      </c>
      <c r="AM644" s="6" t="str">
        <f t="shared" si="276"/>
        <v/>
      </c>
      <c r="AN644" s="4" t="str">
        <f t="shared" si="277"/>
        <v/>
      </c>
      <c r="AO644" s="4" t="str">
        <f t="shared" si="278"/>
        <v/>
      </c>
      <c r="AP644" s="4" t="str">
        <f t="shared" si="279"/>
        <v/>
      </c>
      <c r="AQ644" s="4" t="str">
        <f t="shared" si="280"/>
        <v/>
      </c>
      <c r="AR644" s="4" t="str">
        <f t="shared" si="281"/>
        <v/>
      </c>
    </row>
    <row r="645" spans="8:44" s="1" customFormat="1" ht="14.25" x14ac:dyDescent="0.3">
      <c r="H645" s="50"/>
      <c r="J645" s="54"/>
      <c r="L645" s="54"/>
      <c r="R645" s="45"/>
      <c r="S645" s="54"/>
      <c r="T645" s="54"/>
      <c r="U645" s="54"/>
      <c r="V645" s="44"/>
      <c r="W645" s="27"/>
      <c r="Z645" s="27"/>
      <c r="AA645" s="8"/>
      <c r="AB645" s="81" t="str">
        <f t="shared" si="265"/>
        <v/>
      </c>
      <c r="AC645" s="6" t="str">
        <f t="shared" si="266"/>
        <v/>
      </c>
      <c r="AD645" s="1" t="str">
        <f t="shared" ca="1" si="267"/>
        <v/>
      </c>
      <c r="AE645" s="75" t="str">
        <f t="shared" si="268"/>
        <v/>
      </c>
      <c r="AF645" s="75" t="str">
        <f t="shared" si="269"/>
        <v/>
      </c>
      <c r="AG645" s="4" t="str">
        <f t="shared" si="270"/>
        <v/>
      </c>
      <c r="AH645" s="4" t="str">
        <f t="shared" si="271"/>
        <v/>
      </c>
      <c r="AI645" s="4" t="str">
        <f t="shared" si="272"/>
        <v/>
      </c>
      <c r="AJ645" s="4" t="str">
        <f t="shared" si="273"/>
        <v/>
      </c>
      <c r="AK645" s="4" t="str">
        <f t="shared" si="274"/>
        <v/>
      </c>
      <c r="AL645" s="2" t="str">
        <f t="shared" si="275"/>
        <v/>
      </c>
      <c r="AM645" s="6" t="str">
        <f t="shared" si="276"/>
        <v/>
      </c>
      <c r="AN645" s="4" t="str">
        <f t="shared" si="277"/>
        <v/>
      </c>
      <c r="AO645" s="4" t="str">
        <f t="shared" si="278"/>
        <v/>
      </c>
      <c r="AP645" s="4" t="str">
        <f t="shared" si="279"/>
        <v/>
      </c>
      <c r="AQ645" s="4" t="str">
        <f t="shared" si="280"/>
        <v/>
      </c>
      <c r="AR645" s="4" t="str">
        <f t="shared" si="281"/>
        <v/>
      </c>
    </row>
    <row r="646" spans="8:44" s="1" customFormat="1" ht="14.25" x14ac:dyDescent="0.3">
      <c r="H646" s="50"/>
      <c r="J646" s="54"/>
      <c r="L646" s="54"/>
      <c r="R646" s="45"/>
      <c r="S646" s="54"/>
      <c r="T646" s="54"/>
      <c r="U646" s="54"/>
      <c r="V646" s="44"/>
      <c r="W646" s="27"/>
      <c r="Z646" s="27"/>
      <c r="AA646" s="8"/>
      <c r="AB646" s="81" t="str">
        <f t="shared" si="265"/>
        <v/>
      </c>
      <c r="AC646" s="6" t="str">
        <f t="shared" si="266"/>
        <v/>
      </c>
      <c r="AD646" s="1" t="str">
        <f t="shared" ca="1" si="267"/>
        <v/>
      </c>
      <c r="AE646" s="75" t="str">
        <f t="shared" si="268"/>
        <v/>
      </c>
      <c r="AF646" s="75" t="str">
        <f t="shared" si="269"/>
        <v/>
      </c>
      <c r="AG646" s="4" t="str">
        <f t="shared" si="270"/>
        <v/>
      </c>
      <c r="AH646" s="4" t="str">
        <f t="shared" si="271"/>
        <v/>
      </c>
      <c r="AI646" s="4" t="str">
        <f t="shared" si="272"/>
        <v/>
      </c>
      <c r="AJ646" s="4" t="str">
        <f t="shared" si="273"/>
        <v/>
      </c>
      <c r="AK646" s="4" t="str">
        <f t="shared" si="274"/>
        <v/>
      </c>
      <c r="AL646" s="2" t="str">
        <f t="shared" si="275"/>
        <v/>
      </c>
      <c r="AM646" s="6" t="str">
        <f t="shared" si="276"/>
        <v/>
      </c>
      <c r="AN646" s="4" t="str">
        <f t="shared" si="277"/>
        <v/>
      </c>
      <c r="AO646" s="4" t="str">
        <f t="shared" si="278"/>
        <v/>
      </c>
      <c r="AP646" s="4" t="str">
        <f t="shared" si="279"/>
        <v/>
      </c>
      <c r="AQ646" s="4" t="str">
        <f t="shared" si="280"/>
        <v/>
      </c>
      <c r="AR646" s="4" t="str">
        <f t="shared" si="281"/>
        <v/>
      </c>
    </row>
    <row r="647" spans="8:44" s="1" customFormat="1" ht="14.25" x14ac:dyDescent="0.3">
      <c r="H647" s="50"/>
      <c r="J647" s="54"/>
      <c r="L647" s="54"/>
      <c r="R647" s="45"/>
      <c r="S647" s="54"/>
      <c r="T647" s="54"/>
      <c r="U647" s="54"/>
      <c r="V647" s="44"/>
      <c r="W647" s="27"/>
      <c r="Z647" s="27"/>
      <c r="AA647" s="8"/>
      <c r="AB647" s="81" t="str">
        <f t="shared" si="265"/>
        <v/>
      </c>
      <c r="AC647" s="6" t="str">
        <f t="shared" si="266"/>
        <v/>
      </c>
      <c r="AD647" s="1" t="str">
        <f t="shared" ca="1" si="267"/>
        <v/>
      </c>
      <c r="AE647" s="75" t="str">
        <f t="shared" si="268"/>
        <v/>
      </c>
      <c r="AF647" s="75" t="str">
        <f t="shared" si="269"/>
        <v/>
      </c>
      <c r="AG647" s="4" t="str">
        <f t="shared" si="270"/>
        <v/>
      </c>
      <c r="AH647" s="4" t="str">
        <f t="shared" si="271"/>
        <v/>
      </c>
      <c r="AI647" s="4" t="str">
        <f t="shared" si="272"/>
        <v/>
      </c>
      <c r="AJ647" s="4" t="str">
        <f t="shared" si="273"/>
        <v/>
      </c>
      <c r="AK647" s="4" t="str">
        <f t="shared" si="274"/>
        <v/>
      </c>
      <c r="AL647" s="2" t="str">
        <f t="shared" si="275"/>
        <v/>
      </c>
      <c r="AM647" s="6" t="str">
        <f t="shared" si="276"/>
        <v/>
      </c>
      <c r="AN647" s="4" t="str">
        <f t="shared" si="277"/>
        <v/>
      </c>
      <c r="AO647" s="4" t="str">
        <f t="shared" si="278"/>
        <v/>
      </c>
      <c r="AP647" s="4" t="str">
        <f t="shared" si="279"/>
        <v/>
      </c>
      <c r="AQ647" s="4" t="str">
        <f t="shared" si="280"/>
        <v/>
      </c>
      <c r="AR647" s="4" t="str">
        <f t="shared" si="281"/>
        <v/>
      </c>
    </row>
    <row r="648" spans="8:44" s="1" customFormat="1" ht="14.25" x14ac:dyDescent="0.3">
      <c r="H648" s="50"/>
      <c r="J648" s="54"/>
      <c r="L648" s="54"/>
      <c r="R648" s="45"/>
      <c r="S648" s="54"/>
      <c r="T648" s="54"/>
      <c r="U648" s="54"/>
      <c r="V648" s="44"/>
      <c r="W648" s="27"/>
      <c r="Z648" s="27"/>
      <c r="AA648" s="8"/>
      <c r="AB648" s="81" t="str">
        <f t="shared" si="265"/>
        <v/>
      </c>
      <c r="AC648" s="6" t="str">
        <f t="shared" si="266"/>
        <v/>
      </c>
      <c r="AD648" s="1" t="str">
        <f t="shared" ca="1" si="267"/>
        <v/>
      </c>
      <c r="AE648" s="75" t="str">
        <f t="shared" si="268"/>
        <v/>
      </c>
      <c r="AF648" s="75" t="str">
        <f t="shared" si="269"/>
        <v/>
      </c>
      <c r="AG648" s="4" t="str">
        <f t="shared" si="270"/>
        <v/>
      </c>
      <c r="AH648" s="4" t="str">
        <f t="shared" si="271"/>
        <v/>
      </c>
      <c r="AI648" s="4" t="str">
        <f t="shared" si="272"/>
        <v/>
      </c>
      <c r="AJ648" s="4" t="str">
        <f t="shared" si="273"/>
        <v/>
      </c>
      <c r="AK648" s="4" t="str">
        <f t="shared" si="274"/>
        <v/>
      </c>
      <c r="AL648" s="2" t="str">
        <f t="shared" si="275"/>
        <v/>
      </c>
      <c r="AM648" s="6" t="str">
        <f t="shared" si="276"/>
        <v/>
      </c>
      <c r="AN648" s="4" t="str">
        <f t="shared" si="277"/>
        <v/>
      </c>
      <c r="AO648" s="4" t="str">
        <f t="shared" si="278"/>
        <v/>
      </c>
      <c r="AP648" s="4" t="str">
        <f t="shared" si="279"/>
        <v/>
      </c>
      <c r="AQ648" s="4" t="str">
        <f t="shared" si="280"/>
        <v/>
      </c>
      <c r="AR648" s="4" t="str">
        <f t="shared" si="281"/>
        <v/>
      </c>
    </row>
    <row r="649" spans="8:44" s="1" customFormat="1" ht="14.25" x14ac:dyDescent="0.3">
      <c r="H649" s="50"/>
      <c r="J649" s="54"/>
      <c r="L649" s="54"/>
      <c r="R649" s="45"/>
      <c r="S649" s="54"/>
      <c r="T649" s="54"/>
      <c r="U649" s="54"/>
      <c r="V649" s="44"/>
      <c r="W649" s="27"/>
      <c r="Z649" s="27"/>
      <c r="AA649" s="8"/>
      <c r="AB649" s="81" t="str">
        <f t="shared" si="265"/>
        <v/>
      </c>
      <c r="AC649" s="6" t="str">
        <f t="shared" si="266"/>
        <v/>
      </c>
      <c r="AD649" s="1" t="str">
        <f t="shared" ca="1" si="267"/>
        <v/>
      </c>
      <c r="AE649" s="75" t="str">
        <f t="shared" si="268"/>
        <v/>
      </c>
      <c r="AF649" s="75" t="str">
        <f t="shared" si="269"/>
        <v/>
      </c>
      <c r="AG649" s="4" t="str">
        <f t="shared" si="270"/>
        <v/>
      </c>
      <c r="AH649" s="4" t="str">
        <f t="shared" si="271"/>
        <v/>
      </c>
      <c r="AI649" s="4" t="str">
        <f t="shared" si="272"/>
        <v/>
      </c>
      <c r="AJ649" s="4" t="str">
        <f t="shared" si="273"/>
        <v/>
      </c>
      <c r="AK649" s="4" t="str">
        <f t="shared" si="274"/>
        <v/>
      </c>
      <c r="AL649" s="2" t="str">
        <f t="shared" si="275"/>
        <v/>
      </c>
      <c r="AM649" s="6" t="str">
        <f t="shared" si="276"/>
        <v/>
      </c>
      <c r="AN649" s="4" t="str">
        <f t="shared" si="277"/>
        <v/>
      </c>
      <c r="AO649" s="4" t="str">
        <f t="shared" si="278"/>
        <v/>
      </c>
      <c r="AP649" s="4" t="str">
        <f t="shared" si="279"/>
        <v/>
      </c>
      <c r="AQ649" s="4" t="str">
        <f t="shared" si="280"/>
        <v/>
      </c>
      <c r="AR649" s="4" t="str">
        <f t="shared" si="281"/>
        <v/>
      </c>
    </row>
    <row r="650" spans="8:44" s="1" customFormat="1" ht="14.25" x14ac:dyDescent="0.3">
      <c r="H650" s="50"/>
      <c r="J650" s="54"/>
      <c r="L650" s="54"/>
      <c r="R650" s="45"/>
      <c r="S650" s="54"/>
      <c r="T650" s="54"/>
      <c r="U650" s="54"/>
      <c r="V650" s="44"/>
      <c r="W650" s="27"/>
      <c r="Z650" s="27"/>
      <c r="AA650" s="8"/>
      <c r="AB650" s="81" t="str">
        <f t="shared" si="265"/>
        <v/>
      </c>
      <c r="AC650" s="6" t="str">
        <f t="shared" si="266"/>
        <v/>
      </c>
      <c r="AD650" s="1" t="str">
        <f t="shared" ca="1" si="267"/>
        <v/>
      </c>
      <c r="AE650" s="75" t="str">
        <f t="shared" si="268"/>
        <v/>
      </c>
      <c r="AF650" s="75" t="str">
        <f t="shared" si="269"/>
        <v/>
      </c>
      <c r="AG650" s="4" t="str">
        <f t="shared" si="270"/>
        <v/>
      </c>
      <c r="AH650" s="4" t="str">
        <f t="shared" si="271"/>
        <v/>
      </c>
      <c r="AI650" s="4" t="str">
        <f t="shared" si="272"/>
        <v/>
      </c>
      <c r="AJ650" s="4" t="str">
        <f t="shared" si="273"/>
        <v/>
      </c>
      <c r="AK650" s="4" t="str">
        <f t="shared" si="274"/>
        <v/>
      </c>
      <c r="AL650" s="2" t="str">
        <f t="shared" si="275"/>
        <v/>
      </c>
      <c r="AM650" s="6" t="str">
        <f t="shared" si="276"/>
        <v/>
      </c>
      <c r="AN650" s="4" t="str">
        <f t="shared" si="277"/>
        <v/>
      </c>
      <c r="AO650" s="4" t="str">
        <f t="shared" si="278"/>
        <v/>
      </c>
      <c r="AP650" s="4" t="str">
        <f t="shared" si="279"/>
        <v/>
      </c>
      <c r="AQ650" s="4" t="str">
        <f t="shared" si="280"/>
        <v/>
      </c>
      <c r="AR650" s="4" t="str">
        <f t="shared" si="281"/>
        <v/>
      </c>
    </row>
    <row r="651" spans="8:44" s="1" customFormat="1" ht="14.25" x14ac:dyDescent="0.3">
      <c r="H651" s="50"/>
      <c r="J651" s="54"/>
      <c r="L651" s="54"/>
      <c r="R651" s="45"/>
      <c r="S651" s="54"/>
      <c r="T651" s="54"/>
      <c r="U651" s="54"/>
      <c r="V651" s="44"/>
      <c r="W651" s="27"/>
      <c r="Z651" s="27"/>
      <c r="AA651" s="8"/>
      <c r="AB651" s="81" t="str">
        <f t="shared" si="265"/>
        <v/>
      </c>
      <c r="AC651" s="6" t="str">
        <f t="shared" si="266"/>
        <v/>
      </c>
      <c r="AD651" s="1" t="str">
        <f t="shared" ca="1" si="267"/>
        <v/>
      </c>
      <c r="AE651" s="75" t="str">
        <f t="shared" si="268"/>
        <v/>
      </c>
      <c r="AF651" s="75" t="str">
        <f t="shared" si="269"/>
        <v/>
      </c>
      <c r="AG651" s="4" t="str">
        <f t="shared" si="270"/>
        <v/>
      </c>
      <c r="AH651" s="4" t="str">
        <f t="shared" si="271"/>
        <v/>
      </c>
      <c r="AI651" s="4" t="str">
        <f t="shared" si="272"/>
        <v/>
      </c>
      <c r="AJ651" s="4" t="str">
        <f t="shared" si="273"/>
        <v/>
      </c>
      <c r="AK651" s="4" t="str">
        <f t="shared" si="274"/>
        <v/>
      </c>
      <c r="AL651" s="2" t="str">
        <f t="shared" si="275"/>
        <v/>
      </c>
      <c r="AM651" s="6" t="str">
        <f t="shared" si="276"/>
        <v/>
      </c>
      <c r="AN651" s="4" t="str">
        <f t="shared" si="277"/>
        <v/>
      </c>
      <c r="AO651" s="4" t="str">
        <f t="shared" si="278"/>
        <v/>
      </c>
      <c r="AP651" s="4" t="str">
        <f t="shared" si="279"/>
        <v/>
      </c>
      <c r="AQ651" s="4" t="str">
        <f t="shared" si="280"/>
        <v/>
      </c>
      <c r="AR651" s="4" t="str">
        <f t="shared" si="281"/>
        <v/>
      </c>
    </row>
    <row r="652" spans="8:44" s="1" customFormat="1" ht="14.25" x14ac:dyDescent="0.3">
      <c r="H652" s="50"/>
      <c r="J652" s="54"/>
      <c r="L652" s="54"/>
      <c r="R652" s="45"/>
      <c r="S652" s="54"/>
      <c r="T652" s="54"/>
      <c r="U652" s="54"/>
      <c r="V652" s="44"/>
      <c r="W652" s="27"/>
      <c r="Z652" s="27"/>
      <c r="AA652" s="8"/>
      <c r="AB652" s="81" t="str">
        <f t="shared" si="265"/>
        <v/>
      </c>
      <c r="AC652" s="6" t="str">
        <f t="shared" si="266"/>
        <v/>
      </c>
      <c r="AD652" s="1" t="str">
        <f t="shared" ca="1" si="267"/>
        <v/>
      </c>
      <c r="AE652" s="75" t="str">
        <f t="shared" si="268"/>
        <v/>
      </c>
      <c r="AF652" s="75" t="str">
        <f t="shared" si="269"/>
        <v/>
      </c>
      <c r="AG652" s="4" t="str">
        <f t="shared" si="270"/>
        <v/>
      </c>
      <c r="AH652" s="4" t="str">
        <f t="shared" si="271"/>
        <v/>
      </c>
      <c r="AI652" s="4" t="str">
        <f t="shared" si="272"/>
        <v/>
      </c>
      <c r="AJ652" s="4" t="str">
        <f t="shared" si="273"/>
        <v/>
      </c>
      <c r="AK652" s="4" t="str">
        <f t="shared" si="274"/>
        <v/>
      </c>
      <c r="AL652" s="2" t="str">
        <f t="shared" si="275"/>
        <v/>
      </c>
      <c r="AM652" s="6" t="str">
        <f t="shared" si="276"/>
        <v/>
      </c>
      <c r="AN652" s="4" t="str">
        <f t="shared" si="277"/>
        <v/>
      </c>
      <c r="AO652" s="4" t="str">
        <f t="shared" si="278"/>
        <v/>
      </c>
      <c r="AP652" s="4" t="str">
        <f t="shared" si="279"/>
        <v/>
      </c>
      <c r="AQ652" s="4" t="str">
        <f t="shared" si="280"/>
        <v/>
      </c>
      <c r="AR652" s="4" t="str">
        <f t="shared" si="281"/>
        <v/>
      </c>
    </row>
    <row r="653" spans="8:44" s="1" customFormat="1" ht="14.25" x14ac:dyDescent="0.3">
      <c r="H653" s="50"/>
      <c r="J653" s="54"/>
      <c r="L653" s="54"/>
      <c r="R653" s="45"/>
      <c r="S653" s="54"/>
      <c r="T653" s="54"/>
      <c r="U653" s="54"/>
      <c r="V653" s="44"/>
      <c r="W653" s="27"/>
      <c r="Z653" s="27"/>
      <c r="AA653" s="8"/>
      <c r="AB653" s="81" t="str">
        <f t="shared" si="265"/>
        <v/>
      </c>
      <c r="AC653" s="6" t="str">
        <f t="shared" si="266"/>
        <v/>
      </c>
      <c r="AD653" s="1" t="str">
        <f t="shared" ca="1" si="267"/>
        <v/>
      </c>
      <c r="AE653" s="75" t="str">
        <f t="shared" si="268"/>
        <v/>
      </c>
      <c r="AF653" s="75" t="str">
        <f t="shared" si="269"/>
        <v/>
      </c>
      <c r="AG653" s="4" t="str">
        <f t="shared" si="270"/>
        <v/>
      </c>
      <c r="AH653" s="4" t="str">
        <f t="shared" si="271"/>
        <v/>
      </c>
      <c r="AI653" s="4" t="str">
        <f t="shared" si="272"/>
        <v/>
      </c>
      <c r="AJ653" s="4" t="str">
        <f t="shared" si="273"/>
        <v/>
      </c>
      <c r="AK653" s="4" t="str">
        <f t="shared" si="274"/>
        <v/>
      </c>
      <c r="AL653" s="2" t="str">
        <f t="shared" si="275"/>
        <v/>
      </c>
      <c r="AM653" s="6" t="str">
        <f t="shared" si="276"/>
        <v/>
      </c>
      <c r="AN653" s="4" t="str">
        <f t="shared" si="277"/>
        <v/>
      </c>
      <c r="AO653" s="4" t="str">
        <f t="shared" si="278"/>
        <v/>
      </c>
      <c r="AP653" s="4" t="str">
        <f t="shared" si="279"/>
        <v/>
      </c>
      <c r="AQ653" s="4" t="str">
        <f t="shared" si="280"/>
        <v/>
      </c>
      <c r="AR653" s="4" t="str">
        <f t="shared" si="281"/>
        <v/>
      </c>
    </row>
    <row r="654" spans="8:44" s="1" customFormat="1" ht="14.25" x14ac:dyDescent="0.3">
      <c r="H654" s="50"/>
      <c r="J654" s="54"/>
      <c r="L654" s="54"/>
      <c r="R654" s="45"/>
      <c r="S654" s="54"/>
      <c r="T654" s="54"/>
      <c r="U654" s="54"/>
      <c r="V654" s="44"/>
      <c r="W654" s="27"/>
      <c r="Z654" s="27"/>
      <c r="AA654" s="8"/>
      <c r="AB654" s="81" t="str">
        <f t="shared" si="265"/>
        <v/>
      </c>
      <c r="AC654" s="6" t="str">
        <f t="shared" si="266"/>
        <v/>
      </c>
      <c r="AD654" s="1" t="str">
        <f t="shared" ca="1" si="267"/>
        <v/>
      </c>
      <c r="AE654" s="75" t="str">
        <f t="shared" si="268"/>
        <v/>
      </c>
      <c r="AF654" s="75" t="str">
        <f t="shared" si="269"/>
        <v/>
      </c>
      <c r="AG654" s="4" t="str">
        <f t="shared" si="270"/>
        <v/>
      </c>
      <c r="AH654" s="4" t="str">
        <f t="shared" si="271"/>
        <v/>
      </c>
      <c r="AI654" s="4" t="str">
        <f t="shared" si="272"/>
        <v/>
      </c>
      <c r="AJ654" s="4" t="str">
        <f t="shared" si="273"/>
        <v/>
      </c>
      <c r="AK654" s="4" t="str">
        <f t="shared" si="274"/>
        <v/>
      </c>
      <c r="AL654" s="2" t="str">
        <f t="shared" si="275"/>
        <v/>
      </c>
      <c r="AM654" s="6" t="str">
        <f t="shared" si="276"/>
        <v/>
      </c>
      <c r="AN654" s="4" t="str">
        <f t="shared" si="277"/>
        <v/>
      </c>
      <c r="AO654" s="4" t="str">
        <f t="shared" si="278"/>
        <v/>
      </c>
      <c r="AP654" s="4" t="str">
        <f t="shared" si="279"/>
        <v/>
      </c>
      <c r="AQ654" s="4" t="str">
        <f t="shared" si="280"/>
        <v/>
      </c>
      <c r="AR654" s="4" t="str">
        <f t="shared" si="281"/>
        <v/>
      </c>
    </row>
    <row r="655" spans="8:44" s="1" customFormat="1" ht="14.25" x14ac:dyDescent="0.3">
      <c r="H655" s="50"/>
      <c r="J655" s="54"/>
      <c r="L655" s="54"/>
      <c r="R655" s="45"/>
      <c r="S655" s="54"/>
      <c r="T655" s="54"/>
      <c r="U655" s="54"/>
      <c r="V655" s="44"/>
      <c r="W655" s="27"/>
      <c r="Z655" s="27"/>
      <c r="AA655" s="8"/>
      <c r="AB655" s="81" t="str">
        <f t="shared" si="265"/>
        <v/>
      </c>
      <c r="AC655" s="6" t="str">
        <f t="shared" si="266"/>
        <v/>
      </c>
      <c r="AD655" s="1" t="str">
        <f t="shared" ca="1" si="267"/>
        <v/>
      </c>
      <c r="AE655" s="75" t="str">
        <f t="shared" si="268"/>
        <v/>
      </c>
      <c r="AF655" s="75" t="str">
        <f t="shared" si="269"/>
        <v/>
      </c>
      <c r="AG655" s="4" t="str">
        <f t="shared" si="270"/>
        <v/>
      </c>
      <c r="AH655" s="4" t="str">
        <f t="shared" si="271"/>
        <v/>
      </c>
      <c r="AI655" s="4" t="str">
        <f t="shared" si="272"/>
        <v/>
      </c>
      <c r="AJ655" s="4" t="str">
        <f t="shared" si="273"/>
        <v/>
      </c>
      <c r="AK655" s="4" t="str">
        <f t="shared" si="274"/>
        <v/>
      </c>
      <c r="AL655" s="2" t="str">
        <f t="shared" si="275"/>
        <v/>
      </c>
      <c r="AM655" s="6" t="str">
        <f t="shared" si="276"/>
        <v/>
      </c>
      <c r="AN655" s="4" t="str">
        <f t="shared" si="277"/>
        <v/>
      </c>
      <c r="AO655" s="4" t="str">
        <f t="shared" si="278"/>
        <v/>
      </c>
      <c r="AP655" s="4" t="str">
        <f t="shared" si="279"/>
        <v/>
      </c>
      <c r="AQ655" s="4" t="str">
        <f t="shared" si="280"/>
        <v/>
      </c>
      <c r="AR655" s="4" t="str">
        <f t="shared" si="281"/>
        <v/>
      </c>
    </row>
    <row r="656" spans="8:44" s="1" customFormat="1" ht="14.25" x14ac:dyDescent="0.3">
      <c r="H656" s="50"/>
      <c r="J656" s="54"/>
      <c r="L656" s="54"/>
      <c r="R656" s="45"/>
      <c r="S656" s="54"/>
      <c r="T656" s="54"/>
      <c r="U656" s="54"/>
      <c r="V656" s="44"/>
      <c r="W656" s="27"/>
      <c r="Z656" s="27"/>
      <c r="AA656" s="8"/>
      <c r="AB656" s="81" t="str">
        <f t="shared" si="265"/>
        <v/>
      </c>
      <c r="AC656" s="6" t="str">
        <f t="shared" si="266"/>
        <v/>
      </c>
      <c r="AD656" s="1" t="str">
        <f t="shared" ca="1" si="267"/>
        <v/>
      </c>
      <c r="AE656" s="75" t="str">
        <f t="shared" si="268"/>
        <v/>
      </c>
      <c r="AF656" s="75" t="str">
        <f t="shared" si="269"/>
        <v/>
      </c>
      <c r="AG656" s="4" t="str">
        <f t="shared" si="270"/>
        <v/>
      </c>
      <c r="AH656" s="4" t="str">
        <f t="shared" si="271"/>
        <v/>
      </c>
      <c r="AI656" s="4" t="str">
        <f t="shared" si="272"/>
        <v/>
      </c>
      <c r="AJ656" s="4" t="str">
        <f t="shared" si="273"/>
        <v/>
      </c>
      <c r="AK656" s="4" t="str">
        <f t="shared" si="274"/>
        <v/>
      </c>
      <c r="AL656" s="2" t="str">
        <f t="shared" si="275"/>
        <v/>
      </c>
      <c r="AM656" s="6" t="str">
        <f t="shared" si="276"/>
        <v/>
      </c>
      <c r="AN656" s="4" t="str">
        <f t="shared" si="277"/>
        <v/>
      </c>
      <c r="AO656" s="4" t="str">
        <f t="shared" si="278"/>
        <v/>
      </c>
      <c r="AP656" s="4" t="str">
        <f t="shared" si="279"/>
        <v/>
      </c>
      <c r="AQ656" s="4" t="str">
        <f t="shared" si="280"/>
        <v/>
      </c>
      <c r="AR656" s="4" t="str">
        <f t="shared" si="281"/>
        <v/>
      </c>
    </row>
    <row r="657" spans="8:44" s="1" customFormat="1" ht="14.25" x14ac:dyDescent="0.3">
      <c r="H657" s="50"/>
      <c r="J657" s="54"/>
      <c r="L657" s="54"/>
      <c r="R657" s="45"/>
      <c r="S657" s="54"/>
      <c r="T657" s="54"/>
      <c r="U657" s="54"/>
      <c r="V657" s="44"/>
      <c r="W657" s="27"/>
      <c r="Z657" s="27"/>
      <c r="AA657" s="8"/>
      <c r="AB657" s="81" t="str">
        <f t="shared" si="265"/>
        <v/>
      </c>
      <c r="AC657" s="6" t="str">
        <f t="shared" si="266"/>
        <v/>
      </c>
      <c r="AD657" s="1" t="str">
        <f t="shared" ca="1" si="267"/>
        <v/>
      </c>
      <c r="AE657" s="75" t="str">
        <f t="shared" si="268"/>
        <v/>
      </c>
      <c r="AF657" s="75" t="str">
        <f t="shared" si="269"/>
        <v/>
      </c>
      <c r="AG657" s="4" t="str">
        <f t="shared" si="270"/>
        <v/>
      </c>
      <c r="AH657" s="4" t="str">
        <f t="shared" si="271"/>
        <v/>
      </c>
      <c r="AI657" s="4" t="str">
        <f t="shared" si="272"/>
        <v/>
      </c>
      <c r="AJ657" s="4" t="str">
        <f t="shared" si="273"/>
        <v/>
      </c>
      <c r="AK657" s="4" t="str">
        <f t="shared" si="274"/>
        <v/>
      </c>
      <c r="AL657" s="2" t="str">
        <f t="shared" si="275"/>
        <v/>
      </c>
      <c r="AM657" s="6" t="str">
        <f t="shared" si="276"/>
        <v/>
      </c>
      <c r="AN657" s="4" t="str">
        <f t="shared" si="277"/>
        <v/>
      </c>
      <c r="AO657" s="4" t="str">
        <f t="shared" si="278"/>
        <v/>
      </c>
      <c r="AP657" s="4" t="str">
        <f t="shared" si="279"/>
        <v/>
      </c>
      <c r="AQ657" s="4" t="str">
        <f t="shared" si="280"/>
        <v/>
      </c>
      <c r="AR657" s="4" t="str">
        <f t="shared" si="281"/>
        <v/>
      </c>
    </row>
    <row r="658" spans="8:44" s="1" customFormat="1" ht="14.25" x14ac:dyDescent="0.3">
      <c r="H658" s="50"/>
      <c r="J658" s="54"/>
      <c r="L658" s="54"/>
      <c r="R658" s="45"/>
      <c r="S658" s="54"/>
      <c r="T658" s="54"/>
      <c r="U658" s="54"/>
      <c r="V658" s="44"/>
      <c r="W658" s="27"/>
      <c r="Z658" s="27"/>
      <c r="AA658" s="8"/>
      <c r="AB658" s="81" t="str">
        <f t="shared" si="265"/>
        <v/>
      </c>
      <c r="AC658" s="6" t="str">
        <f t="shared" si="266"/>
        <v/>
      </c>
      <c r="AD658" s="1" t="str">
        <f t="shared" ca="1" si="267"/>
        <v/>
      </c>
      <c r="AE658" s="75" t="str">
        <f t="shared" si="268"/>
        <v/>
      </c>
      <c r="AF658" s="75" t="str">
        <f t="shared" si="269"/>
        <v/>
      </c>
      <c r="AG658" s="4" t="str">
        <f t="shared" si="270"/>
        <v/>
      </c>
      <c r="AH658" s="4" t="str">
        <f t="shared" si="271"/>
        <v/>
      </c>
      <c r="AI658" s="4" t="str">
        <f t="shared" si="272"/>
        <v/>
      </c>
      <c r="AJ658" s="4" t="str">
        <f t="shared" si="273"/>
        <v/>
      </c>
      <c r="AK658" s="4" t="str">
        <f t="shared" si="274"/>
        <v/>
      </c>
      <c r="AL658" s="2" t="str">
        <f t="shared" si="275"/>
        <v/>
      </c>
      <c r="AM658" s="6" t="str">
        <f t="shared" si="276"/>
        <v/>
      </c>
      <c r="AN658" s="4" t="str">
        <f t="shared" si="277"/>
        <v/>
      </c>
      <c r="AO658" s="4" t="str">
        <f t="shared" si="278"/>
        <v/>
      </c>
      <c r="AP658" s="4" t="str">
        <f t="shared" si="279"/>
        <v/>
      </c>
      <c r="AQ658" s="4" t="str">
        <f t="shared" si="280"/>
        <v/>
      </c>
      <c r="AR658" s="4" t="str">
        <f t="shared" si="281"/>
        <v/>
      </c>
    </row>
    <row r="659" spans="8:44" s="1" customFormat="1" ht="14.25" x14ac:dyDescent="0.3">
      <c r="H659" s="50"/>
      <c r="J659" s="54"/>
      <c r="L659" s="54"/>
      <c r="R659" s="45"/>
      <c r="S659" s="54"/>
      <c r="T659" s="54"/>
      <c r="U659" s="54"/>
      <c r="V659" s="44"/>
      <c r="W659" s="27"/>
      <c r="Z659" s="27"/>
      <c r="AA659" s="8"/>
      <c r="AB659" s="81" t="str">
        <f t="shared" si="265"/>
        <v/>
      </c>
      <c r="AC659" s="6" t="str">
        <f t="shared" si="266"/>
        <v/>
      </c>
      <c r="AD659" s="1" t="str">
        <f t="shared" ca="1" si="267"/>
        <v/>
      </c>
      <c r="AE659" s="75" t="str">
        <f t="shared" si="268"/>
        <v/>
      </c>
      <c r="AF659" s="75" t="str">
        <f t="shared" si="269"/>
        <v/>
      </c>
      <c r="AG659" s="4" t="str">
        <f t="shared" si="270"/>
        <v/>
      </c>
      <c r="AH659" s="4" t="str">
        <f t="shared" si="271"/>
        <v/>
      </c>
      <c r="AI659" s="4" t="str">
        <f t="shared" si="272"/>
        <v/>
      </c>
      <c r="AJ659" s="4" t="str">
        <f t="shared" si="273"/>
        <v/>
      </c>
      <c r="AK659" s="4" t="str">
        <f t="shared" si="274"/>
        <v/>
      </c>
      <c r="AL659" s="2" t="str">
        <f t="shared" si="275"/>
        <v/>
      </c>
      <c r="AM659" s="6" t="str">
        <f t="shared" si="276"/>
        <v/>
      </c>
      <c r="AN659" s="4" t="str">
        <f t="shared" si="277"/>
        <v/>
      </c>
      <c r="AO659" s="4" t="str">
        <f t="shared" si="278"/>
        <v/>
      </c>
      <c r="AP659" s="4" t="str">
        <f t="shared" si="279"/>
        <v/>
      </c>
      <c r="AQ659" s="4" t="str">
        <f t="shared" si="280"/>
        <v/>
      </c>
      <c r="AR659" s="4" t="str">
        <f t="shared" si="281"/>
        <v/>
      </c>
    </row>
    <row r="660" spans="8:44" s="1" customFormat="1" ht="14.25" x14ac:dyDescent="0.3">
      <c r="H660" s="50"/>
      <c r="J660" s="54"/>
      <c r="L660" s="54"/>
      <c r="R660" s="45"/>
      <c r="S660" s="54"/>
      <c r="T660" s="54"/>
      <c r="U660" s="54"/>
      <c r="V660" s="44"/>
      <c r="W660" s="27"/>
      <c r="Z660" s="27"/>
      <c r="AA660" s="8"/>
      <c r="AB660" s="81" t="str">
        <f t="shared" si="265"/>
        <v/>
      </c>
      <c r="AC660" s="6" t="str">
        <f t="shared" si="266"/>
        <v/>
      </c>
      <c r="AD660" s="1" t="str">
        <f t="shared" ca="1" si="267"/>
        <v/>
      </c>
      <c r="AE660" s="75" t="str">
        <f t="shared" si="268"/>
        <v/>
      </c>
      <c r="AF660" s="75" t="str">
        <f t="shared" si="269"/>
        <v/>
      </c>
      <c r="AG660" s="4" t="str">
        <f t="shared" si="270"/>
        <v/>
      </c>
      <c r="AH660" s="4" t="str">
        <f t="shared" si="271"/>
        <v/>
      </c>
      <c r="AI660" s="4" t="str">
        <f t="shared" si="272"/>
        <v/>
      </c>
      <c r="AJ660" s="4" t="str">
        <f t="shared" si="273"/>
        <v/>
      </c>
      <c r="AK660" s="4" t="str">
        <f t="shared" si="274"/>
        <v/>
      </c>
      <c r="AL660" s="2" t="str">
        <f t="shared" si="275"/>
        <v/>
      </c>
      <c r="AM660" s="6" t="str">
        <f t="shared" si="276"/>
        <v/>
      </c>
      <c r="AN660" s="4" t="str">
        <f t="shared" si="277"/>
        <v/>
      </c>
      <c r="AO660" s="4" t="str">
        <f t="shared" si="278"/>
        <v/>
      </c>
      <c r="AP660" s="4" t="str">
        <f t="shared" si="279"/>
        <v/>
      </c>
      <c r="AQ660" s="4" t="str">
        <f t="shared" si="280"/>
        <v/>
      </c>
      <c r="AR660" s="4" t="str">
        <f t="shared" si="281"/>
        <v/>
      </c>
    </row>
    <row r="661" spans="8:44" s="1" customFormat="1" ht="14.25" x14ac:dyDescent="0.3">
      <c r="H661" s="50"/>
      <c r="J661" s="54"/>
      <c r="L661" s="54"/>
      <c r="R661" s="45"/>
      <c r="S661" s="54"/>
      <c r="T661" s="54"/>
      <c r="U661" s="54"/>
      <c r="V661" s="44"/>
      <c r="W661" s="27"/>
      <c r="Z661" s="27"/>
      <c r="AA661" s="8"/>
      <c r="AB661" s="81" t="str">
        <f t="shared" si="265"/>
        <v/>
      </c>
      <c r="AC661" s="6" t="str">
        <f t="shared" si="266"/>
        <v/>
      </c>
      <c r="AD661" s="1" t="str">
        <f t="shared" ca="1" si="267"/>
        <v/>
      </c>
      <c r="AE661" s="75" t="str">
        <f t="shared" si="268"/>
        <v/>
      </c>
      <c r="AF661" s="75" t="str">
        <f t="shared" si="269"/>
        <v/>
      </c>
      <c r="AG661" s="4" t="str">
        <f t="shared" si="270"/>
        <v/>
      </c>
      <c r="AH661" s="4" t="str">
        <f t="shared" si="271"/>
        <v/>
      </c>
      <c r="AI661" s="4" t="str">
        <f t="shared" si="272"/>
        <v/>
      </c>
      <c r="AJ661" s="4" t="str">
        <f t="shared" si="273"/>
        <v/>
      </c>
      <c r="AK661" s="4" t="str">
        <f t="shared" si="274"/>
        <v/>
      </c>
      <c r="AL661" s="2" t="str">
        <f t="shared" si="275"/>
        <v/>
      </c>
      <c r="AM661" s="6" t="str">
        <f t="shared" si="276"/>
        <v/>
      </c>
      <c r="AN661" s="4" t="str">
        <f t="shared" si="277"/>
        <v/>
      </c>
      <c r="AO661" s="4" t="str">
        <f t="shared" si="278"/>
        <v/>
      </c>
      <c r="AP661" s="4" t="str">
        <f t="shared" si="279"/>
        <v/>
      </c>
      <c r="AQ661" s="4" t="str">
        <f t="shared" si="280"/>
        <v/>
      </c>
      <c r="AR661" s="4" t="str">
        <f t="shared" si="281"/>
        <v/>
      </c>
    </row>
    <row r="662" spans="8:44" s="1" customFormat="1" ht="14.25" x14ac:dyDescent="0.3">
      <c r="H662" s="50"/>
      <c r="J662" s="54"/>
      <c r="L662" s="54"/>
      <c r="R662" s="45"/>
      <c r="S662" s="54"/>
      <c r="T662" s="54"/>
      <c r="U662" s="54"/>
      <c r="V662" s="44"/>
      <c r="W662" s="27"/>
      <c r="Z662" s="27"/>
      <c r="AA662" s="8"/>
      <c r="AB662" s="81" t="str">
        <f t="shared" si="265"/>
        <v/>
      </c>
      <c r="AC662" s="6" t="str">
        <f t="shared" si="266"/>
        <v/>
      </c>
      <c r="AD662" s="1" t="str">
        <f t="shared" ca="1" si="267"/>
        <v/>
      </c>
      <c r="AE662" s="75" t="str">
        <f t="shared" si="268"/>
        <v/>
      </c>
      <c r="AF662" s="75" t="str">
        <f t="shared" si="269"/>
        <v/>
      </c>
      <c r="AG662" s="4" t="str">
        <f t="shared" si="270"/>
        <v/>
      </c>
      <c r="AH662" s="4" t="str">
        <f t="shared" si="271"/>
        <v/>
      </c>
      <c r="AI662" s="4" t="str">
        <f t="shared" si="272"/>
        <v/>
      </c>
      <c r="AJ662" s="4" t="str">
        <f t="shared" si="273"/>
        <v/>
      </c>
      <c r="AK662" s="4" t="str">
        <f t="shared" si="274"/>
        <v/>
      </c>
      <c r="AL662" s="2" t="str">
        <f t="shared" si="275"/>
        <v/>
      </c>
      <c r="AM662" s="6" t="str">
        <f t="shared" si="276"/>
        <v/>
      </c>
      <c r="AN662" s="4" t="str">
        <f t="shared" si="277"/>
        <v/>
      </c>
      <c r="AO662" s="4" t="str">
        <f t="shared" si="278"/>
        <v/>
      </c>
      <c r="AP662" s="4" t="str">
        <f t="shared" si="279"/>
        <v/>
      </c>
      <c r="AQ662" s="4" t="str">
        <f t="shared" si="280"/>
        <v/>
      </c>
      <c r="AR662" s="4" t="str">
        <f t="shared" si="281"/>
        <v/>
      </c>
    </row>
    <row r="663" spans="8:44" s="1" customFormat="1" ht="14.25" x14ac:dyDescent="0.3">
      <c r="H663" s="50"/>
      <c r="J663" s="54"/>
      <c r="L663" s="54"/>
      <c r="R663" s="45"/>
      <c r="S663" s="54"/>
      <c r="T663" s="54"/>
      <c r="U663" s="54"/>
      <c r="V663" s="44"/>
      <c r="W663" s="27"/>
      <c r="Z663" s="27"/>
      <c r="AA663" s="8"/>
      <c r="AB663" s="81" t="str">
        <f t="shared" si="265"/>
        <v/>
      </c>
      <c r="AC663" s="6" t="str">
        <f t="shared" si="266"/>
        <v/>
      </c>
      <c r="AD663" s="1" t="str">
        <f t="shared" ca="1" si="267"/>
        <v/>
      </c>
      <c r="AE663" s="75" t="str">
        <f t="shared" si="268"/>
        <v/>
      </c>
      <c r="AF663" s="75" t="str">
        <f t="shared" si="269"/>
        <v/>
      </c>
      <c r="AG663" s="4" t="str">
        <f t="shared" si="270"/>
        <v/>
      </c>
      <c r="AH663" s="4" t="str">
        <f t="shared" si="271"/>
        <v/>
      </c>
      <c r="AI663" s="4" t="str">
        <f t="shared" si="272"/>
        <v/>
      </c>
      <c r="AJ663" s="4" t="str">
        <f t="shared" si="273"/>
        <v/>
      </c>
      <c r="AK663" s="4" t="str">
        <f t="shared" si="274"/>
        <v/>
      </c>
      <c r="AL663" s="2" t="str">
        <f t="shared" si="275"/>
        <v/>
      </c>
      <c r="AM663" s="6" t="str">
        <f t="shared" si="276"/>
        <v/>
      </c>
      <c r="AN663" s="4" t="str">
        <f t="shared" si="277"/>
        <v/>
      </c>
      <c r="AO663" s="4" t="str">
        <f t="shared" si="278"/>
        <v/>
      </c>
      <c r="AP663" s="4" t="str">
        <f t="shared" si="279"/>
        <v/>
      </c>
      <c r="AQ663" s="4" t="str">
        <f t="shared" si="280"/>
        <v/>
      </c>
      <c r="AR663" s="4" t="str">
        <f t="shared" si="281"/>
        <v/>
      </c>
    </row>
    <row r="664" spans="8:44" s="1" customFormat="1" ht="14.25" x14ac:dyDescent="0.3">
      <c r="H664" s="50"/>
      <c r="J664" s="54"/>
      <c r="L664" s="54"/>
      <c r="R664" s="45"/>
      <c r="S664" s="54"/>
      <c r="T664" s="54"/>
      <c r="U664" s="54"/>
      <c r="V664" s="44"/>
      <c r="W664" s="27"/>
      <c r="Z664" s="27"/>
      <c r="AA664" s="8"/>
      <c r="AB664" s="81" t="str">
        <f t="shared" si="265"/>
        <v/>
      </c>
      <c r="AC664" s="6" t="str">
        <f t="shared" si="266"/>
        <v/>
      </c>
      <c r="AD664" s="1" t="str">
        <f t="shared" ca="1" si="267"/>
        <v/>
      </c>
      <c r="AE664" s="75" t="str">
        <f t="shared" si="268"/>
        <v/>
      </c>
      <c r="AF664" s="75" t="str">
        <f t="shared" si="269"/>
        <v/>
      </c>
      <c r="AG664" s="4" t="str">
        <f t="shared" si="270"/>
        <v/>
      </c>
      <c r="AH664" s="4" t="str">
        <f t="shared" si="271"/>
        <v/>
      </c>
      <c r="AI664" s="4" t="str">
        <f t="shared" si="272"/>
        <v/>
      </c>
      <c r="AJ664" s="4" t="str">
        <f t="shared" si="273"/>
        <v/>
      </c>
      <c r="AK664" s="4" t="str">
        <f t="shared" si="274"/>
        <v/>
      </c>
      <c r="AL664" s="2" t="str">
        <f t="shared" si="275"/>
        <v/>
      </c>
      <c r="AM664" s="6" t="str">
        <f t="shared" si="276"/>
        <v/>
      </c>
      <c r="AN664" s="4" t="str">
        <f t="shared" si="277"/>
        <v/>
      </c>
      <c r="AO664" s="4" t="str">
        <f t="shared" si="278"/>
        <v/>
      </c>
      <c r="AP664" s="4" t="str">
        <f t="shared" si="279"/>
        <v/>
      </c>
      <c r="AQ664" s="4" t="str">
        <f t="shared" si="280"/>
        <v/>
      </c>
      <c r="AR664" s="4" t="str">
        <f t="shared" si="281"/>
        <v/>
      </c>
    </row>
    <row r="665" spans="8:44" s="1" customFormat="1" ht="14.25" x14ac:dyDescent="0.3">
      <c r="H665" s="50"/>
      <c r="J665" s="54"/>
      <c r="L665" s="54"/>
      <c r="R665" s="45"/>
      <c r="S665" s="54"/>
      <c r="T665" s="54"/>
      <c r="U665" s="54"/>
      <c r="V665" s="44"/>
      <c r="W665" s="27"/>
      <c r="Z665" s="27"/>
      <c r="AA665" s="8"/>
      <c r="AB665" s="81" t="str">
        <f t="shared" si="265"/>
        <v/>
      </c>
      <c r="AC665" s="6" t="str">
        <f t="shared" si="266"/>
        <v/>
      </c>
      <c r="AD665" s="1" t="str">
        <f t="shared" ca="1" si="267"/>
        <v/>
      </c>
      <c r="AE665" s="75" t="str">
        <f t="shared" si="268"/>
        <v/>
      </c>
      <c r="AF665" s="75" t="str">
        <f t="shared" si="269"/>
        <v/>
      </c>
      <c r="AG665" s="4" t="str">
        <f t="shared" si="270"/>
        <v/>
      </c>
      <c r="AH665" s="4" t="str">
        <f t="shared" si="271"/>
        <v/>
      </c>
      <c r="AI665" s="4" t="str">
        <f t="shared" si="272"/>
        <v/>
      </c>
      <c r="AJ665" s="4" t="str">
        <f t="shared" si="273"/>
        <v/>
      </c>
      <c r="AK665" s="4" t="str">
        <f t="shared" si="274"/>
        <v/>
      </c>
      <c r="AL665" s="2" t="str">
        <f t="shared" si="275"/>
        <v/>
      </c>
      <c r="AM665" s="6" t="str">
        <f t="shared" si="276"/>
        <v/>
      </c>
      <c r="AN665" s="4" t="str">
        <f t="shared" si="277"/>
        <v/>
      </c>
      <c r="AO665" s="4" t="str">
        <f t="shared" si="278"/>
        <v/>
      </c>
      <c r="AP665" s="4" t="str">
        <f t="shared" si="279"/>
        <v/>
      </c>
      <c r="AQ665" s="4" t="str">
        <f t="shared" si="280"/>
        <v/>
      </c>
      <c r="AR665" s="4" t="str">
        <f t="shared" si="281"/>
        <v/>
      </c>
    </row>
    <row r="666" spans="8:44" s="1" customFormat="1" ht="14.25" x14ac:dyDescent="0.3">
      <c r="H666" s="50"/>
      <c r="J666" s="54"/>
      <c r="L666" s="54"/>
      <c r="R666" s="45"/>
      <c r="S666" s="54"/>
      <c r="T666" s="54"/>
      <c r="U666" s="54"/>
      <c r="V666" s="44"/>
      <c r="W666" s="27"/>
      <c r="Z666" s="27"/>
      <c r="AA666" s="8"/>
      <c r="AB666" s="81" t="str">
        <f t="shared" si="265"/>
        <v/>
      </c>
      <c r="AC666" s="6" t="str">
        <f t="shared" si="266"/>
        <v/>
      </c>
      <c r="AD666" s="1" t="str">
        <f t="shared" ca="1" si="267"/>
        <v/>
      </c>
      <c r="AE666" s="75" t="str">
        <f t="shared" si="268"/>
        <v/>
      </c>
      <c r="AF666" s="75" t="str">
        <f t="shared" si="269"/>
        <v/>
      </c>
      <c r="AG666" s="4" t="str">
        <f t="shared" si="270"/>
        <v/>
      </c>
      <c r="AH666" s="4" t="str">
        <f t="shared" si="271"/>
        <v/>
      </c>
      <c r="AI666" s="4" t="str">
        <f t="shared" si="272"/>
        <v/>
      </c>
      <c r="AJ666" s="4" t="str">
        <f t="shared" si="273"/>
        <v/>
      </c>
      <c r="AK666" s="4" t="str">
        <f t="shared" si="274"/>
        <v/>
      </c>
      <c r="AL666" s="2" t="str">
        <f t="shared" si="275"/>
        <v/>
      </c>
      <c r="AM666" s="6" t="str">
        <f t="shared" si="276"/>
        <v/>
      </c>
      <c r="AN666" s="4" t="str">
        <f t="shared" si="277"/>
        <v/>
      </c>
      <c r="AO666" s="4" t="str">
        <f t="shared" si="278"/>
        <v/>
      </c>
      <c r="AP666" s="4" t="str">
        <f t="shared" si="279"/>
        <v/>
      </c>
      <c r="AQ666" s="4" t="str">
        <f t="shared" si="280"/>
        <v/>
      </c>
      <c r="AR666" s="4" t="str">
        <f t="shared" si="281"/>
        <v/>
      </c>
    </row>
    <row r="667" spans="8:44" s="1" customFormat="1" ht="14.25" x14ac:dyDescent="0.3">
      <c r="H667" s="50"/>
      <c r="J667" s="54"/>
      <c r="L667" s="54"/>
      <c r="R667" s="45"/>
      <c r="S667" s="54"/>
      <c r="T667" s="54"/>
      <c r="U667" s="54"/>
      <c r="V667" s="44"/>
      <c r="W667" s="27"/>
      <c r="Z667" s="27"/>
      <c r="AA667" s="8"/>
      <c r="AB667" s="81" t="str">
        <f t="shared" si="265"/>
        <v/>
      </c>
      <c r="AC667" s="6" t="str">
        <f t="shared" si="266"/>
        <v/>
      </c>
      <c r="AD667" s="1" t="str">
        <f t="shared" ca="1" si="267"/>
        <v/>
      </c>
      <c r="AE667" s="75" t="str">
        <f t="shared" si="268"/>
        <v/>
      </c>
      <c r="AF667" s="75" t="str">
        <f t="shared" si="269"/>
        <v/>
      </c>
      <c r="AG667" s="4" t="str">
        <f t="shared" si="270"/>
        <v/>
      </c>
      <c r="AH667" s="4" t="str">
        <f t="shared" si="271"/>
        <v/>
      </c>
      <c r="AI667" s="4" t="str">
        <f t="shared" si="272"/>
        <v/>
      </c>
      <c r="AJ667" s="4" t="str">
        <f t="shared" si="273"/>
        <v/>
      </c>
      <c r="AK667" s="4" t="str">
        <f t="shared" si="274"/>
        <v/>
      </c>
      <c r="AL667" s="2" t="str">
        <f t="shared" si="275"/>
        <v/>
      </c>
      <c r="AM667" s="6" t="str">
        <f t="shared" si="276"/>
        <v/>
      </c>
      <c r="AN667" s="4" t="str">
        <f t="shared" si="277"/>
        <v/>
      </c>
      <c r="AO667" s="4" t="str">
        <f t="shared" si="278"/>
        <v/>
      </c>
      <c r="AP667" s="4" t="str">
        <f t="shared" si="279"/>
        <v/>
      </c>
      <c r="AQ667" s="4" t="str">
        <f t="shared" si="280"/>
        <v/>
      </c>
      <c r="AR667" s="4" t="str">
        <f t="shared" si="281"/>
        <v/>
      </c>
    </row>
    <row r="668" spans="8:44" s="1" customFormat="1" ht="14.25" x14ac:dyDescent="0.3">
      <c r="H668" s="50"/>
      <c r="J668" s="54"/>
      <c r="L668" s="54"/>
      <c r="R668" s="45"/>
      <c r="S668" s="54"/>
      <c r="T668" s="54"/>
      <c r="U668" s="54"/>
      <c r="V668" s="44"/>
      <c r="W668" s="27"/>
      <c r="Z668" s="27"/>
      <c r="AA668" s="8"/>
      <c r="AB668" s="81" t="str">
        <f t="shared" si="265"/>
        <v/>
      </c>
      <c r="AC668" s="6" t="str">
        <f t="shared" si="266"/>
        <v/>
      </c>
      <c r="AD668" s="1" t="str">
        <f t="shared" ca="1" si="267"/>
        <v/>
      </c>
      <c r="AE668" s="75" t="str">
        <f t="shared" si="268"/>
        <v/>
      </c>
      <c r="AF668" s="75" t="str">
        <f t="shared" si="269"/>
        <v/>
      </c>
      <c r="AG668" s="4" t="str">
        <f t="shared" si="270"/>
        <v/>
      </c>
      <c r="AH668" s="4" t="str">
        <f t="shared" si="271"/>
        <v/>
      </c>
      <c r="AI668" s="4" t="str">
        <f t="shared" si="272"/>
        <v/>
      </c>
      <c r="AJ668" s="4" t="str">
        <f t="shared" si="273"/>
        <v/>
      </c>
      <c r="AK668" s="4" t="str">
        <f t="shared" si="274"/>
        <v/>
      </c>
      <c r="AL668" s="2" t="str">
        <f t="shared" si="275"/>
        <v/>
      </c>
      <c r="AM668" s="6" t="str">
        <f t="shared" si="276"/>
        <v/>
      </c>
      <c r="AN668" s="4" t="str">
        <f t="shared" si="277"/>
        <v/>
      </c>
      <c r="AO668" s="4" t="str">
        <f t="shared" si="278"/>
        <v/>
      </c>
      <c r="AP668" s="4" t="str">
        <f t="shared" si="279"/>
        <v/>
      </c>
      <c r="AQ668" s="4" t="str">
        <f t="shared" si="280"/>
        <v/>
      </c>
      <c r="AR668" s="4" t="str">
        <f t="shared" si="281"/>
        <v/>
      </c>
    </row>
    <row r="669" spans="8:44" s="1" customFormat="1" ht="14.25" x14ac:dyDescent="0.3">
      <c r="H669" s="50"/>
      <c r="J669" s="54"/>
      <c r="L669" s="54"/>
      <c r="R669" s="45"/>
      <c r="S669" s="54"/>
      <c r="T669" s="54"/>
      <c r="U669" s="54"/>
      <c r="V669" s="44"/>
      <c r="W669" s="27"/>
      <c r="Z669" s="27"/>
      <c r="AA669" s="8"/>
      <c r="AB669" s="81" t="str">
        <f t="shared" si="265"/>
        <v/>
      </c>
      <c r="AC669" s="6" t="str">
        <f t="shared" si="266"/>
        <v/>
      </c>
      <c r="AD669" s="1" t="str">
        <f t="shared" ca="1" si="267"/>
        <v/>
      </c>
      <c r="AE669" s="75" t="str">
        <f t="shared" si="268"/>
        <v/>
      </c>
      <c r="AF669" s="75" t="str">
        <f t="shared" si="269"/>
        <v/>
      </c>
      <c r="AG669" s="4" t="str">
        <f t="shared" si="270"/>
        <v/>
      </c>
      <c r="AH669" s="4" t="str">
        <f t="shared" si="271"/>
        <v/>
      </c>
      <c r="AI669" s="4" t="str">
        <f t="shared" si="272"/>
        <v/>
      </c>
      <c r="AJ669" s="4" t="str">
        <f t="shared" si="273"/>
        <v/>
      </c>
      <c r="AK669" s="4" t="str">
        <f t="shared" si="274"/>
        <v/>
      </c>
      <c r="AL669" s="2" t="str">
        <f t="shared" si="275"/>
        <v/>
      </c>
      <c r="AM669" s="6" t="str">
        <f t="shared" si="276"/>
        <v/>
      </c>
      <c r="AN669" s="4" t="str">
        <f t="shared" si="277"/>
        <v/>
      </c>
      <c r="AO669" s="4" t="str">
        <f t="shared" si="278"/>
        <v/>
      </c>
      <c r="AP669" s="4" t="str">
        <f t="shared" si="279"/>
        <v/>
      </c>
      <c r="AQ669" s="4" t="str">
        <f t="shared" si="280"/>
        <v/>
      </c>
      <c r="AR669" s="4" t="str">
        <f t="shared" si="281"/>
        <v/>
      </c>
    </row>
    <row r="670" spans="8:44" s="1" customFormat="1" ht="14.25" x14ac:dyDescent="0.3">
      <c r="H670" s="50"/>
      <c r="J670" s="54"/>
      <c r="L670" s="54"/>
      <c r="R670" s="45"/>
      <c r="S670" s="54"/>
      <c r="T670" s="54"/>
      <c r="U670" s="54"/>
      <c r="V670" s="44"/>
      <c r="W670" s="27"/>
      <c r="Z670" s="27"/>
      <c r="AA670" s="8"/>
      <c r="AB670" s="81" t="str">
        <f t="shared" si="265"/>
        <v/>
      </c>
      <c r="AC670" s="6" t="str">
        <f t="shared" si="266"/>
        <v/>
      </c>
      <c r="AD670" s="1" t="str">
        <f t="shared" ca="1" si="267"/>
        <v/>
      </c>
      <c r="AE670" s="75" t="str">
        <f t="shared" si="268"/>
        <v/>
      </c>
      <c r="AF670" s="75" t="str">
        <f t="shared" si="269"/>
        <v/>
      </c>
      <c r="AG670" s="4" t="str">
        <f t="shared" si="270"/>
        <v/>
      </c>
      <c r="AH670" s="4" t="str">
        <f t="shared" si="271"/>
        <v/>
      </c>
      <c r="AI670" s="4" t="str">
        <f t="shared" si="272"/>
        <v/>
      </c>
      <c r="AJ670" s="4" t="str">
        <f t="shared" si="273"/>
        <v/>
      </c>
      <c r="AK670" s="4" t="str">
        <f t="shared" si="274"/>
        <v/>
      </c>
      <c r="AL670" s="2" t="str">
        <f t="shared" si="275"/>
        <v/>
      </c>
      <c r="AM670" s="6" t="str">
        <f t="shared" si="276"/>
        <v/>
      </c>
      <c r="AN670" s="4" t="str">
        <f t="shared" si="277"/>
        <v/>
      </c>
      <c r="AO670" s="4" t="str">
        <f t="shared" si="278"/>
        <v/>
      </c>
      <c r="AP670" s="4" t="str">
        <f t="shared" si="279"/>
        <v/>
      </c>
      <c r="AQ670" s="4" t="str">
        <f t="shared" si="280"/>
        <v/>
      </c>
      <c r="AR670" s="4" t="str">
        <f t="shared" si="281"/>
        <v/>
      </c>
    </row>
    <row r="671" spans="8:44" s="1" customFormat="1" ht="14.25" x14ac:dyDescent="0.3">
      <c r="H671" s="50"/>
      <c r="J671" s="54"/>
      <c r="L671" s="54"/>
      <c r="R671" s="45"/>
      <c r="S671" s="54"/>
      <c r="T671" s="54"/>
      <c r="U671" s="54"/>
      <c r="V671" s="44"/>
      <c r="W671" s="27"/>
      <c r="Z671" s="27"/>
      <c r="AA671" s="8"/>
      <c r="AB671" s="81" t="str">
        <f t="shared" si="265"/>
        <v/>
      </c>
      <c r="AC671" s="6" t="str">
        <f t="shared" si="266"/>
        <v/>
      </c>
      <c r="AD671" s="1" t="str">
        <f t="shared" ca="1" si="267"/>
        <v/>
      </c>
      <c r="AE671" s="75" t="str">
        <f t="shared" si="268"/>
        <v/>
      </c>
      <c r="AF671" s="75" t="str">
        <f t="shared" si="269"/>
        <v/>
      </c>
      <c r="AG671" s="4" t="str">
        <f t="shared" si="270"/>
        <v/>
      </c>
      <c r="AH671" s="4" t="str">
        <f t="shared" si="271"/>
        <v/>
      </c>
      <c r="AI671" s="4" t="str">
        <f t="shared" si="272"/>
        <v/>
      </c>
      <c r="AJ671" s="4" t="str">
        <f t="shared" si="273"/>
        <v/>
      </c>
      <c r="AK671" s="4" t="str">
        <f t="shared" si="274"/>
        <v/>
      </c>
      <c r="AL671" s="2" t="str">
        <f t="shared" si="275"/>
        <v/>
      </c>
      <c r="AM671" s="6" t="str">
        <f t="shared" si="276"/>
        <v/>
      </c>
      <c r="AN671" s="4" t="str">
        <f t="shared" si="277"/>
        <v/>
      </c>
      <c r="AO671" s="4" t="str">
        <f t="shared" si="278"/>
        <v/>
      </c>
      <c r="AP671" s="4" t="str">
        <f t="shared" si="279"/>
        <v/>
      </c>
      <c r="AQ671" s="4" t="str">
        <f t="shared" si="280"/>
        <v/>
      </c>
      <c r="AR671" s="4" t="str">
        <f t="shared" si="281"/>
        <v/>
      </c>
    </row>
    <row r="672" spans="8:44" s="1" customFormat="1" ht="14.25" x14ac:dyDescent="0.3">
      <c r="H672" s="50"/>
      <c r="J672" s="54"/>
      <c r="L672" s="54"/>
      <c r="R672" s="45"/>
      <c r="S672" s="54"/>
      <c r="T672" s="54"/>
      <c r="U672" s="54"/>
      <c r="V672" s="44"/>
      <c r="W672" s="27"/>
      <c r="Z672" s="27"/>
      <c r="AA672" s="8"/>
      <c r="AB672" s="81" t="str">
        <f t="shared" si="265"/>
        <v/>
      </c>
      <c r="AC672" s="6" t="str">
        <f t="shared" si="266"/>
        <v/>
      </c>
      <c r="AD672" s="1" t="str">
        <f t="shared" ca="1" si="267"/>
        <v/>
      </c>
      <c r="AE672" s="75" t="str">
        <f t="shared" si="268"/>
        <v/>
      </c>
      <c r="AF672" s="75" t="str">
        <f t="shared" si="269"/>
        <v/>
      </c>
      <c r="AG672" s="4" t="str">
        <f t="shared" si="270"/>
        <v/>
      </c>
      <c r="AH672" s="4" t="str">
        <f t="shared" si="271"/>
        <v/>
      </c>
      <c r="AI672" s="4" t="str">
        <f t="shared" si="272"/>
        <v/>
      </c>
      <c r="AJ672" s="4" t="str">
        <f t="shared" si="273"/>
        <v/>
      </c>
      <c r="AK672" s="4" t="str">
        <f t="shared" si="274"/>
        <v/>
      </c>
      <c r="AL672" s="2" t="str">
        <f t="shared" si="275"/>
        <v/>
      </c>
      <c r="AM672" s="6" t="str">
        <f t="shared" si="276"/>
        <v/>
      </c>
      <c r="AN672" s="4" t="str">
        <f t="shared" si="277"/>
        <v/>
      </c>
      <c r="AO672" s="4" t="str">
        <f t="shared" si="278"/>
        <v/>
      </c>
      <c r="AP672" s="4" t="str">
        <f t="shared" si="279"/>
        <v/>
      </c>
      <c r="AQ672" s="4" t="str">
        <f t="shared" si="280"/>
        <v/>
      </c>
      <c r="AR672" s="4" t="str">
        <f t="shared" si="281"/>
        <v/>
      </c>
    </row>
    <row r="673" spans="8:44" s="1" customFormat="1" ht="14.25" x14ac:dyDescent="0.3">
      <c r="H673" s="50"/>
      <c r="J673" s="54"/>
      <c r="L673" s="54"/>
      <c r="R673" s="45"/>
      <c r="S673" s="54"/>
      <c r="T673" s="54"/>
      <c r="U673" s="54"/>
      <c r="V673" s="44"/>
      <c r="W673" s="27"/>
      <c r="Z673" s="27"/>
      <c r="AA673" s="8"/>
      <c r="AB673" s="81" t="str">
        <f t="shared" si="265"/>
        <v/>
      </c>
      <c r="AC673" s="6" t="str">
        <f t="shared" si="266"/>
        <v/>
      </c>
      <c r="AD673" s="1" t="str">
        <f t="shared" ca="1" si="267"/>
        <v/>
      </c>
      <c r="AE673" s="75" t="str">
        <f t="shared" si="268"/>
        <v/>
      </c>
      <c r="AF673" s="75" t="str">
        <f t="shared" si="269"/>
        <v/>
      </c>
      <c r="AG673" s="4" t="str">
        <f t="shared" si="270"/>
        <v/>
      </c>
      <c r="AH673" s="4" t="str">
        <f t="shared" si="271"/>
        <v/>
      </c>
      <c r="AI673" s="4" t="str">
        <f t="shared" si="272"/>
        <v/>
      </c>
      <c r="AJ673" s="4" t="str">
        <f t="shared" si="273"/>
        <v/>
      </c>
      <c r="AK673" s="4" t="str">
        <f t="shared" si="274"/>
        <v/>
      </c>
      <c r="AL673" s="2" t="str">
        <f t="shared" si="275"/>
        <v/>
      </c>
      <c r="AM673" s="6" t="str">
        <f t="shared" si="276"/>
        <v/>
      </c>
      <c r="AN673" s="4" t="str">
        <f t="shared" si="277"/>
        <v/>
      </c>
      <c r="AO673" s="4" t="str">
        <f t="shared" si="278"/>
        <v/>
      </c>
      <c r="AP673" s="4" t="str">
        <f t="shared" si="279"/>
        <v/>
      </c>
      <c r="AQ673" s="4" t="str">
        <f t="shared" si="280"/>
        <v/>
      </c>
      <c r="AR673" s="4" t="str">
        <f t="shared" si="281"/>
        <v/>
      </c>
    </row>
    <row r="674" spans="8:44" s="1" customFormat="1" ht="14.25" x14ac:dyDescent="0.3">
      <c r="H674" s="50"/>
      <c r="J674" s="54"/>
      <c r="L674" s="54"/>
      <c r="R674" s="45"/>
      <c r="S674" s="54"/>
      <c r="T674" s="54"/>
      <c r="U674" s="54"/>
      <c r="V674" s="44"/>
      <c r="W674" s="27"/>
      <c r="Z674" s="27"/>
      <c r="AA674" s="8"/>
      <c r="AB674" s="81" t="str">
        <f t="shared" si="265"/>
        <v/>
      </c>
      <c r="AC674" s="6" t="str">
        <f t="shared" si="266"/>
        <v/>
      </c>
      <c r="AD674" s="1" t="str">
        <f t="shared" ca="1" si="267"/>
        <v/>
      </c>
      <c r="AE674" s="75" t="str">
        <f t="shared" si="268"/>
        <v/>
      </c>
      <c r="AF674" s="75" t="str">
        <f t="shared" si="269"/>
        <v/>
      </c>
      <c r="AG674" s="4" t="str">
        <f t="shared" si="270"/>
        <v/>
      </c>
      <c r="AH674" s="4" t="str">
        <f t="shared" si="271"/>
        <v/>
      </c>
      <c r="AI674" s="4" t="str">
        <f t="shared" si="272"/>
        <v/>
      </c>
      <c r="AJ674" s="4" t="str">
        <f t="shared" si="273"/>
        <v/>
      </c>
      <c r="AK674" s="4" t="str">
        <f t="shared" si="274"/>
        <v/>
      </c>
      <c r="AL674" s="2" t="str">
        <f t="shared" si="275"/>
        <v/>
      </c>
      <c r="AM674" s="6" t="str">
        <f t="shared" si="276"/>
        <v/>
      </c>
      <c r="AN674" s="4" t="str">
        <f t="shared" si="277"/>
        <v/>
      </c>
      <c r="AO674" s="4" t="str">
        <f t="shared" si="278"/>
        <v/>
      </c>
      <c r="AP674" s="4" t="str">
        <f t="shared" si="279"/>
        <v/>
      </c>
      <c r="AQ674" s="4" t="str">
        <f t="shared" si="280"/>
        <v/>
      </c>
      <c r="AR674" s="4" t="str">
        <f t="shared" si="281"/>
        <v/>
      </c>
    </row>
    <row r="675" spans="8:44" s="1" customFormat="1" ht="14.25" x14ac:dyDescent="0.3">
      <c r="H675" s="50"/>
      <c r="J675" s="54"/>
      <c r="L675" s="54"/>
      <c r="R675" s="45"/>
      <c r="S675" s="54"/>
      <c r="T675" s="54"/>
      <c r="U675" s="54"/>
      <c r="V675" s="44"/>
      <c r="W675" s="27"/>
      <c r="Z675" s="27"/>
      <c r="AA675" s="8"/>
      <c r="AB675" s="81" t="str">
        <f t="shared" si="265"/>
        <v/>
      </c>
      <c r="AC675" s="6" t="str">
        <f t="shared" si="266"/>
        <v/>
      </c>
      <c r="AD675" s="1" t="str">
        <f t="shared" ca="1" si="267"/>
        <v/>
      </c>
      <c r="AE675" s="75" t="str">
        <f t="shared" si="268"/>
        <v/>
      </c>
      <c r="AF675" s="75" t="str">
        <f t="shared" si="269"/>
        <v/>
      </c>
      <c r="AG675" s="4" t="str">
        <f t="shared" si="270"/>
        <v/>
      </c>
      <c r="AH675" s="4" t="str">
        <f t="shared" si="271"/>
        <v/>
      </c>
      <c r="AI675" s="4" t="str">
        <f t="shared" si="272"/>
        <v/>
      </c>
      <c r="AJ675" s="4" t="str">
        <f t="shared" si="273"/>
        <v/>
      </c>
      <c r="AK675" s="4" t="str">
        <f t="shared" si="274"/>
        <v/>
      </c>
      <c r="AL675" s="2" t="str">
        <f t="shared" si="275"/>
        <v/>
      </c>
      <c r="AM675" s="6" t="str">
        <f t="shared" si="276"/>
        <v/>
      </c>
      <c r="AN675" s="4" t="str">
        <f t="shared" si="277"/>
        <v/>
      </c>
      <c r="AO675" s="4" t="str">
        <f t="shared" si="278"/>
        <v/>
      </c>
      <c r="AP675" s="4" t="str">
        <f t="shared" si="279"/>
        <v/>
      </c>
      <c r="AQ675" s="4" t="str">
        <f t="shared" si="280"/>
        <v/>
      </c>
      <c r="AR675" s="4" t="str">
        <f t="shared" si="281"/>
        <v/>
      </c>
    </row>
    <row r="676" spans="8:44" s="1" customFormat="1" ht="14.25" x14ac:dyDescent="0.3">
      <c r="H676" s="50"/>
      <c r="J676" s="54"/>
      <c r="L676" s="54"/>
      <c r="R676" s="45"/>
      <c r="S676" s="54"/>
      <c r="T676" s="54"/>
      <c r="U676" s="54"/>
      <c r="V676" s="44"/>
      <c r="W676" s="27"/>
      <c r="Z676" s="27"/>
      <c r="AA676" s="8"/>
      <c r="AB676" s="81" t="str">
        <f t="shared" si="265"/>
        <v/>
      </c>
      <c r="AC676" s="6" t="str">
        <f t="shared" si="266"/>
        <v/>
      </c>
      <c r="AD676" s="1" t="str">
        <f t="shared" ca="1" si="267"/>
        <v/>
      </c>
      <c r="AE676" s="75" t="str">
        <f t="shared" si="268"/>
        <v/>
      </c>
      <c r="AF676" s="75" t="str">
        <f t="shared" si="269"/>
        <v/>
      </c>
      <c r="AG676" s="4" t="str">
        <f t="shared" si="270"/>
        <v/>
      </c>
      <c r="AH676" s="4" t="str">
        <f t="shared" si="271"/>
        <v/>
      </c>
      <c r="AI676" s="4" t="str">
        <f t="shared" si="272"/>
        <v/>
      </c>
      <c r="AJ676" s="4" t="str">
        <f t="shared" si="273"/>
        <v/>
      </c>
      <c r="AK676" s="4" t="str">
        <f t="shared" si="274"/>
        <v/>
      </c>
      <c r="AL676" s="2" t="str">
        <f t="shared" si="275"/>
        <v/>
      </c>
      <c r="AM676" s="6" t="str">
        <f t="shared" si="276"/>
        <v/>
      </c>
      <c r="AN676" s="4" t="str">
        <f t="shared" si="277"/>
        <v/>
      </c>
      <c r="AO676" s="4" t="str">
        <f t="shared" si="278"/>
        <v/>
      </c>
      <c r="AP676" s="4" t="str">
        <f t="shared" si="279"/>
        <v/>
      </c>
      <c r="AQ676" s="4" t="str">
        <f t="shared" si="280"/>
        <v/>
      </c>
      <c r="AR676" s="4" t="str">
        <f t="shared" si="281"/>
        <v/>
      </c>
    </row>
    <row r="677" spans="8:44" s="1" customFormat="1" ht="14.25" x14ac:dyDescent="0.3">
      <c r="H677" s="50"/>
      <c r="J677" s="54"/>
      <c r="L677" s="54"/>
      <c r="R677" s="45"/>
      <c r="S677" s="54"/>
      <c r="T677" s="54"/>
      <c r="U677" s="54"/>
      <c r="V677" s="44"/>
      <c r="W677" s="27"/>
      <c r="Z677" s="27"/>
      <c r="AA677" s="8"/>
      <c r="AB677" s="81" t="str">
        <f t="shared" si="265"/>
        <v/>
      </c>
      <c r="AC677" s="6" t="str">
        <f t="shared" si="266"/>
        <v/>
      </c>
      <c r="AD677" s="1" t="str">
        <f t="shared" ca="1" si="267"/>
        <v/>
      </c>
      <c r="AE677" s="75" t="str">
        <f t="shared" si="268"/>
        <v/>
      </c>
      <c r="AF677" s="75" t="str">
        <f t="shared" si="269"/>
        <v/>
      </c>
      <c r="AG677" s="4" t="str">
        <f t="shared" si="270"/>
        <v/>
      </c>
      <c r="AH677" s="4" t="str">
        <f t="shared" si="271"/>
        <v/>
      </c>
      <c r="AI677" s="4" t="str">
        <f t="shared" si="272"/>
        <v/>
      </c>
      <c r="AJ677" s="4" t="str">
        <f t="shared" si="273"/>
        <v/>
      </c>
      <c r="AK677" s="4" t="str">
        <f t="shared" si="274"/>
        <v/>
      </c>
      <c r="AL677" s="2" t="str">
        <f t="shared" si="275"/>
        <v/>
      </c>
      <c r="AM677" s="6" t="str">
        <f t="shared" si="276"/>
        <v/>
      </c>
      <c r="AN677" s="4" t="str">
        <f t="shared" si="277"/>
        <v/>
      </c>
      <c r="AO677" s="4" t="str">
        <f t="shared" si="278"/>
        <v/>
      </c>
      <c r="AP677" s="4" t="str">
        <f t="shared" si="279"/>
        <v/>
      </c>
      <c r="AQ677" s="4" t="str">
        <f t="shared" si="280"/>
        <v/>
      </c>
      <c r="AR677" s="4" t="str">
        <f t="shared" si="281"/>
        <v/>
      </c>
    </row>
    <row r="678" spans="8:44" s="1" customFormat="1" ht="14.25" x14ac:dyDescent="0.3">
      <c r="H678" s="50"/>
      <c r="J678" s="54"/>
      <c r="L678" s="54"/>
      <c r="R678" s="45"/>
      <c r="S678" s="54"/>
      <c r="T678" s="54"/>
      <c r="U678" s="54"/>
      <c r="V678" s="44"/>
      <c r="W678" s="27"/>
      <c r="Z678" s="27"/>
      <c r="AA678" s="8"/>
      <c r="AB678" s="81" t="str">
        <f t="shared" si="265"/>
        <v/>
      </c>
      <c r="AC678" s="6" t="str">
        <f t="shared" si="266"/>
        <v/>
      </c>
      <c r="AD678" s="1" t="str">
        <f t="shared" ca="1" si="267"/>
        <v/>
      </c>
      <c r="AE678" s="75" t="str">
        <f t="shared" si="268"/>
        <v/>
      </c>
      <c r="AF678" s="75" t="str">
        <f t="shared" si="269"/>
        <v/>
      </c>
      <c r="AG678" s="4" t="str">
        <f t="shared" si="270"/>
        <v/>
      </c>
      <c r="AH678" s="4" t="str">
        <f t="shared" si="271"/>
        <v/>
      </c>
      <c r="AI678" s="4" t="str">
        <f t="shared" si="272"/>
        <v/>
      </c>
      <c r="AJ678" s="4" t="str">
        <f t="shared" si="273"/>
        <v/>
      </c>
      <c r="AK678" s="4" t="str">
        <f t="shared" si="274"/>
        <v/>
      </c>
      <c r="AL678" s="2" t="str">
        <f t="shared" si="275"/>
        <v/>
      </c>
      <c r="AM678" s="6" t="str">
        <f t="shared" si="276"/>
        <v/>
      </c>
      <c r="AN678" s="4" t="str">
        <f t="shared" si="277"/>
        <v/>
      </c>
      <c r="AO678" s="4" t="str">
        <f t="shared" si="278"/>
        <v/>
      </c>
      <c r="AP678" s="4" t="str">
        <f t="shared" si="279"/>
        <v/>
      </c>
      <c r="AQ678" s="4" t="str">
        <f t="shared" si="280"/>
        <v/>
      </c>
      <c r="AR678" s="4" t="str">
        <f t="shared" si="281"/>
        <v/>
      </c>
    </row>
    <row r="679" spans="8:44" s="1" customFormat="1" ht="14.25" x14ac:dyDescent="0.3">
      <c r="H679" s="50"/>
      <c r="J679" s="54"/>
      <c r="L679" s="54"/>
      <c r="R679" s="45"/>
      <c r="S679" s="54"/>
      <c r="T679" s="54"/>
      <c r="U679" s="54"/>
      <c r="V679" s="44"/>
      <c r="W679" s="27"/>
      <c r="Z679" s="27"/>
      <c r="AA679" s="8"/>
      <c r="AB679" s="81" t="str">
        <f t="shared" si="265"/>
        <v/>
      </c>
      <c r="AC679" s="6" t="str">
        <f t="shared" si="266"/>
        <v/>
      </c>
      <c r="AD679" s="1" t="str">
        <f t="shared" ca="1" si="267"/>
        <v/>
      </c>
      <c r="AE679" s="75" t="str">
        <f t="shared" si="268"/>
        <v/>
      </c>
      <c r="AF679" s="75" t="str">
        <f t="shared" si="269"/>
        <v/>
      </c>
      <c r="AG679" s="4" t="str">
        <f t="shared" si="270"/>
        <v/>
      </c>
      <c r="AH679" s="4" t="str">
        <f t="shared" si="271"/>
        <v/>
      </c>
      <c r="AI679" s="4" t="str">
        <f t="shared" si="272"/>
        <v/>
      </c>
      <c r="AJ679" s="4" t="str">
        <f t="shared" si="273"/>
        <v/>
      </c>
      <c r="AK679" s="4" t="str">
        <f t="shared" si="274"/>
        <v/>
      </c>
      <c r="AL679" s="2" t="str">
        <f t="shared" si="275"/>
        <v/>
      </c>
      <c r="AM679" s="6" t="str">
        <f t="shared" si="276"/>
        <v/>
      </c>
      <c r="AN679" s="4" t="str">
        <f t="shared" si="277"/>
        <v/>
      </c>
      <c r="AO679" s="4" t="str">
        <f t="shared" si="278"/>
        <v/>
      </c>
      <c r="AP679" s="4" t="str">
        <f t="shared" si="279"/>
        <v/>
      </c>
      <c r="AQ679" s="4" t="str">
        <f t="shared" si="280"/>
        <v/>
      </c>
      <c r="AR679" s="4" t="str">
        <f t="shared" si="281"/>
        <v/>
      </c>
    </row>
    <row r="680" spans="8:44" s="1" customFormat="1" ht="14.25" x14ac:dyDescent="0.3">
      <c r="H680" s="50"/>
      <c r="J680" s="54"/>
      <c r="L680" s="54"/>
      <c r="R680" s="45"/>
      <c r="S680" s="54"/>
      <c r="T680" s="54"/>
      <c r="U680" s="54"/>
      <c r="V680" s="44"/>
      <c r="W680" s="27"/>
      <c r="Z680" s="27"/>
      <c r="AA680" s="8"/>
      <c r="AB680" s="81" t="str">
        <f t="shared" si="265"/>
        <v/>
      </c>
      <c r="AC680" s="6" t="str">
        <f t="shared" si="266"/>
        <v/>
      </c>
      <c r="AD680" s="1" t="str">
        <f t="shared" ca="1" si="267"/>
        <v/>
      </c>
      <c r="AE680" s="75" t="str">
        <f t="shared" si="268"/>
        <v/>
      </c>
      <c r="AF680" s="75" t="str">
        <f t="shared" si="269"/>
        <v/>
      </c>
      <c r="AG680" s="4" t="str">
        <f t="shared" si="270"/>
        <v/>
      </c>
      <c r="AH680" s="4" t="str">
        <f t="shared" si="271"/>
        <v/>
      </c>
      <c r="AI680" s="4" t="str">
        <f t="shared" si="272"/>
        <v/>
      </c>
      <c r="AJ680" s="4" t="str">
        <f t="shared" si="273"/>
        <v/>
      </c>
      <c r="AK680" s="4" t="str">
        <f t="shared" si="274"/>
        <v/>
      </c>
      <c r="AL680" s="2" t="str">
        <f t="shared" si="275"/>
        <v/>
      </c>
      <c r="AM680" s="6" t="str">
        <f t="shared" si="276"/>
        <v/>
      </c>
      <c r="AN680" s="4" t="str">
        <f t="shared" si="277"/>
        <v/>
      </c>
      <c r="AO680" s="4" t="str">
        <f t="shared" si="278"/>
        <v/>
      </c>
      <c r="AP680" s="4" t="str">
        <f t="shared" si="279"/>
        <v/>
      </c>
      <c r="AQ680" s="4" t="str">
        <f t="shared" si="280"/>
        <v/>
      </c>
      <c r="AR680" s="4" t="str">
        <f t="shared" si="281"/>
        <v/>
      </c>
    </row>
    <row r="681" spans="8:44" s="1" customFormat="1" ht="14.25" x14ac:dyDescent="0.3">
      <c r="H681" s="50"/>
      <c r="J681" s="54"/>
      <c r="L681" s="54"/>
      <c r="R681" s="45"/>
      <c r="S681" s="54"/>
      <c r="T681" s="54"/>
      <c r="U681" s="54"/>
      <c r="V681" s="44"/>
      <c r="W681" s="27"/>
      <c r="Z681" s="27"/>
      <c r="AA681" s="8"/>
      <c r="AB681" s="81" t="str">
        <f t="shared" si="265"/>
        <v/>
      </c>
      <c r="AC681" s="6" t="str">
        <f t="shared" si="266"/>
        <v/>
      </c>
      <c r="AD681" s="1" t="str">
        <f t="shared" ca="1" si="267"/>
        <v/>
      </c>
      <c r="AE681" s="75" t="str">
        <f t="shared" si="268"/>
        <v/>
      </c>
      <c r="AF681" s="75" t="str">
        <f t="shared" si="269"/>
        <v/>
      </c>
      <c r="AG681" s="4" t="str">
        <f t="shared" si="270"/>
        <v/>
      </c>
      <c r="AH681" s="4" t="str">
        <f t="shared" si="271"/>
        <v/>
      </c>
      <c r="AI681" s="4" t="str">
        <f t="shared" si="272"/>
        <v/>
      </c>
      <c r="AJ681" s="4" t="str">
        <f t="shared" si="273"/>
        <v/>
      </c>
      <c r="AK681" s="4" t="str">
        <f t="shared" si="274"/>
        <v/>
      </c>
      <c r="AL681" s="2" t="str">
        <f t="shared" si="275"/>
        <v/>
      </c>
      <c r="AM681" s="6" t="str">
        <f t="shared" si="276"/>
        <v/>
      </c>
      <c r="AN681" s="4" t="str">
        <f t="shared" si="277"/>
        <v/>
      </c>
      <c r="AO681" s="4" t="str">
        <f t="shared" si="278"/>
        <v/>
      </c>
      <c r="AP681" s="4" t="str">
        <f t="shared" si="279"/>
        <v/>
      </c>
      <c r="AQ681" s="4" t="str">
        <f t="shared" si="280"/>
        <v/>
      </c>
      <c r="AR681" s="4" t="str">
        <f t="shared" si="281"/>
        <v/>
      </c>
    </row>
    <row r="682" spans="8:44" s="1" customFormat="1" ht="14.25" x14ac:dyDescent="0.3">
      <c r="H682" s="50"/>
      <c r="J682" s="54"/>
      <c r="L682" s="54"/>
      <c r="R682" s="45"/>
      <c r="S682" s="54"/>
      <c r="T682" s="54"/>
      <c r="U682" s="54"/>
      <c r="V682" s="44"/>
      <c r="W682" s="27"/>
      <c r="Z682" s="27"/>
      <c r="AA682" s="8"/>
      <c r="AB682" s="81" t="str">
        <f t="shared" si="265"/>
        <v/>
      </c>
      <c r="AC682" s="6" t="str">
        <f t="shared" si="266"/>
        <v/>
      </c>
      <c r="AD682" s="1" t="str">
        <f t="shared" ca="1" si="267"/>
        <v/>
      </c>
      <c r="AE682" s="75" t="str">
        <f t="shared" si="268"/>
        <v/>
      </c>
      <c r="AF682" s="75" t="str">
        <f t="shared" si="269"/>
        <v/>
      </c>
      <c r="AG682" s="4" t="str">
        <f t="shared" si="270"/>
        <v/>
      </c>
      <c r="AH682" s="4" t="str">
        <f t="shared" si="271"/>
        <v/>
      </c>
      <c r="AI682" s="4" t="str">
        <f t="shared" si="272"/>
        <v/>
      </c>
      <c r="AJ682" s="4" t="str">
        <f t="shared" si="273"/>
        <v/>
      </c>
      <c r="AK682" s="4" t="str">
        <f t="shared" si="274"/>
        <v/>
      </c>
      <c r="AL682" s="2" t="str">
        <f t="shared" si="275"/>
        <v/>
      </c>
      <c r="AM682" s="6" t="str">
        <f t="shared" si="276"/>
        <v/>
      </c>
      <c r="AN682" s="4" t="str">
        <f t="shared" si="277"/>
        <v/>
      </c>
      <c r="AO682" s="4" t="str">
        <f t="shared" si="278"/>
        <v/>
      </c>
      <c r="AP682" s="4" t="str">
        <f t="shared" si="279"/>
        <v/>
      </c>
      <c r="AQ682" s="4" t="str">
        <f t="shared" si="280"/>
        <v/>
      </c>
      <c r="AR682" s="4" t="str">
        <f t="shared" si="281"/>
        <v/>
      </c>
    </row>
    <row r="683" spans="8:44" s="1" customFormat="1" ht="14.25" x14ac:dyDescent="0.3">
      <c r="H683" s="50"/>
      <c r="J683" s="54"/>
      <c r="L683" s="54"/>
      <c r="R683" s="45"/>
      <c r="S683" s="54"/>
      <c r="T683" s="54"/>
      <c r="U683" s="54"/>
      <c r="V683" s="44"/>
      <c r="W683" s="27"/>
      <c r="Z683" s="27"/>
      <c r="AA683" s="8"/>
      <c r="AB683" s="81" t="str">
        <f t="shared" si="265"/>
        <v/>
      </c>
      <c r="AC683" s="6" t="str">
        <f t="shared" si="266"/>
        <v/>
      </c>
      <c r="AD683" s="1" t="str">
        <f t="shared" ca="1" si="267"/>
        <v/>
      </c>
      <c r="AE683" s="75" t="str">
        <f t="shared" si="268"/>
        <v/>
      </c>
      <c r="AF683" s="75" t="str">
        <f t="shared" si="269"/>
        <v/>
      </c>
      <c r="AG683" s="4" t="str">
        <f t="shared" si="270"/>
        <v/>
      </c>
      <c r="AH683" s="4" t="str">
        <f t="shared" si="271"/>
        <v/>
      </c>
      <c r="AI683" s="4" t="str">
        <f t="shared" si="272"/>
        <v/>
      </c>
      <c r="AJ683" s="4" t="str">
        <f t="shared" si="273"/>
        <v/>
      </c>
      <c r="AK683" s="4" t="str">
        <f t="shared" si="274"/>
        <v/>
      </c>
      <c r="AL683" s="2" t="str">
        <f t="shared" si="275"/>
        <v/>
      </c>
      <c r="AM683" s="6" t="str">
        <f t="shared" si="276"/>
        <v/>
      </c>
      <c r="AN683" s="4" t="str">
        <f t="shared" si="277"/>
        <v/>
      </c>
      <c r="AO683" s="4" t="str">
        <f t="shared" si="278"/>
        <v/>
      </c>
      <c r="AP683" s="4" t="str">
        <f t="shared" si="279"/>
        <v/>
      </c>
      <c r="AQ683" s="4" t="str">
        <f t="shared" si="280"/>
        <v/>
      </c>
      <c r="AR683" s="4" t="str">
        <f t="shared" si="281"/>
        <v/>
      </c>
    </row>
    <row r="684" spans="8:44" s="1" customFormat="1" ht="14.25" x14ac:dyDescent="0.3">
      <c r="H684" s="50"/>
      <c r="J684" s="54"/>
      <c r="L684" s="54"/>
      <c r="R684" s="45"/>
      <c r="S684" s="54"/>
      <c r="T684" s="54"/>
      <c r="U684" s="54"/>
      <c r="V684" s="44"/>
      <c r="W684" s="27"/>
      <c r="Z684" s="27"/>
      <c r="AA684" s="8"/>
      <c r="AB684" s="81" t="str">
        <f t="shared" si="265"/>
        <v/>
      </c>
      <c r="AC684" s="6" t="str">
        <f t="shared" si="266"/>
        <v/>
      </c>
      <c r="AD684" s="1" t="str">
        <f t="shared" ca="1" si="267"/>
        <v/>
      </c>
      <c r="AE684" s="75" t="str">
        <f t="shared" si="268"/>
        <v/>
      </c>
      <c r="AF684" s="75" t="str">
        <f t="shared" si="269"/>
        <v/>
      </c>
      <c r="AG684" s="4" t="str">
        <f t="shared" si="270"/>
        <v/>
      </c>
      <c r="AH684" s="4" t="str">
        <f t="shared" si="271"/>
        <v/>
      </c>
      <c r="AI684" s="4" t="str">
        <f t="shared" si="272"/>
        <v/>
      </c>
      <c r="AJ684" s="4" t="str">
        <f t="shared" si="273"/>
        <v/>
      </c>
      <c r="AK684" s="4" t="str">
        <f t="shared" si="274"/>
        <v/>
      </c>
      <c r="AL684" s="2" t="str">
        <f t="shared" si="275"/>
        <v/>
      </c>
      <c r="AM684" s="6" t="str">
        <f t="shared" si="276"/>
        <v/>
      </c>
      <c r="AN684" s="4" t="str">
        <f t="shared" si="277"/>
        <v/>
      </c>
      <c r="AO684" s="4" t="str">
        <f t="shared" si="278"/>
        <v/>
      </c>
      <c r="AP684" s="4" t="str">
        <f t="shared" si="279"/>
        <v/>
      </c>
      <c r="AQ684" s="4" t="str">
        <f t="shared" si="280"/>
        <v/>
      </c>
      <c r="AR684" s="4" t="str">
        <f t="shared" si="281"/>
        <v/>
      </c>
    </row>
    <row r="685" spans="8:44" s="1" customFormat="1" ht="14.25" x14ac:dyDescent="0.3">
      <c r="H685" s="50"/>
      <c r="J685" s="54"/>
      <c r="L685" s="54"/>
      <c r="R685" s="45"/>
      <c r="S685" s="54"/>
      <c r="T685" s="54"/>
      <c r="U685" s="54"/>
      <c r="V685" s="44"/>
      <c r="W685" s="27"/>
      <c r="Z685" s="27"/>
      <c r="AA685" s="8"/>
      <c r="AB685" s="81" t="str">
        <f t="shared" si="265"/>
        <v/>
      </c>
      <c r="AC685" s="6" t="str">
        <f t="shared" si="266"/>
        <v/>
      </c>
      <c r="AD685" s="1" t="str">
        <f t="shared" ca="1" si="267"/>
        <v/>
      </c>
      <c r="AE685" s="75" t="str">
        <f t="shared" si="268"/>
        <v/>
      </c>
      <c r="AF685" s="75" t="str">
        <f t="shared" si="269"/>
        <v/>
      </c>
      <c r="AG685" s="4" t="str">
        <f t="shared" si="270"/>
        <v/>
      </c>
      <c r="AH685" s="4" t="str">
        <f t="shared" si="271"/>
        <v/>
      </c>
      <c r="AI685" s="4" t="str">
        <f t="shared" si="272"/>
        <v/>
      </c>
      <c r="AJ685" s="4" t="str">
        <f t="shared" si="273"/>
        <v/>
      </c>
      <c r="AK685" s="4" t="str">
        <f t="shared" si="274"/>
        <v/>
      </c>
      <c r="AL685" s="2" t="str">
        <f t="shared" si="275"/>
        <v/>
      </c>
      <c r="AM685" s="6" t="str">
        <f t="shared" si="276"/>
        <v/>
      </c>
      <c r="AN685" s="4" t="str">
        <f t="shared" si="277"/>
        <v/>
      </c>
      <c r="AO685" s="4" t="str">
        <f t="shared" si="278"/>
        <v/>
      </c>
      <c r="AP685" s="4" t="str">
        <f t="shared" si="279"/>
        <v/>
      </c>
      <c r="AQ685" s="4" t="str">
        <f t="shared" si="280"/>
        <v/>
      </c>
      <c r="AR685" s="4" t="str">
        <f t="shared" si="281"/>
        <v/>
      </c>
    </row>
    <row r="686" spans="8:44" s="1" customFormat="1" ht="14.25" x14ac:dyDescent="0.3">
      <c r="H686" s="50"/>
      <c r="J686" s="54"/>
      <c r="L686" s="54"/>
      <c r="R686" s="45"/>
      <c r="S686" s="54"/>
      <c r="T686" s="54"/>
      <c r="U686" s="54"/>
      <c r="V686" s="44"/>
      <c r="W686" s="27"/>
      <c r="Z686" s="27"/>
      <c r="AA686" s="8"/>
      <c r="AB686" s="81" t="str">
        <f t="shared" si="265"/>
        <v/>
      </c>
      <c r="AC686" s="6" t="str">
        <f t="shared" si="266"/>
        <v/>
      </c>
      <c r="AD686" s="1" t="str">
        <f t="shared" ca="1" si="267"/>
        <v/>
      </c>
      <c r="AE686" s="75" t="str">
        <f t="shared" si="268"/>
        <v/>
      </c>
      <c r="AF686" s="75" t="str">
        <f t="shared" si="269"/>
        <v/>
      </c>
      <c r="AG686" s="4" t="str">
        <f t="shared" si="270"/>
        <v/>
      </c>
      <c r="AH686" s="4" t="str">
        <f t="shared" si="271"/>
        <v/>
      </c>
      <c r="AI686" s="4" t="str">
        <f t="shared" si="272"/>
        <v/>
      </c>
      <c r="AJ686" s="4" t="str">
        <f t="shared" si="273"/>
        <v/>
      </c>
      <c r="AK686" s="4" t="str">
        <f t="shared" si="274"/>
        <v/>
      </c>
      <c r="AL686" s="2" t="str">
        <f t="shared" si="275"/>
        <v/>
      </c>
      <c r="AM686" s="6" t="str">
        <f t="shared" si="276"/>
        <v/>
      </c>
      <c r="AN686" s="4" t="str">
        <f t="shared" si="277"/>
        <v/>
      </c>
      <c r="AO686" s="4" t="str">
        <f t="shared" si="278"/>
        <v/>
      </c>
      <c r="AP686" s="4" t="str">
        <f t="shared" si="279"/>
        <v/>
      </c>
      <c r="AQ686" s="4" t="str">
        <f t="shared" si="280"/>
        <v/>
      </c>
      <c r="AR686" s="4" t="str">
        <f t="shared" si="281"/>
        <v/>
      </c>
    </row>
    <row r="687" spans="8:44" s="1" customFormat="1" ht="14.25" x14ac:dyDescent="0.3">
      <c r="H687" s="50"/>
      <c r="J687" s="54"/>
      <c r="L687" s="54"/>
      <c r="R687" s="45"/>
      <c r="S687" s="54"/>
      <c r="T687" s="54"/>
      <c r="U687" s="54"/>
      <c r="V687" s="44"/>
      <c r="W687" s="27"/>
      <c r="Z687" s="27"/>
      <c r="AA687" s="8"/>
      <c r="AB687" s="81" t="str">
        <f t="shared" si="265"/>
        <v/>
      </c>
      <c r="AC687" s="6" t="str">
        <f t="shared" si="266"/>
        <v/>
      </c>
      <c r="AD687" s="1" t="str">
        <f t="shared" ca="1" si="267"/>
        <v/>
      </c>
      <c r="AE687" s="75" t="str">
        <f t="shared" si="268"/>
        <v/>
      </c>
      <c r="AF687" s="75" t="str">
        <f t="shared" si="269"/>
        <v/>
      </c>
      <c r="AG687" s="4" t="str">
        <f t="shared" si="270"/>
        <v/>
      </c>
      <c r="AH687" s="4" t="str">
        <f t="shared" si="271"/>
        <v/>
      </c>
      <c r="AI687" s="4" t="str">
        <f t="shared" si="272"/>
        <v/>
      </c>
      <c r="AJ687" s="4" t="str">
        <f t="shared" si="273"/>
        <v/>
      </c>
      <c r="AK687" s="4" t="str">
        <f t="shared" si="274"/>
        <v/>
      </c>
      <c r="AL687" s="2" t="str">
        <f t="shared" si="275"/>
        <v/>
      </c>
      <c r="AM687" s="6" t="str">
        <f t="shared" si="276"/>
        <v/>
      </c>
      <c r="AN687" s="4" t="str">
        <f t="shared" si="277"/>
        <v/>
      </c>
      <c r="AO687" s="4" t="str">
        <f t="shared" si="278"/>
        <v/>
      </c>
      <c r="AP687" s="4" t="str">
        <f t="shared" si="279"/>
        <v/>
      </c>
      <c r="AQ687" s="4" t="str">
        <f t="shared" si="280"/>
        <v/>
      </c>
      <c r="AR687" s="4" t="str">
        <f t="shared" si="281"/>
        <v/>
      </c>
    </row>
    <row r="688" spans="8:44" s="1" customFormat="1" ht="14.25" x14ac:dyDescent="0.3">
      <c r="H688" s="50"/>
      <c r="J688" s="54"/>
      <c r="L688" s="54"/>
      <c r="R688" s="45"/>
      <c r="S688" s="54"/>
      <c r="T688" s="54"/>
      <c r="U688" s="54"/>
      <c r="V688" s="44"/>
      <c r="W688" s="27"/>
      <c r="Z688" s="27"/>
      <c r="AA688" s="8"/>
      <c r="AB688" s="81" t="str">
        <f t="shared" si="265"/>
        <v/>
      </c>
      <c r="AC688" s="6" t="str">
        <f t="shared" si="266"/>
        <v/>
      </c>
      <c r="AD688" s="1" t="str">
        <f t="shared" ca="1" si="267"/>
        <v/>
      </c>
      <c r="AE688" s="75" t="str">
        <f t="shared" si="268"/>
        <v/>
      </c>
      <c r="AF688" s="75" t="str">
        <f t="shared" si="269"/>
        <v/>
      </c>
      <c r="AG688" s="4" t="str">
        <f t="shared" si="270"/>
        <v/>
      </c>
      <c r="AH688" s="4" t="str">
        <f t="shared" si="271"/>
        <v/>
      </c>
      <c r="AI688" s="4" t="str">
        <f t="shared" si="272"/>
        <v/>
      </c>
      <c r="AJ688" s="4" t="str">
        <f t="shared" si="273"/>
        <v/>
      </c>
      <c r="AK688" s="4" t="str">
        <f t="shared" si="274"/>
        <v/>
      </c>
      <c r="AL688" s="2" t="str">
        <f t="shared" si="275"/>
        <v/>
      </c>
      <c r="AM688" s="6" t="str">
        <f t="shared" si="276"/>
        <v/>
      </c>
      <c r="AN688" s="4" t="str">
        <f t="shared" si="277"/>
        <v/>
      </c>
      <c r="AO688" s="4" t="str">
        <f t="shared" si="278"/>
        <v/>
      </c>
      <c r="AP688" s="4" t="str">
        <f t="shared" si="279"/>
        <v/>
      </c>
      <c r="AQ688" s="4" t="str">
        <f t="shared" si="280"/>
        <v/>
      </c>
      <c r="AR688" s="4" t="str">
        <f t="shared" si="281"/>
        <v/>
      </c>
    </row>
    <row r="689" spans="8:44" s="1" customFormat="1" ht="14.25" x14ac:dyDescent="0.3">
      <c r="H689" s="50"/>
      <c r="J689" s="54"/>
      <c r="L689" s="54"/>
      <c r="R689" s="45"/>
      <c r="S689" s="54"/>
      <c r="T689" s="54"/>
      <c r="U689" s="54"/>
      <c r="V689" s="44"/>
      <c r="W689" s="27"/>
      <c r="Z689" s="27"/>
      <c r="AA689" s="8"/>
      <c r="AB689" s="81" t="str">
        <f t="shared" si="265"/>
        <v/>
      </c>
      <c r="AC689" s="6" t="str">
        <f t="shared" si="266"/>
        <v/>
      </c>
      <c r="AD689" s="1" t="str">
        <f t="shared" ca="1" si="267"/>
        <v/>
      </c>
      <c r="AE689" s="75" t="str">
        <f t="shared" si="268"/>
        <v/>
      </c>
      <c r="AF689" s="75" t="str">
        <f t="shared" si="269"/>
        <v/>
      </c>
      <c r="AG689" s="4" t="str">
        <f t="shared" si="270"/>
        <v/>
      </c>
      <c r="AH689" s="4" t="str">
        <f t="shared" si="271"/>
        <v/>
      </c>
      <c r="AI689" s="4" t="str">
        <f t="shared" si="272"/>
        <v/>
      </c>
      <c r="AJ689" s="4" t="str">
        <f t="shared" si="273"/>
        <v/>
      </c>
      <c r="AK689" s="4" t="str">
        <f t="shared" si="274"/>
        <v/>
      </c>
      <c r="AL689" s="2" t="str">
        <f t="shared" si="275"/>
        <v/>
      </c>
      <c r="AM689" s="6" t="str">
        <f t="shared" si="276"/>
        <v/>
      </c>
      <c r="AN689" s="4" t="str">
        <f t="shared" si="277"/>
        <v/>
      </c>
      <c r="AO689" s="4" t="str">
        <f t="shared" si="278"/>
        <v/>
      </c>
      <c r="AP689" s="4" t="str">
        <f t="shared" si="279"/>
        <v/>
      </c>
      <c r="AQ689" s="4" t="str">
        <f t="shared" si="280"/>
        <v/>
      </c>
      <c r="AR689" s="4" t="str">
        <f t="shared" si="281"/>
        <v/>
      </c>
    </row>
    <row r="690" spans="8:44" s="1" customFormat="1" ht="14.25" x14ac:dyDescent="0.3">
      <c r="H690" s="50"/>
      <c r="J690" s="54"/>
      <c r="L690" s="54"/>
      <c r="R690" s="45"/>
      <c r="S690" s="54"/>
      <c r="T690" s="54"/>
      <c r="U690" s="54"/>
      <c r="V690" s="44"/>
      <c r="W690" s="27"/>
      <c r="Z690" s="27"/>
      <c r="AA690" s="8"/>
      <c r="AB690" s="81" t="str">
        <f t="shared" si="265"/>
        <v/>
      </c>
      <c r="AC690" s="6" t="str">
        <f t="shared" si="266"/>
        <v/>
      </c>
      <c r="AD690" s="1" t="str">
        <f t="shared" ca="1" si="267"/>
        <v/>
      </c>
      <c r="AE690" s="75" t="str">
        <f t="shared" si="268"/>
        <v/>
      </c>
      <c r="AF690" s="75" t="str">
        <f t="shared" si="269"/>
        <v/>
      </c>
      <c r="AG690" s="4" t="str">
        <f t="shared" si="270"/>
        <v/>
      </c>
      <c r="AH690" s="4" t="str">
        <f t="shared" si="271"/>
        <v/>
      </c>
      <c r="AI690" s="4" t="str">
        <f t="shared" si="272"/>
        <v/>
      </c>
      <c r="AJ690" s="4" t="str">
        <f t="shared" si="273"/>
        <v/>
      </c>
      <c r="AK690" s="4" t="str">
        <f t="shared" si="274"/>
        <v/>
      </c>
      <c r="AL690" s="2" t="str">
        <f t="shared" si="275"/>
        <v/>
      </c>
      <c r="AM690" s="6" t="str">
        <f t="shared" si="276"/>
        <v/>
      </c>
      <c r="AN690" s="4" t="str">
        <f t="shared" si="277"/>
        <v/>
      </c>
      <c r="AO690" s="4" t="str">
        <f t="shared" si="278"/>
        <v/>
      </c>
      <c r="AP690" s="4" t="str">
        <f t="shared" si="279"/>
        <v/>
      </c>
      <c r="AQ690" s="4" t="str">
        <f t="shared" si="280"/>
        <v/>
      </c>
      <c r="AR690" s="4" t="str">
        <f t="shared" si="281"/>
        <v/>
      </c>
    </row>
    <row r="691" spans="8:44" s="1" customFormat="1" ht="14.25" x14ac:dyDescent="0.3">
      <c r="H691" s="50"/>
      <c r="J691" s="54"/>
      <c r="L691" s="54"/>
      <c r="R691" s="45"/>
      <c r="S691" s="54"/>
      <c r="T691" s="54"/>
      <c r="U691" s="54"/>
      <c r="V691" s="44"/>
      <c r="W691" s="27"/>
      <c r="Z691" s="27"/>
      <c r="AA691" s="8"/>
      <c r="AB691" s="81" t="str">
        <f t="shared" si="265"/>
        <v/>
      </c>
      <c r="AC691" s="6" t="str">
        <f t="shared" si="266"/>
        <v/>
      </c>
      <c r="AD691" s="1" t="str">
        <f t="shared" ca="1" si="267"/>
        <v/>
      </c>
      <c r="AE691" s="75" t="str">
        <f t="shared" si="268"/>
        <v/>
      </c>
      <c r="AF691" s="75" t="str">
        <f t="shared" si="269"/>
        <v/>
      </c>
      <c r="AG691" s="4" t="str">
        <f t="shared" si="270"/>
        <v/>
      </c>
      <c r="AH691" s="4" t="str">
        <f t="shared" si="271"/>
        <v/>
      </c>
      <c r="AI691" s="4" t="str">
        <f t="shared" si="272"/>
        <v/>
      </c>
      <c r="AJ691" s="4" t="str">
        <f t="shared" si="273"/>
        <v/>
      </c>
      <c r="AK691" s="4" t="str">
        <f t="shared" si="274"/>
        <v/>
      </c>
      <c r="AL691" s="2" t="str">
        <f t="shared" si="275"/>
        <v/>
      </c>
      <c r="AM691" s="6" t="str">
        <f t="shared" si="276"/>
        <v/>
      </c>
      <c r="AN691" s="4" t="str">
        <f t="shared" si="277"/>
        <v/>
      </c>
      <c r="AO691" s="4" t="str">
        <f t="shared" si="278"/>
        <v/>
      </c>
      <c r="AP691" s="4" t="str">
        <f t="shared" si="279"/>
        <v/>
      </c>
      <c r="AQ691" s="4" t="str">
        <f t="shared" si="280"/>
        <v/>
      </c>
      <c r="AR691" s="4" t="str">
        <f t="shared" si="281"/>
        <v/>
      </c>
    </row>
    <row r="692" spans="8:44" s="1" customFormat="1" ht="14.25" x14ac:dyDescent="0.3">
      <c r="H692" s="50"/>
      <c r="J692" s="54"/>
      <c r="L692" s="54"/>
      <c r="R692" s="45"/>
      <c r="S692" s="54"/>
      <c r="T692" s="54"/>
      <c r="U692" s="54"/>
      <c r="V692" s="44"/>
      <c r="W692" s="27"/>
      <c r="Z692" s="27"/>
      <c r="AA692" s="8"/>
      <c r="AB692" s="81" t="str">
        <f t="shared" si="265"/>
        <v/>
      </c>
      <c r="AC692" s="6" t="str">
        <f t="shared" si="266"/>
        <v/>
      </c>
      <c r="AD692" s="1" t="str">
        <f t="shared" ca="1" si="267"/>
        <v/>
      </c>
      <c r="AE692" s="75" t="str">
        <f t="shared" si="268"/>
        <v/>
      </c>
      <c r="AF692" s="75" t="str">
        <f t="shared" si="269"/>
        <v/>
      </c>
      <c r="AG692" s="4" t="str">
        <f t="shared" si="270"/>
        <v/>
      </c>
      <c r="AH692" s="4" t="str">
        <f t="shared" si="271"/>
        <v/>
      </c>
      <c r="AI692" s="4" t="str">
        <f t="shared" si="272"/>
        <v/>
      </c>
      <c r="AJ692" s="4" t="str">
        <f t="shared" si="273"/>
        <v/>
      </c>
      <c r="AK692" s="4" t="str">
        <f t="shared" si="274"/>
        <v/>
      </c>
      <c r="AL692" s="2" t="str">
        <f t="shared" si="275"/>
        <v/>
      </c>
      <c r="AM692" s="6" t="str">
        <f t="shared" si="276"/>
        <v/>
      </c>
      <c r="AN692" s="4" t="str">
        <f t="shared" si="277"/>
        <v/>
      </c>
      <c r="AO692" s="4" t="str">
        <f t="shared" si="278"/>
        <v/>
      </c>
      <c r="AP692" s="4" t="str">
        <f t="shared" si="279"/>
        <v/>
      </c>
      <c r="AQ692" s="4" t="str">
        <f t="shared" si="280"/>
        <v/>
      </c>
      <c r="AR692" s="4" t="str">
        <f t="shared" si="281"/>
        <v/>
      </c>
    </row>
    <row r="693" spans="8:44" s="1" customFormat="1" ht="14.25" x14ac:dyDescent="0.3">
      <c r="H693" s="50"/>
      <c r="J693" s="54"/>
      <c r="L693" s="54"/>
      <c r="R693" s="45"/>
      <c r="S693" s="54"/>
      <c r="T693" s="54"/>
      <c r="U693" s="54"/>
      <c r="V693" s="44"/>
      <c r="W693" s="27"/>
      <c r="Z693" s="27"/>
      <c r="AA693" s="8"/>
      <c r="AB693" s="81" t="str">
        <f t="shared" si="265"/>
        <v/>
      </c>
      <c r="AC693" s="6" t="str">
        <f t="shared" si="266"/>
        <v/>
      </c>
      <c r="AD693" s="1" t="str">
        <f t="shared" ca="1" si="267"/>
        <v/>
      </c>
      <c r="AE693" s="75" t="str">
        <f t="shared" si="268"/>
        <v/>
      </c>
      <c r="AF693" s="75" t="str">
        <f t="shared" si="269"/>
        <v/>
      </c>
      <c r="AG693" s="4" t="str">
        <f t="shared" si="270"/>
        <v/>
      </c>
      <c r="AH693" s="4" t="str">
        <f t="shared" si="271"/>
        <v/>
      </c>
      <c r="AI693" s="4" t="str">
        <f t="shared" si="272"/>
        <v/>
      </c>
      <c r="AJ693" s="4" t="str">
        <f t="shared" si="273"/>
        <v/>
      </c>
      <c r="AK693" s="4" t="str">
        <f t="shared" si="274"/>
        <v/>
      </c>
      <c r="AL693" s="2" t="str">
        <f t="shared" si="275"/>
        <v/>
      </c>
      <c r="AM693" s="6" t="str">
        <f t="shared" si="276"/>
        <v/>
      </c>
      <c r="AN693" s="4" t="str">
        <f t="shared" si="277"/>
        <v/>
      </c>
      <c r="AO693" s="4" t="str">
        <f t="shared" si="278"/>
        <v/>
      </c>
      <c r="AP693" s="4" t="str">
        <f t="shared" si="279"/>
        <v/>
      </c>
      <c r="AQ693" s="4" t="str">
        <f t="shared" si="280"/>
        <v/>
      </c>
      <c r="AR693" s="4" t="str">
        <f t="shared" si="281"/>
        <v/>
      </c>
    </row>
    <row r="694" spans="8:44" s="1" customFormat="1" ht="14.25" x14ac:dyDescent="0.3">
      <c r="H694" s="50"/>
      <c r="J694" s="54"/>
      <c r="L694" s="54"/>
      <c r="R694" s="45"/>
      <c r="S694" s="54"/>
      <c r="T694" s="54"/>
      <c r="U694" s="54"/>
      <c r="V694" s="44"/>
      <c r="W694" s="27"/>
      <c r="Z694" s="27"/>
      <c r="AA694" s="8"/>
      <c r="AB694" s="81" t="str">
        <f t="shared" si="265"/>
        <v/>
      </c>
      <c r="AC694" s="6" t="str">
        <f t="shared" si="266"/>
        <v/>
      </c>
      <c r="AD694" s="1" t="str">
        <f t="shared" ca="1" si="267"/>
        <v/>
      </c>
      <c r="AE694" s="75" t="str">
        <f t="shared" si="268"/>
        <v/>
      </c>
      <c r="AF694" s="75" t="str">
        <f t="shared" si="269"/>
        <v/>
      </c>
      <c r="AG694" s="4" t="str">
        <f t="shared" si="270"/>
        <v/>
      </c>
      <c r="AH694" s="4" t="str">
        <f t="shared" si="271"/>
        <v/>
      </c>
      <c r="AI694" s="4" t="str">
        <f t="shared" si="272"/>
        <v/>
      </c>
      <c r="AJ694" s="4" t="str">
        <f t="shared" si="273"/>
        <v/>
      </c>
      <c r="AK694" s="4" t="str">
        <f t="shared" si="274"/>
        <v/>
      </c>
      <c r="AL694" s="2" t="str">
        <f t="shared" si="275"/>
        <v/>
      </c>
      <c r="AM694" s="6" t="str">
        <f t="shared" si="276"/>
        <v/>
      </c>
      <c r="AN694" s="4" t="str">
        <f t="shared" si="277"/>
        <v/>
      </c>
      <c r="AO694" s="4" t="str">
        <f t="shared" si="278"/>
        <v/>
      </c>
      <c r="AP694" s="4" t="str">
        <f t="shared" si="279"/>
        <v/>
      </c>
      <c r="AQ694" s="4" t="str">
        <f t="shared" si="280"/>
        <v/>
      </c>
      <c r="AR694" s="4" t="str">
        <f t="shared" si="281"/>
        <v/>
      </c>
    </row>
    <row r="695" spans="8:44" s="1" customFormat="1" ht="14.25" x14ac:dyDescent="0.3">
      <c r="H695" s="50"/>
      <c r="J695" s="54"/>
      <c r="L695" s="54"/>
      <c r="R695" s="45"/>
      <c r="S695" s="54"/>
      <c r="T695" s="54"/>
      <c r="U695" s="54"/>
      <c r="V695" s="44"/>
      <c r="W695" s="27"/>
      <c r="Z695" s="27"/>
      <c r="AA695" s="8"/>
      <c r="AB695" s="81" t="str">
        <f t="shared" si="265"/>
        <v/>
      </c>
      <c r="AC695" s="6" t="str">
        <f t="shared" si="266"/>
        <v/>
      </c>
      <c r="AD695" s="1" t="str">
        <f t="shared" ca="1" si="267"/>
        <v/>
      </c>
      <c r="AE695" s="75" t="str">
        <f t="shared" si="268"/>
        <v/>
      </c>
      <c r="AF695" s="75" t="str">
        <f t="shared" si="269"/>
        <v/>
      </c>
      <c r="AG695" s="4" t="str">
        <f t="shared" si="270"/>
        <v/>
      </c>
      <c r="AH695" s="4" t="str">
        <f t="shared" si="271"/>
        <v/>
      </c>
      <c r="AI695" s="4" t="str">
        <f t="shared" si="272"/>
        <v/>
      </c>
      <c r="AJ695" s="4" t="str">
        <f t="shared" si="273"/>
        <v/>
      </c>
      <c r="AK695" s="4" t="str">
        <f t="shared" si="274"/>
        <v/>
      </c>
      <c r="AL695" s="2" t="str">
        <f t="shared" si="275"/>
        <v/>
      </c>
      <c r="AM695" s="6" t="str">
        <f t="shared" si="276"/>
        <v/>
      </c>
      <c r="AN695" s="4" t="str">
        <f t="shared" si="277"/>
        <v/>
      </c>
      <c r="AO695" s="4" t="str">
        <f t="shared" si="278"/>
        <v/>
      </c>
      <c r="AP695" s="4" t="str">
        <f t="shared" si="279"/>
        <v/>
      </c>
      <c r="AQ695" s="4" t="str">
        <f t="shared" si="280"/>
        <v/>
      </c>
      <c r="AR695" s="4" t="str">
        <f t="shared" si="281"/>
        <v/>
      </c>
    </row>
    <row r="696" spans="8:44" s="1" customFormat="1" ht="14.25" x14ac:dyDescent="0.3">
      <c r="H696" s="50"/>
      <c r="J696" s="54"/>
      <c r="L696" s="54"/>
      <c r="R696" s="45"/>
      <c r="S696" s="54"/>
      <c r="T696" s="54"/>
      <c r="U696" s="54"/>
      <c r="V696" s="44"/>
      <c r="W696" s="27"/>
      <c r="Z696" s="27"/>
      <c r="AA696" s="8"/>
      <c r="AB696" s="81" t="str">
        <f t="shared" si="265"/>
        <v/>
      </c>
      <c r="AC696" s="6" t="str">
        <f t="shared" si="266"/>
        <v/>
      </c>
      <c r="AD696" s="1" t="str">
        <f t="shared" ca="1" si="267"/>
        <v/>
      </c>
      <c r="AE696" s="75" t="str">
        <f t="shared" si="268"/>
        <v/>
      </c>
      <c r="AF696" s="75" t="str">
        <f t="shared" si="269"/>
        <v/>
      </c>
      <c r="AG696" s="4" t="str">
        <f t="shared" si="270"/>
        <v/>
      </c>
      <c r="AH696" s="4" t="str">
        <f t="shared" si="271"/>
        <v/>
      </c>
      <c r="AI696" s="4" t="str">
        <f t="shared" si="272"/>
        <v/>
      </c>
      <c r="AJ696" s="4" t="str">
        <f t="shared" si="273"/>
        <v/>
      </c>
      <c r="AK696" s="4" t="str">
        <f t="shared" si="274"/>
        <v/>
      </c>
      <c r="AL696" s="2" t="str">
        <f t="shared" si="275"/>
        <v/>
      </c>
      <c r="AM696" s="6" t="str">
        <f t="shared" si="276"/>
        <v/>
      </c>
      <c r="AN696" s="4" t="str">
        <f t="shared" si="277"/>
        <v/>
      </c>
      <c r="AO696" s="4" t="str">
        <f t="shared" si="278"/>
        <v/>
      </c>
      <c r="AP696" s="4" t="str">
        <f t="shared" si="279"/>
        <v/>
      </c>
      <c r="AQ696" s="4" t="str">
        <f t="shared" si="280"/>
        <v/>
      </c>
      <c r="AR696" s="4" t="str">
        <f t="shared" si="281"/>
        <v/>
      </c>
    </row>
    <row r="697" spans="8:44" s="1" customFormat="1" ht="14.25" x14ac:dyDescent="0.3">
      <c r="H697" s="50"/>
      <c r="J697" s="54"/>
      <c r="L697" s="54"/>
      <c r="R697" s="45"/>
      <c r="S697" s="54"/>
      <c r="T697" s="54"/>
      <c r="U697" s="54"/>
      <c r="V697" s="44"/>
      <c r="W697" s="27"/>
      <c r="Z697" s="27"/>
      <c r="AA697" s="8"/>
      <c r="AB697" s="81" t="str">
        <f t="shared" si="265"/>
        <v/>
      </c>
      <c r="AC697" s="6" t="str">
        <f t="shared" si="266"/>
        <v/>
      </c>
      <c r="AD697" s="1" t="str">
        <f t="shared" ca="1" si="267"/>
        <v/>
      </c>
      <c r="AE697" s="75" t="str">
        <f t="shared" si="268"/>
        <v/>
      </c>
      <c r="AF697" s="75" t="str">
        <f t="shared" si="269"/>
        <v/>
      </c>
      <c r="AG697" s="4" t="str">
        <f t="shared" si="270"/>
        <v/>
      </c>
      <c r="AH697" s="4" t="str">
        <f t="shared" si="271"/>
        <v/>
      </c>
      <c r="AI697" s="4" t="str">
        <f t="shared" si="272"/>
        <v/>
      </c>
      <c r="AJ697" s="4" t="str">
        <f t="shared" si="273"/>
        <v/>
      </c>
      <c r="AK697" s="4" t="str">
        <f t="shared" si="274"/>
        <v/>
      </c>
      <c r="AL697" s="2" t="str">
        <f t="shared" si="275"/>
        <v/>
      </c>
      <c r="AM697" s="6" t="str">
        <f t="shared" si="276"/>
        <v/>
      </c>
      <c r="AN697" s="4" t="str">
        <f t="shared" si="277"/>
        <v/>
      </c>
      <c r="AO697" s="4" t="str">
        <f t="shared" si="278"/>
        <v/>
      </c>
      <c r="AP697" s="4" t="str">
        <f t="shared" si="279"/>
        <v/>
      </c>
      <c r="AQ697" s="4" t="str">
        <f t="shared" si="280"/>
        <v/>
      </c>
      <c r="AR697" s="4" t="str">
        <f t="shared" si="281"/>
        <v/>
      </c>
    </row>
    <row r="698" spans="8:44" s="1" customFormat="1" ht="14.25" x14ac:dyDescent="0.3">
      <c r="H698" s="50"/>
      <c r="J698" s="54"/>
      <c r="L698" s="54"/>
      <c r="R698" s="45"/>
      <c r="S698" s="54"/>
      <c r="T698" s="54"/>
      <c r="U698" s="54"/>
      <c r="V698" s="44"/>
      <c r="W698" s="27"/>
      <c r="Z698" s="27"/>
      <c r="AA698" s="8"/>
      <c r="AB698" s="81" t="str">
        <f t="shared" si="265"/>
        <v/>
      </c>
      <c r="AC698" s="6" t="str">
        <f t="shared" si="266"/>
        <v/>
      </c>
      <c r="AD698" s="1" t="str">
        <f t="shared" ca="1" si="267"/>
        <v/>
      </c>
      <c r="AE698" s="75" t="str">
        <f t="shared" si="268"/>
        <v/>
      </c>
      <c r="AF698" s="75" t="str">
        <f t="shared" si="269"/>
        <v/>
      </c>
      <c r="AG698" s="4" t="str">
        <f t="shared" si="270"/>
        <v/>
      </c>
      <c r="AH698" s="4" t="str">
        <f t="shared" si="271"/>
        <v/>
      </c>
      <c r="AI698" s="4" t="str">
        <f t="shared" si="272"/>
        <v/>
      </c>
      <c r="AJ698" s="4" t="str">
        <f t="shared" si="273"/>
        <v/>
      </c>
      <c r="AK698" s="4" t="str">
        <f t="shared" si="274"/>
        <v/>
      </c>
      <c r="AL698" s="2" t="str">
        <f t="shared" si="275"/>
        <v/>
      </c>
      <c r="AM698" s="6" t="str">
        <f t="shared" si="276"/>
        <v/>
      </c>
      <c r="AN698" s="4" t="str">
        <f t="shared" si="277"/>
        <v/>
      </c>
      <c r="AO698" s="4" t="str">
        <f t="shared" si="278"/>
        <v/>
      </c>
      <c r="AP698" s="4" t="str">
        <f t="shared" si="279"/>
        <v/>
      </c>
      <c r="AQ698" s="4" t="str">
        <f t="shared" si="280"/>
        <v/>
      </c>
      <c r="AR698" s="4" t="str">
        <f t="shared" si="281"/>
        <v/>
      </c>
    </row>
    <row r="699" spans="8:44" s="1" customFormat="1" ht="14.25" x14ac:dyDescent="0.3">
      <c r="H699" s="50"/>
      <c r="J699" s="54"/>
      <c r="L699" s="54"/>
      <c r="R699" s="45"/>
      <c r="S699" s="54"/>
      <c r="T699" s="54"/>
      <c r="U699" s="54"/>
      <c r="V699" s="44"/>
      <c r="W699" s="27"/>
      <c r="Z699" s="27"/>
      <c r="AA699" s="8"/>
      <c r="AB699" s="81" t="str">
        <f t="shared" si="265"/>
        <v/>
      </c>
      <c r="AC699" s="6" t="str">
        <f t="shared" si="266"/>
        <v/>
      </c>
      <c r="AD699" s="1" t="str">
        <f t="shared" ca="1" si="267"/>
        <v/>
      </c>
      <c r="AE699" s="75" t="str">
        <f t="shared" si="268"/>
        <v/>
      </c>
      <c r="AF699" s="75" t="str">
        <f t="shared" si="269"/>
        <v/>
      </c>
      <c r="AG699" s="4" t="str">
        <f t="shared" si="270"/>
        <v/>
      </c>
      <c r="AH699" s="4" t="str">
        <f t="shared" si="271"/>
        <v/>
      </c>
      <c r="AI699" s="4" t="str">
        <f t="shared" si="272"/>
        <v/>
      </c>
      <c r="AJ699" s="4" t="str">
        <f t="shared" si="273"/>
        <v/>
      </c>
      <c r="AK699" s="4" t="str">
        <f t="shared" si="274"/>
        <v/>
      </c>
      <c r="AL699" s="2" t="str">
        <f t="shared" si="275"/>
        <v/>
      </c>
      <c r="AM699" s="6" t="str">
        <f t="shared" si="276"/>
        <v/>
      </c>
      <c r="AN699" s="4" t="str">
        <f t="shared" si="277"/>
        <v/>
      </c>
      <c r="AO699" s="4" t="str">
        <f t="shared" si="278"/>
        <v/>
      </c>
      <c r="AP699" s="4" t="str">
        <f t="shared" si="279"/>
        <v/>
      </c>
      <c r="AQ699" s="4" t="str">
        <f t="shared" si="280"/>
        <v/>
      </c>
      <c r="AR699" s="4" t="str">
        <f t="shared" si="281"/>
        <v/>
      </c>
    </row>
    <row r="700" spans="8:44" s="1" customFormat="1" ht="14.25" x14ac:dyDescent="0.3">
      <c r="H700" s="50"/>
      <c r="J700" s="54"/>
      <c r="L700" s="54"/>
      <c r="R700" s="45"/>
      <c r="S700" s="54"/>
      <c r="T700" s="54"/>
      <c r="U700" s="54"/>
      <c r="V700" s="44"/>
      <c r="W700" s="27"/>
      <c r="Z700" s="27"/>
      <c r="AA700" s="8"/>
      <c r="AB700" s="81" t="str">
        <f t="shared" si="265"/>
        <v/>
      </c>
      <c r="AC700" s="6" t="str">
        <f t="shared" si="266"/>
        <v/>
      </c>
      <c r="AD700" s="1" t="str">
        <f t="shared" ca="1" si="267"/>
        <v/>
      </c>
      <c r="AE700" s="75" t="str">
        <f t="shared" si="268"/>
        <v/>
      </c>
      <c r="AF700" s="75" t="str">
        <f t="shared" si="269"/>
        <v/>
      </c>
      <c r="AG700" s="4" t="str">
        <f t="shared" si="270"/>
        <v/>
      </c>
      <c r="AH700" s="4" t="str">
        <f t="shared" si="271"/>
        <v/>
      </c>
      <c r="AI700" s="4" t="str">
        <f t="shared" si="272"/>
        <v/>
      </c>
      <c r="AJ700" s="4" t="str">
        <f t="shared" si="273"/>
        <v/>
      </c>
      <c r="AK700" s="4" t="str">
        <f t="shared" si="274"/>
        <v/>
      </c>
      <c r="AL700" s="2" t="str">
        <f t="shared" si="275"/>
        <v/>
      </c>
      <c r="AM700" s="6" t="str">
        <f t="shared" si="276"/>
        <v/>
      </c>
      <c r="AN700" s="4" t="str">
        <f t="shared" si="277"/>
        <v/>
      </c>
      <c r="AO700" s="4" t="str">
        <f t="shared" si="278"/>
        <v/>
      </c>
      <c r="AP700" s="4" t="str">
        <f t="shared" si="279"/>
        <v/>
      </c>
      <c r="AQ700" s="4" t="str">
        <f t="shared" si="280"/>
        <v/>
      </c>
      <c r="AR700" s="4" t="str">
        <f t="shared" si="281"/>
        <v/>
      </c>
    </row>
    <row r="701" spans="8:44" s="1" customFormat="1" ht="14.25" x14ac:dyDescent="0.3">
      <c r="H701" s="50"/>
      <c r="J701" s="54"/>
      <c r="L701" s="54"/>
      <c r="R701" s="45"/>
      <c r="S701" s="54"/>
      <c r="T701" s="54"/>
      <c r="U701" s="54"/>
      <c r="V701" s="44"/>
      <c r="W701" s="27"/>
      <c r="Z701" s="27"/>
      <c r="AA701" s="8"/>
      <c r="AB701" s="81" t="str">
        <f t="shared" ref="AB701:AB764" si="282">IF(X701="","",(AH701-AG701)/AG701)</f>
        <v/>
      </c>
      <c r="AC701" s="6" t="str">
        <f t="shared" ref="AC701:AC764" si="283">IF(X701="","",AH701-AG701)</f>
        <v/>
      </c>
      <c r="AD701" s="1" t="str">
        <f t="shared" ref="AD701:AD764" ca="1" si="284">IF(X701="","",IF(W701="","",IF(Z701="",TODAY()-W701,Z701-W701)))</f>
        <v/>
      </c>
      <c r="AE701" s="75" t="str">
        <f t="shared" ref="AE701:AE764" si="285">IF(X701="","",IF(AE700="",IF(AM701="","",AM701),IF(AM701="",AE700,AE700+AM701)))</f>
        <v/>
      </c>
      <c r="AF701" s="75" t="str">
        <f t="shared" ref="AF701:AF764" si="286">IF(X701="","",IF(AF700="",IF(AN701="","",AN701),IF(AN701="",AF700,AF700+AN701)))</f>
        <v/>
      </c>
      <c r="AG701" s="4" t="str">
        <f t="shared" ref="AG701:AG764" si="287">IF(X701="","",X701*Y701*100+AO701+AP701)</f>
        <v/>
      </c>
      <c r="AH701" s="4" t="str">
        <f t="shared" ref="AH701:AH764" si="288">IF(X701="","",IF(AA701="",C701*Y701*100-AO701-AQ701-AR701,AA701*Y701*100-AO701-AQ701-AR701))</f>
        <v/>
      </c>
      <c r="AI701" s="4" t="str">
        <f t="shared" ref="AI701:AI764" si="289">IF(X701="","",AI700+AC701)</f>
        <v/>
      </c>
      <c r="AJ701" s="4" t="str">
        <f t="shared" ref="AJ701:AJ764" si="290">IF(X701="","",AO701+AP701+AO701+AQ701+AR701)</f>
        <v/>
      </c>
      <c r="AK701" s="4" t="str">
        <f t="shared" ref="AK701:AK764" si="291">IF(X701="","",AK700+AJ701)</f>
        <v/>
      </c>
      <c r="AL701" s="2" t="str">
        <f t="shared" ref="AL701:AL764" si="292">IF(X701="","",0.18%)</f>
        <v/>
      </c>
      <c r="AM701" s="6" t="str">
        <f t="shared" ref="AM701:AM764" si="293">IF(X701="","",IF(Z701="",AC701,""))</f>
        <v/>
      </c>
      <c r="AN701" s="4" t="str">
        <f t="shared" ref="AN701:AN764" si="294">IF(X701="","",IF(Z701="",AH701,""))</f>
        <v/>
      </c>
      <c r="AO701" s="4" t="str">
        <f t="shared" ref="AO701:AO764" si="295">IF(X701="","",IF(LEFT(A701,2)="sh",IF(Y701*100/1000&lt;=1,1,Y701*100/1000),0))</f>
        <v/>
      </c>
      <c r="AP701" s="4" t="str">
        <f t="shared" ref="AP701:AP764" si="296">IF(X701="","",IF(X701*Y701*100*AL701&lt;=5,5,X701*Y701*100*AL701))</f>
        <v/>
      </c>
      <c r="AQ701" s="4" t="str">
        <f t="shared" ref="AQ701:AQ764" si="297">IF(X701="","",IF(AA701="",IF(C701*Y701*100*AL701&lt;=5,5,C701*Y701*100*AL701),IF(AA701*Y701*100*AL701&lt;=5,5,AA701*Y701*100*AL701)))</f>
        <v/>
      </c>
      <c r="AR701" s="4" t="str">
        <f t="shared" ref="AR701:AR764" si="298">IF(X701="","",IF(AA701="",C701*Y701*100*0.001,AA701*Y701*100*0.001))</f>
        <v/>
      </c>
    </row>
    <row r="702" spans="8:44" s="1" customFormat="1" ht="14.25" x14ac:dyDescent="0.3">
      <c r="H702" s="50"/>
      <c r="J702" s="54"/>
      <c r="L702" s="54"/>
      <c r="R702" s="45"/>
      <c r="S702" s="54"/>
      <c r="T702" s="54"/>
      <c r="U702" s="54"/>
      <c r="V702" s="44"/>
      <c r="W702" s="27"/>
      <c r="Z702" s="27"/>
      <c r="AA702" s="8"/>
      <c r="AB702" s="81" t="str">
        <f t="shared" si="282"/>
        <v/>
      </c>
      <c r="AC702" s="6" t="str">
        <f t="shared" si="283"/>
        <v/>
      </c>
      <c r="AD702" s="1" t="str">
        <f t="shared" ca="1" si="284"/>
        <v/>
      </c>
      <c r="AE702" s="75" t="str">
        <f t="shared" si="285"/>
        <v/>
      </c>
      <c r="AF702" s="75" t="str">
        <f t="shared" si="286"/>
        <v/>
      </c>
      <c r="AG702" s="4" t="str">
        <f t="shared" si="287"/>
        <v/>
      </c>
      <c r="AH702" s="4" t="str">
        <f t="shared" si="288"/>
        <v/>
      </c>
      <c r="AI702" s="4" t="str">
        <f t="shared" si="289"/>
        <v/>
      </c>
      <c r="AJ702" s="4" t="str">
        <f t="shared" si="290"/>
        <v/>
      </c>
      <c r="AK702" s="4" t="str">
        <f t="shared" si="291"/>
        <v/>
      </c>
      <c r="AL702" s="2" t="str">
        <f t="shared" si="292"/>
        <v/>
      </c>
      <c r="AM702" s="6" t="str">
        <f t="shared" si="293"/>
        <v/>
      </c>
      <c r="AN702" s="4" t="str">
        <f t="shared" si="294"/>
        <v/>
      </c>
      <c r="AO702" s="4" t="str">
        <f t="shared" si="295"/>
        <v/>
      </c>
      <c r="AP702" s="4" t="str">
        <f t="shared" si="296"/>
        <v/>
      </c>
      <c r="AQ702" s="4" t="str">
        <f t="shared" si="297"/>
        <v/>
      </c>
      <c r="AR702" s="4" t="str">
        <f t="shared" si="298"/>
        <v/>
      </c>
    </row>
    <row r="703" spans="8:44" s="1" customFormat="1" ht="14.25" x14ac:dyDescent="0.3">
      <c r="H703" s="50"/>
      <c r="J703" s="54"/>
      <c r="L703" s="54"/>
      <c r="R703" s="45"/>
      <c r="S703" s="54"/>
      <c r="T703" s="54"/>
      <c r="U703" s="54"/>
      <c r="V703" s="44"/>
      <c r="W703" s="27"/>
      <c r="Z703" s="27"/>
      <c r="AA703" s="8"/>
      <c r="AB703" s="81" t="str">
        <f t="shared" si="282"/>
        <v/>
      </c>
      <c r="AC703" s="6" t="str">
        <f t="shared" si="283"/>
        <v/>
      </c>
      <c r="AD703" s="1" t="str">
        <f t="shared" ca="1" si="284"/>
        <v/>
      </c>
      <c r="AE703" s="75" t="str">
        <f t="shared" si="285"/>
        <v/>
      </c>
      <c r="AF703" s="75" t="str">
        <f t="shared" si="286"/>
        <v/>
      </c>
      <c r="AG703" s="4" t="str">
        <f t="shared" si="287"/>
        <v/>
      </c>
      <c r="AH703" s="4" t="str">
        <f t="shared" si="288"/>
        <v/>
      </c>
      <c r="AI703" s="4" t="str">
        <f t="shared" si="289"/>
        <v/>
      </c>
      <c r="AJ703" s="4" t="str">
        <f t="shared" si="290"/>
        <v/>
      </c>
      <c r="AK703" s="4" t="str">
        <f t="shared" si="291"/>
        <v/>
      </c>
      <c r="AL703" s="2" t="str">
        <f t="shared" si="292"/>
        <v/>
      </c>
      <c r="AM703" s="6" t="str">
        <f t="shared" si="293"/>
        <v/>
      </c>
      <c r="AN703" s="4" t="str">
        <f t="shared" si="294"/>
        <v/>
      </c>
      <c r="AO703" s="4" t="str">
        <f t="shared" si="295"/>
        <v/>
      </c>
      <c r="AP703" s="4" t="str">
        <f t="shared" si="296"/>
        <v/>
      </c>
      <c r="AQ703" s="4" t="str">
        <f t="shared" si="297"/>
        <v/>
      </c>
      <c r="AR703" s="4" t="str">
        <f t="shared" si="298"/>
        <v/>
      </c>
    </row>
    <row r="704" spans="8:44" s="1" customFormat="1" ht="14.25" x14ac:dyDescent="0.3">
      <c r="H704" s="50"/>
      <c r="J704" s="54"/>
      <c r="L704" s="54"/>
      <c r="R704" s="45"/>
      <c r="S704" s="54"/>
      <c r="T704" s="54"/>
      <c r="U704" s="54"/>
      <c r="V704" s="44"/>
      <c r="W704" s="27"/>
      <c r="Z704" s="27"/>
      <c r="AA704" s="8"/>
      <c r="AB704" s="81" t="str">
        <f t="shared" si="282"/>
        <v/>
      </c>
      <c r="AC704" s="6" t="str">
        <f t="shared" si="283"/>
        <v/>
      </c>
      <c r="AD704" s="1" t="str">
        <f t="shared" ca="1" si="284"/>
        <v/>
      </c>
      <c r="AE704" s="75" t="str">
        <f t="shared" si="285"/>
        <v/>
      </c>
      <c r="AF704" s="75" t="str">
        <f t="shared" si="286"/>
        <v/>
      </c>
      <c r="AG704" s="4" t="str">
        <f t="shared" si="287"/>
        <v/>
      </c>
      <c r="AH704" s="4" t="str">
        <f t="shared" si="288"/>
        <v/>
      </c>
      <c r="AI704" s="4" t="str">
        <f t="shared" si="289"/>
        <v/>
      </c>
      <c r="AJ704" s="4" t="str">
        <f t="shared" si="290"/>
        <v/>
      </c>
      <c r="AK704" s="4" t="str">
        <f t="shared" si="291"/>
        <v/>
      </c>
      <c r="AL704" s="2" t="str">
        <f t="shared" si="292"/>
        <v/>
      </c>
      <c r="AM704" s="6" t="str">
        <f t="shared" si="293"/>
        <v/>
      </c>
      <c r="AN704" s="4" t="str">
        <f t="shared" si="294"/>
        <v/>
      </c>
      <c r="AO704" s="4" t="str">
        <f t="shared" si="295"/>
        <v/>
      </c>
      <c r="AP704" s="4" t="str">
        <f t="shared" si="296"/>
        <v/>
      </c>
      <c r="AQ704" s="4" t="str">
        <f t="shared" si="297"/>
        <v/>
      </c>
      <c r="AR704" s="4" t="str">
        <f t="shared" si="298"/>
        <v/>
      </c>
    </row>
    <row r="705" spans="8:44" s="1" customFormat="1" ht="14.25" x14ac:dyDescent="0.3">
      <c r="H705" s="50"/>
      <c r="J705" s="54"/>
      <c r="L705" s="54"/>
      <c r="R705" s="45"/>
      <c r="S705" s="54"/>
      <c r="T705" s="54"/>
      <c r="U705" s="54"/>
      <c r="V705" s="44"/>
      <c r="W705" s="27"/>
      <c r="Z705" s="27"/>
      <c r="AA705" s="8"/>
      <c r="AB705" s="81" t="str">
        <f t="shared" si="282"/>
        <v/>
      </c>
      <c r="AC705" s="6" t="str">
        <f t="shared" si="283"/>
        <v/>
      </c>
      <c r="AD705" s="1" t="str">
        <f t="shared" ca="1" si="284"/>
        <v/>
      </c>
      <c r="AE705" s="75" t="str">
        <f t="shared" si="285"/>
        <v/>
      </c>
      <c r="AF705" s="75" t="str">
        <f t="shared" si="286"/>
        <v/>
      </c>
      <c r="AG705" s="4" t="str">
        <f t="shared" si="287"/>
        <v/>
      </c>
      <c r="AH705" s="4" t="str">
        <f t="shared" si="288"/>
        <v/>
      </c>
      <c r="AI705" s="4" t="str">
        <f t="shared" si="289"/>
        <v/>
      </c>
      <c r="AJ705" s="4" t="str">
        <f t="shared" si="290"/>
        <v/>
      </c>
      <c r="AK705" s="4" t="str">
        <f t="shared" si="291"/>
        <v/>
      </c>
      <c r="AL705" s="2" t="str">
        <f t="shared" si="292"/>
        <v/>
      </c>
      <c r="AM705" s="6" t="str">
        <f t="shared" si="293"/>
        <v/>
      </c>
      <c r="AN705" s="4" t="str">
        <f t="shared" si="294"/>
        <v/>
      </c>
      <c r="AO705" s="4" t="str">
        <f t="shared" si="295"/>
        <v/>
      </c>
      <c r="AP705" s="4" t="str">
        <f t="shared" si="296"/>
        <v/>
      </c>
      <c r="AQ705" s="4" t="str">
        <f t="shared" si="297"/>
        <v/>
      </c>
      <c r="AR705" s="4" t="str">
        <f t="shared" si="298"/>
        <v/>
      </c>
    </row>
    <row r="706" spans="8:44" s="1" customFormat="1" ht="14.25" x14ac:dyDescent="0.3">
      <c r="H706" s="50"/>
      <c r="J706" s="54"/>
      <c r="L706" s="54"/>
      <c r="R706" s="45"/>
      <c r="S706" s="54"/>
      <c r="T706" s="54"/>
      <c r="U706" s="54"/>
      <c r="V706" s="44"/>
      <c r="W706" s="27"/>
      <c r="Z706" s="27"/>
      <c r="AA706" s="8"/>
      <c r="AB706" s="81" t="str">
        <f t="shared" si="282"/>
        <v/>
      </c>
      <c r="AC706" s="6" t="str">
        <f t="shared" si="283"/>
        <v/>
      </c>
      <c r="AD706" s="1" t="str">
        <f t="shared" ca="1" si="284"/>
        <v/>
      </c>
      <c r="AE706" s="75" t="str">
        <f t="shared" si="285"/>
        <v/>
      </c>
      <c r="AF706" s="75" t="str">
        <f t="shared" si="286"/>
        <v/>
      </c>
      <c r="AG706" s="4" t="str">
        <f t="shared" si="287"/>
        <v/>
      </c>
      <c r="AH706" s="4" t="str">
        <f t="shared" si="288"/>
        <v/>
      </c>
      <c r="AI706" s="4" t="str">
        <f t="shared" si="289"/>
        <v/>
      </c>
      <c r="AJ706" s="4" t="str">
        <f t="shared" si="290"/>
        <v/>
      </c>
      <c r="AK706" s="4" t="str">
        <f t="shared" si="291"/>
        <v/>
      </c>
      <c r="AL706" s="2" t="str">
        <f t="shared" si="292"/>
        <v/>
      </c>
      <c r="AM706" s="6" t="str">
        <f t="shared" si="293"/>
        <v/>
      </c>
      <c r="AN706" s="4" t="str">
        <f t="shared" si="294"/>
        <v/>
      </c>
      <c r="AO706" s="4" t="str">
        <f t="shared" si="295"/>
        <v/>
      </c>
      <c r="AP706" s="4" t="str">
        <f t="shared" si="296"/>
        <v/>
      </c>
      <c r="AQ706" s="4" t="str">
        <f t="shared" si="297"/>
        <v/>
      </c>
      <c r="AR706" s="4" t="str">
        <f t="shared" si="298"/>
        <v/>
      </c>
    </row>
    <row r="707" spans="8:44" s="1" customFormat="1" ht="14.25" x14ac:dyDescent="0.3">
      <c r="H707" s="50"/>
      <c r="J707" s="54"/>
      <c r="L707" s="54"/>
      <c r="R707" s="45"/>
      <c r="S707" s="54"/>
      <c r="T707" s="54"/>
      <c r="U707" s="54"/>
      <c r="V707" s="44"/>
      <c r="W707" s="27"/>
      <c r="Z707" s="27"/>
      <c r="AA707" s="8"/>
      <c r="AB707" s="81" t="str">
        <f t="shared" si="282"/>
        <v/>
      </c>
      <c r="AC707" s="6" t="str">
        <f t="shared" si="283"/>
        <v/>
      </c>
      <c r="AD707" s="1" t="str">
        <f t="shared" ca="1" si="284"/>
        <v/>
      </c>
      <c r="AE707" s="75" t="str">
        <f t="shared" si="285"/>
        <v/>
      </c>
      <c r="AF707" s="75" t="str">
        <f t="shared" si="286"/>
        <v/>
      </c>
      <c r="AG707" s="4" t="str">
        <f t="shared" si="287"/>
        <v/>
      </c>
      <c r="AH707" s="4" t="str">
        <f t="shared" si="288"/>
        <v/>
      </c>
      <c r="AI707" s="4" t="str">
        <f t="shared" si="289"/>
        <v/>
      </c>
      <c r="AJ707" s="4" t="str">
        <f t="shared" si="290"/>
        <v/>
      </c>
      <c r="AK707" s="4" t="str">
        <f t="shared" si="291"/>
        <v/>
      </c>
      <c r="AL707" s="2" t="str">
        <f t="shared" si="292"/>
        <v/>
      </c>
      <c r="AM707" s="6" t="str">
        <f t="shared" si="293"/>
        <v/>
      </c>
      <c r="AN707" s="4" t="str">
        <f t="shared" si="294"/>
        <v/>
      </c>
      <c r="AO707" s="4" t="str">
        <f t="shared" si="295"/>
        <v/>
      </c>
      <c r="AP707" s="4" t="str">
        <f t="shared" si="296"/>
        <v/>
      </c>
      <c r="AQ707" s="4" t="str">
        <f t="shared" si="297"/>
        <v/>
      </c>
      <c r="AR707" s="4" t="str">
        <f t="shared" si="298"/>
        <v/>
      </c>
    </row>
    <row r="708" spans="8:44" s="1" customFormat="1" ht="14.25" x14ac:dyDescent="0.3">
      <c r="H708" s="50"/>
      <c r="J708" s="54"/>
      <c r="L708" s="54"/>
      <c r="R708" s="45"/>
      <c r="S708" s="54"/>
      <c r="T708" s="54"/>
      <c r="U708" s="54"/>
      <c r="V708" s="44"/>
      <c r="W708" s="27"/>
      <c r="Z708" s="27"/>
      <c r="AA708" s="8"/>
      <c r="AB708" s="81" t="str">
        <f t="shared" si="282"/>
        <v/>
      </c>
      <c r="AC708" s="6" t="str">
        <f t="shared" si="283"/>
        <v/>
      </c>
      <c r="AD708" s="1" t="str">
        <f t="shared" ca="1" si="284"/>
        <v/>
      </c>
      <c r="AE708" s="75" t="str">
        <f t="shared" si="285"/>
        <v/>
      </c>
      <c r="AF708" s="75" t="str">
        <f t="shared" si="286"/>
        <v/>
      </c>
      <c r="AG708" s="4" t="str">
        <f t="shared" si="287"/>
        <v/>
      </c>
      <c r="AH708" s="4" t="str">
        <f t="shared" si="288"/>
        <v/>
      </c>
      <c r="AI708" s="4" t="str">
        <f t="shared" si="289"/>
        <v/>
      </c>
      <c r="AJ708" s="4" t="str">
        <f t="shared" si="290"/>
        <v/>
      </c>
      <c r="AK708" s="4" t="str">
        <f t="shared" si="291"/>
        <v/>
      </c>
      <c r="AL708" s="2" t="str">
        <f t="shared" si="292"/>
        <v/>
      </c>
      <c r="AM708" s="6" t="str">
        <f t="shared" si="293"/>
        <v/>
      </c>
      <c r="AN708" s="4" t="str">
        <f t="shared" si="294"/>
        <v/>
      </c>
      <c r="AO708" s="4" t="str">
        <f t="shared" si="295"/>
        <v/>
      </c>
      <c r="AP708" s="4" t="str">
        <f t="shared" si="296"/>
        <v/>
      </c>
      <c r="AQ708" s="4" t="str">
        <f t="shared" si="297"/>
        <v/>
      </c>
      <c r="AR708" s="4" t="str">
        <f t="shared" si="298"/>
        <v/>
      </c>
    </row>
    <row r="709" spans="8:44" s="1" customFormat="1" ht="14.25" x14ac:dyDescent="0.3">
      <c r="H709" s="50"/>
      <c r="J709" s="54"/>
      <c r="L709" s="54"/>
      <c r="R709" s="45"/>
      <c r="S709" s="54"/>
      <c r="T709" s="54"/>
      <c r="U709" s="54"/>
      <c r="V709" s="44"/>
      <c r="W709" s="27"/>
      <c r="Z709" s="27"/>
      <c r="AA709" s="8"/>
      <c r="AB709" s="81" t="str">
        <f t="shared" si="282"/>
        <v/>
      </c>
      <c r="AC709" s="6" t="str">
        <f t="shared" si="283"/>
        <v/>
      </c>
      <c r="AD709" s="1" t="str">
        <f t="shared" ca="1" si="284"/>
        <v/>
      </c>
      <c r="AE709" s="75" t="str">
        <f t="shared" si="285"/>
        <v/>
      </c>
      <c r="AF709" s="75" t="str">
        <f t="shared" si="286"/>
        <v/>
      </c>
      <c r="AG709" s="4" t="str">
        <f t="shared" si="287"/>
        <v/>
      </c>
      <c r="AH709" s="4" t="str">
        <f t="shared" si="288"/>
        <v/>
      </c>
      <c r="AI709" s="4" t="str">
        <f t="shared" si="289"/>
        <v/>
      </c>
      <c r="AJ709" s="4" t="str">
        <f t="shared" si="290"/>
        <v/>
      </c>
      <c r="AK709" s="4" t="str">
        <f t="shared" si="291"/>
        <v/>
      </c>
      <c r="AL709" s="2" t="str">
        <f t="shared" si="292"/>
        <v/>
      </c>
      <c r="AM709" s="6" t="str">
        <f t="shared" si="293"/>
        <v/>
      </c>
      <c r="AN709" s="4" t="str">
        <f t="shared" si="294"/>
        <v/>
      </c>
      <c r="AO709" s="4" t="str">
        <f t="shared" si="295"/>
        <v/>
      </c>
      <c r="AP709" s="4" t="str">
        <f t="shared" si="296"/>
        <v/>
      </c>
      <c r="AQ709" s="4" t="str">
        <f t="shared" si="297"/>
        <v/>
      </c>
      <c r="AR709" s="4" t="str">
        <f t="shared" si="298"/>
        <v/>
      </c>
    </row>
    <row r="710" spans="8:44" s="1" customFormat="1" ht="14.25" x14ac:dyDescent="0.3">
      <c r="H710" s="50"/>
      <c r="J710" s="54"/>
      <c r="L710" s="54"/>
      <c r="R710" s="45"/>
      <c r="S710" s="54"/>
      <c r="T710" s="54"/>
      <c r="U710" s="54"/>
      <c r="V710" s="44"/>
      <c r="W710" s="27"/>
      <c r="Z710" s="27"/>
      <c r="AA710" s="8"/>
      <c r="AB710" s="81" t="str">
        <f t="shared" si="282"/>
        <v/>
      </c>
      <c r="AC710" s="6" t="str">
        <f t="shared" si="283"/>
        <v/>
      </c>
      <c r="AD710" s="1" t="str">
        <f t="shared" ca="1" si="284"/>
        <v/>
      </c>
      <c r="AE710" s="75" t="str">
        <f t="shared" si="285"/>
        <v/>
      </c>
      <c r="AF710" s="75" t="str">
        <f t="shared" si="286"/>
        <v/>
      </c>
      <c r="AG710" s="4" t="str">
        <f t="shared" si="287"/>
        <v/>
      </c>
      <c r="AH710" s="4" t="str">
        <f t="shared" si="288"/>
        <v/>
      </c>
      <c r="AI710" s="4" t="str">
        <f t="shared" si="289"/>
        <v/>
      </c>
      <c r="AJ710" s="4" t="str">
        <f t="shared" si="290"/>
        <v/>
      </c>
      <c r="AK710" s="4" t="str">
        <f t="shared" si="291"/>
        <v/>
      </c>
      <c r="AL710" s="2" t="str">
        <f t="shared" si="292"/>
        <v/>
      </c>
      <c r="AM710" s="6" t="str">
        <f t="shared" si="293"/>
        <v/>
      </c>
      <c r="AN710" s="4" t="str">
        <f t="shared" si="294"/>
        <v/>
      </c>
      <c r="AO710" s="4" t="str">
        <f t="shared" si="295"/>
        <v/>
      </c>
      <c r="AP710" s="4" t="str">
        <f t="shared" si="296"/>
        <v/>
      </c>
      <c r="AQ710" s="4" t="str">
        <f t="shared" si="297"/>
        <v/>
      </c>
      <c r="AR710" s="4" t="str">
        <f t="shared" si="298"/>
        <v/>
      </c>
    </row>
    <row r="711" spans="8:44" s="1" customFormat="1" ht="14.25" x14ac:dyDescent="0.3">
      <c r="H711" s="50"/>
      <c r="J711" s="54"/>
      <c r="L711" s="54"/>
      <c r="R711" s="45"/>
      <c r="S711" s="54"/>
      <c r="T711" s="54"/>
      <c r="U711" s="54"/>
      <c r="V711" s="44"/>
      <c r="W711" s="27"/>
      <c r="Z711" s="27"/>
      <c r="AA711" s="8"/>
      <c r="AB711" s="81" t="str">
        <f t="shared" si="282"/>
        <v/>
      </c>
      <c r="AC711" s="6" t="str">
        <f t="shared" si="283"/>
        <v/>
      </c>
      <c r="AD711" s="1" t="str">
        <f t="shared" ca="1" si="284"/>
        <v/>
      </c>
      <c r="AE711" s="75" t="str">
        <f t="shared" si="285"/>
        <v/>
      </c>
      <c r="AF711" s="75" t="str">
        <f t="shared" si="286"/>
        <v/>
      </c>
      <c r="AG711" s="4" t="str">
        <f t="shared" si="287"/>
        <v/>
      </c>
      <c r="AH711" s="4" t="str">
        <f t="shared" si="288"/>
        <v/>
      </c>
      <c r="AI711" s="4" t="str">
        <f t="shared" si="289"/>
        <v/>
      </c>
      <c r="AJ711" s="4" t="str">
        <f t="shared" si="290"/>
        <v/>
      </c>
      <c r="AK711" s="4" t="str">
        <f t="shared" si="291"/>
        <v/>
      </c>
      <c r="AL711" s="2" t="str">
        <f t="shared" si="292"/>
        <v/>
      </c>
      <c r="AM711" s="6" t="str">
        <f t="shared" si="293"/>
        <v/>
      </c>
      <c r="AN711" s="4" t="str">
        <f t="shared" si="294"/>
        <v/>
      </c>
      <c r="AO711" s="4" t="str">
        <f t="shared" si="295"/>
        <v/>
      </c>
      <c r="AP711" s="4" t="str">
        <f t="shared" si="296"/>
        <v/>
      </c>
      <c r="AQ711" s="4" t="str">
        <f t="shared" si="297"/>
        <v/>
      </c>
      <c r="AR711" s="4" t="str">
        <f t="shared" si="298"/>
        <v/>
      </c>
    </row>
    <row r="712" spans="8:44" s="1" customFormat="1" ht="14.25" x14ac:dyDescent="0.3">
      <c r="H712" s="50"/>
      <c r="J712" s="54"/>
      <c r="L712" s="54"/>
      <c r="R712" s="45"/>
      <c r="S712" s="54"/>
      <c r="T712" s="54"/>
      <c r="U712" s="54"/>
      <c r="V712" s="44"/>
      <c r="W712" s="27"/>
      <c r="Z712" s="27"/>
      <c r="AA712" s="8"/>
      <c r="AB712" s="81" t="str">
        <f t="shared" si="282"/>
        <v/>
      </c>
      <c r="AC712" s="6" t="str">
        <f t="shared" si="283"/>
        <v/>
      </c>
      <c r="AD712" s="1" t="str">
        <f t="shared" ca="1" si="284"/>
        <v/>
      </c>
      <c r="AE712" s="75" t="str">
        <f t="shared" si="285"/>
        <v/>
      </c>
      <c r="AF712" s="75" t="str">
        <f t="shared" si="286"/>
        <v/>
      </c>
      <c r="AG712" s="4" t="str">
        <f t="shared" si="287"/>
        <v/>
      </c>
      <c r="AH712" s="4" t="str">
        <f t="shared" si="288"/>
        <v/>
      </c>
      <c r="AI712" s="4" t="str">
        <f t="shared" si="289"/>
        <v/>
      </c>
      <c r="AJ712" s="4" t="str">
        <f t="shared" si="290"/>
        <v/>
      </c>
      <c r="AK712" s="4" t="str">
        <f t="shared" si="291"/>
        <v/>
      </c>
      <c r="AL712" s="2" t="str">
        <f t="shared" si="292"/>
        <v/>
      </c>
      <c r="AM712" s="6" t="str">
        <f t="shared" si="293"/>
        <v/>
      </c>
      <c r="AN712" s="4" t="str">
        <f t="shared" si="294"/>
        <v/>
      </c>
      <c r="AO712" s="4" t="str">
        <f t="shared" si="295"/>
        <v/>
      </c>
      <c r="AP712" s="4" t="str">
        <f t="shared" si="296"/>
        <v/>
      </c>
      <c r="AQ712" s="4" t="str">
        <f t="shared" si="297"/>
        <v/>
      </c>
      <c r="AR712" s="4" t="str">
        <f t="shared" si="298"/>
        <v/>
      </c>
    </row>
    <row r="713" spans="8:44" s="1" customFormat="1" ht="14.25" x14ac:dyDescent="0.3">
      <c r="H713" s="50"/>
      <c r="J713" s="54"/>
      <c r="L713" s="54"/>
      <c r="R713" s="45"/>
      <c r="S713" s="54"/>
      <c r="T713" s="54"/>
      <c r="U713" s="54"/>
      <c r="V713" s="44"/>
      <c r="W713" s="27"/>
      <c r="Z713" s="27"/>
      <c r="AA713" s="8"/>
      <c r="AB713" s="81" t="str">
        <f t="shared" si="282"/>
        <v/>
      </c>
      <c r="AC713" s="6" t="str">
        <f t="shared" si="283"/>
        <v/>
      </c>
      <c r="AD713" s="1" t="str">
        <f t="shared" ca="1" si="284"/>
        <v/>
      </c>
      <c r="AE713" s="75" t="str">
        <f t="shared" si="285"/>
        <v/>
      </c>
      <c r="AF713" s="75" t="str">
        <f t="shared" si="286"/>
        <v/>
      </c>
      <c r="AG713" s="4" t="str">
        <f t="shared" si="287"/>
        <v/>
      </c>
      <c r="AH713" s="4" t="str">
        <f t="shared" si="288"/>
        <v/>
      </c>
      <c r="AI713" s="4" t="str">
        <f t="shared" si="289"/>
        <v/>
      </c>
      <c r="AJ713" s="4" t="str">
        <f t="shared" si="290"/>
        <v/>
      </c>
      <c r="AK713" s="4" t="str">
        <f t="shared" si="291"/>
        <v/>
      </c>
      <c r="AL713" s="2" t="str">
        <f t="shared" si="292"/>
        <v/>
      </c>
      <c r="AM713" s="6" t="str">
        <f t="shared" si="293"/>
        <v/>
      </c>
      <c r="AN713" s="4" t="str">
        <f t="shared" si="294"/>
        <v/>
      </c>
      <c r="AO713" s="4" t="str">
        <f t="shared" si="295"/>
        <v/>
      </c>
      <c r="AP713" s="4" t="str">
        <f t="shared" si="296"/>
        <v/>
      </c>
      <c r="AQ713" s="4" t="str">
        <f t="shared" si="297"/>
        <v/>
      </c>
      <c r="AR713" s="4" t="str">
        <f t="shared" si="298"/>
        <v/>
      </c>
    </row>
    <row r="714" spans="8:44" s="1" customFormat="1" ht="14.25" x14ac:dyDescent="0.3">
      <c r="H714" s="50"/>
      <c r="J714" s="54"/>
      <c r="L714" s="54"/>
      <c r="R714" s="45"/>
      <c r="S714" s="54"/>
      <c r="T714" s="54"/>
      <c r="U714" s="54"/>
      <c r="V714" s="44"/>
      <c r="W714" s="27"/>
      <c r="Z714" s="27"/>
      <c r="AA714" s="8"/>
      <c r="AB714" s="81" t="str">
        <f t="shared" si="282"/>
        <v/>
      </c>
      <c r="AC714" s="6" t="str">
        <f t="shared" si="283"/>
        <v/>
      </c>
      <c r="AD714" s="1" t="str">
        <f t="shared" ca="1" si="284"/>
        <v/>
      </c>
      <c r="AE714" s="75" t="str">
        <f t="shared" si="285"/>
        <v/>
      </c>
      <c r="AF714" s="75" t="str">
        <f t="shared" si="286"/>
        <v/>
      </c>
      <c r="AG714" s="4" t="str">
        <f t="shared" si="287"/>
        <v/>
      </c>
      <c r="AH714" s="4" t="str">
        <f t="shared" si="288"/>
        <v/>
      </c>
      <c r="AI714" s="4" t="str">
        <f t="shared" si="289"/>
        <v/>
      </c>
      <c r="AJ714" s="4" t="str">
        <f t="shared" si="290"/>
        <v/>
      </c>
      <c r="AK714" s="4" t="str">
        <f t="shared" si="291"/>
        <v/>
      </c>
      <c r="AL714" s="2" t="str">
        <f t="shared" si="292"/>
        <v/>
      </c>
      <c r="AM714" s="6" t="str">
        <f t="shared" si="293"/>
        <v/>
      </c>
      <c r="AN714" s="4" t="str">
        <f t="shared" si="294"/>
        <v/>
      </c>
      <c r="AO714" s="4" t="str">
        <f t="shared" si="295"/>
        <v/>
      </c>
      <c r="AP714" s="4" t="str">
        <f t="shared" si="296"/>
        <v/>
      </c>
      <c r="AQ714" s="4" t="str">
        <f t="shared" si="297"/>
        <v/>
      </c>
      <c r="AR714" s="4" t="str">
        <f t="shared" si="298"/>
        <v/>
      </c>
    </row>
    <row r="715" spans="8:44" s="1" customFormat="1" ht="14.25" x14ac:dyDescent="0.3">
      <c r="H715" s="50"/>
      <c r="J715" s="54"/>
      <c r="L715" s="54"/>
      <c r="R715" s="45"/>
      <c r="S715" s="54"/>
      <c r="T715" s="54"/>
      <c r="U715" s="54"/>
      <c r="V715" s="44"/>
      <c r="W715" s="27"/>
      <c r="Z715" s="27"/>
      <c r="AA715" s="8"/>
      <c r="AB715" s="81" t="str">
        <f t="shared" si="282"/>
        <v/>
      </c>
      <c r="AC715" s="6" t="str">
        <f t="shared" si="283"/>
        <v/>
      </c>
      <c r="AD715" s="1" t="str">
        <f t="shared" ca="1" si="284"/>
        <v/>
      </c>
      <c r="AE715" s="75" t="str">
        <f t="shared" si="285"/>
        <v/>
      </c>
      <c r="AF715" s="75" t="str">
        <f t="shared" si="286"/>
        <v/>
      </c>
      <c r="AG715" s="4" t="str">
        <f t="shared" si="287"/>
        <v/>
      </c>
      <c r="AH715" s="4" t="str">
        <f t="shared" si="288"/>
        <v/>
      </c>
      <c r="AI715" s="4" t="str">
        <f t="shared" si="289"/>
        <v/>
      </c>
      <c r="AJ715" s="4" t="str">
        <f t="shared" si="290"/>
        <v/>
      </c>
      <c r="AK715" s="4" t="str">
        <f t="shared" si="291"/>
        <v/>
      </c>
      <c r="AL715" s="2" t="str">
        <f t="shared" si="292"/>
        <v/>
      </c>
      <c r="AM715" s="6" t="str">
        <f t="shared" si="293"/>
        <v/>
      </c>
      <c r="AN715" s="4" t="str">
        <f t="shared" si="294"/>
        <v/>
      </c>
      <c r="AO715" s="4" t="str">
        <f t="shared" si="295"/>
        <v/>
      </c>
      <c r="AP715" s="4" t="str">
        <f t="shared" si="296"/>
        <v/>
      </c>
      <c r="AQ715" s="4" t="str">
        <f t="shared" si="297"/>
        <v/>
      </c>
      <c r="AR715" s="4" t="str">
        <f t="shared" si="298"/>
        <v/>
      </c>
    </row>
    <row r="716" spans="8:44" s="1" customFormat="1" ht="14.25" x14ac:dyDescent="0.3">
      <c r="H716" s="50"/>
      <c r="J716" s="54"/>
      <c r="L716" s="54"/>
      <c r="R716" s="45"/>
      <c r="S716" s="54"/>
      <c r="T716" s="54"/>
      <c r="U716" s="54"/>
      <c r="V716" s="44"/>
      <c r="W716" s="27"/>
      <c r="Z716" s="27"/>
      <c r="AA716" s="8"/>
      <c r="AB716" s="81" t="str">
        <f t="shared" si="282"/>
        <v/>
      </c>
      <c r="AC716" s="6" t="str">
        <f t="shared" si="283"/>
        <v/>
      </c>
      <c r="AD716" s="1" t="str">
        <f t="shared" ca="1" si="284"/>
        <v/>
      </c>
      <c r="AE716" s="75" t="str">
        <f t="shared" si="285"/>
        <v/>
      </c>
      <c r="AF716" s="75" t="str">
        <f t="shared" si="286"/>
        <v/>
      </c>
      <c r="AG716" s="4" t="str">
        <f t="shared" si="287"/>
        <v/>
      </c>
      <c r="AH716" s="4" t="str">
        <f t="shared" si="288"/>
        <v/>
      </c>
      <c r="AI716" s="4" t="str">
        <f t="shared" si="289"/>
        <v/>
      </c>
      <c r="AJ716" s="4" t="str">
        <f t="shared" si="290"/>
        <v/>
      </c>
      <c r="AK716" s="4" t="str">
        <f t="shared" si="291"/>
        <v/>
      </c>
      <c r="AL716" s="2" t="str">
        <f t="shared" si="292"/>
        <v/>
      </c>
      <c r="AM716" s="6" t="str">
        <f t="shared" si="293"/>
        <v/>
      </c>
      <c r="AN716" s="4" t="str">
        <f t="shared" si="294"/>
        <v/>
      </c>
      <c r="AO716" s="4" t="str">
        <f t="shared" si="295"/>
        <v/>
      </c>
      <c r="AP716" s="4" t="str">
        <f t="shared" si="296"/>
        <v/>
      </c>
      <c r="AQ716" s="4" t="str">
        <f t="shared" si="297"/>
        <v/>
      </c>
      <c r="AR716" s="4" t="str">
        <f t="shared" si="298"/>
        <v/>
      </c>
    </row>
    <row r="717" spans="8:44" s="1" customFormat="1" ht="14.25" x14ac:dyDescent="0.3">
      <c r="H717" s="50"/>
      <c r="J717" s="54"/>
      <c r="L717" s="54"/>
      <c r="R717" s="45"/>
      <c r="S717" s="54"/>
      <c r="T717" s="54"/>
      <c r="U717" s="54"/>
      <c r="V717" s="44"/>
      <c r="W717" s="27"/>
      <c r="Z717" s="27"/>
      <c r="AA717" s="8"/>
      <c r="AB717" s="81" t="str">
        <f t="shared" si="282"/>
        <v/>
      </c>
      <c r="AC717" s="6" t="str">
        <f t="shared" si="283"/>
        <v/>
      </c>
      <c r="AD717" s="1" t="str">
        <f t="shared" ca="1" si="284"/>
        <v/>
      </c>
      <c r="AE717" s="75" t="str">
        <f t="shared" si="285"/>
        <v/>
      </c>
      <c r="AF717" s="75" t="str">
        <f t="shared" si="286"/>
        <v/>
      </c>
      <c r="AG717" s="4" t="str">
        <f t="shared" si="287"/>
        <v/>
      </c>
      <c r="AH717" s="4" t="str">
        <f t="shared" si="288"/>
        <v/>
      </c>
      <c r="AI717" s="4" t="str">
        <f t="shared" si="289"/>
        <v/>
      </c>
      <c r="AJ717" s="4" t="str">
        <f t="shared" si="290"/>
        <v/>
      </c>
      <c r="AK717" s="4" t="str">
        <f t="shared" si="291"/>
        <v/>
      </c>
      <c r="AL717" s="2" t="str">
        <f t="shared" si="292"/>
        <v/>
      </c>
      <c r="AM717" s="6" t="str">
        <f t="shared" si="293"/>
        <v/>
      </c>
      <c r="AN717" s="4" t="str">
        <f t="shared" si="294"/>
        <v/>
      </c>
      <c r="AO717" s="4" t="str">
        <f t="shared" si="295"/>
        <v/>
      </c>
      <c r="AP717" s="4" t="str">
        <f t="shared" si="296"/>
        <v/>
      </c>
      <c r="AQ717" s="4" t="str">
        <f t="shared" si="297"/>
        <v/>
      </c>
      <c r="AR717" s="4" t="str">
        <f t="shared" si="298"/>
        <v/>
      </c>
    </row>
    <row r="718" spans="8:44" s="1" customFormat="1" ht="14.25" x14ac:dyDescent="0.3">
      <c r="H718" s="50"/>
      <c r="J718" s="54"/>
      <c r="L718" s="54"/>
      <c r="R718" s="45"/>
      <c r="S718" s="54"/>
      <c r="T718" s="54"/>
      <c r="U718" s="54"/>
      <c r="V718" s="44"/>
      <c r="W718" s="27"/>
      <c r="Z718" s="27"/>
      <c r="AA718" s="8"/>
      <c r="AB718" s="81" t="str">
        <f t="shared" si="282"/>
        <v/>
      </c>
      <c r="AC718" s="6" t="str">
        <f t="shared" si="283"/>
        <v/>
      </c>
      <c r="AD718" s="1" t="str">
        <f t="shared" ca="1" si="284"/>
        <v/>
      </c>
      <c r="AE718" s="75" t="str">
        <f t="shared" si="285"/>
        <v/>
      </c>
      <c r="AF718" s="75" t="str">
        <f t="shared" si="286"/>
        <v/>
      </c>
      <c r="AG718" s="4" t="str">
        <f t="shared" si="287"/>
        <v/>
      </c>
      <c r="AH718" s="4" t="str">
        <f t="shared" si="288"/>
        <v/>
      </c>
      <c r="AI718" s="4" t="str">
        <f t="shared" si="289"/>
        <v/>
      </c>
      <c r="AJ718" s="4" t="str">
        <f t="shared" si="290"/>
        <v/>
      </c>
      <c r="AK718" s="4" t="str">
        <f t="shared" si="291"/>
        <v/>
      </c>
      <c r="AL718" s="2" t="str">
        <f t="shared" si="292"/>
        <v/>
      </c>
      <c r="AM718" s="6" t="str">
        <f t="shared" si="293"/>
        <v/>
      </c>
      <c r="AN718" s="4" t="str">
        <f t="shared" si="294"/>
        <v/>
      </c>
      <c r="AO718" s="4" t="str">
        <f t="shared" si="295"/>
        <v/>
      </c>
      <c r="AP718" s="4" t="str">
        <f t="shared" si="296"/>
        <v/>
      </c>
      <c r="AQ718" s="4" t="str">
        <f t="shared" si="297"/>
        <v/>
      </c>
      <c r="AR718" s="4" t="str">
        <f t="shared" si="298"/>
        <v/>
      </c>
    </row>
    <row r="719" spans="8:44" s="1" customFormat="1" ht="14.25" x14ac:dyDescent="0.3">
      <c r="H719" s="50"/>
      <c r="J719" s="54"/>
      <c r="L719" s="54"/>
      <c r="R719" s="45"/>
      <c r="S719" s="54"/>
      <c r="T719" s="54"/>
      <c r="U719" s="54"/>
      <c r="V719" s="44"/>
      <c r="W719" s="27"/>
      <c r="Z719" s="27"/>
      <c r="AA719" s="8"/>
      <c r="AB719" s="81" t="str">
        <f t="shared" si="282"/>
        <v/>
      </c>
      <c r="AC719" s="6" t="str">
        <f t="shared" si="283"/>
        <v/>
      </c>
      <c r="AD719" s="1" t="str">
        <f t="shared" ca="1" si="284"/>
        <v/>
      </c>
      <c r="AE719" s="75" t="str">
        <f t="shared" si="285"/>
        <v/>
      </c>
      <c r="AF719" s="75" t="str">
        <f t="shared" si="286"/>
        <v/>
      </c>
      <c r="AG719" s="4" t="str">
        <f t="shared" si="287"/>
        <v/>
      </c>
      <c r="AH719" s="4" t="str">
        <f t="shared" si="288"/>
        <v/>
      </c>
      <c r="AI719" s="4" t="str">
        <f t="shared" si="289"/>
        <v/>
      </c>
      <c r="AJ719" s="4" t="str">
        <f t="shared" si="290"/>
        <v/>
      </c>
      <c r="AK719" s="4" t="str">
        <f t="shared" si="291"/>
        <v/>
      </c>
      <c r="AL719" s="2" t="str">
        <f t="shared" si="292"/>
        <v/>
      </c>
      <c r="AM719" s="6" t="str">
        <f t="shared" si="293"/>
        <v/>
      </c>
      <c r="AN719" s="4" t="str">
        <f t="shared" si="294"/>
        <v/>
      </c>
      <c r="AO719" s="4" t="str">
        <f t="shared" si="295"/>
        <v/>
      </c>
      <c r="AP719" s="4" t="str">
        <f t="shared" si="296"/>
        <v/>
      </c>
      <c r="AQ719" s="4" t="str">
        <f t="shared" si="297"/>
        <v/>
      </c>
      <c r="AR719" s="4" t="str">
        <f t="shared" si="298"/>
        <v/>
      </c>
    </row>
    <row r="720" spans="8:44" s="1" customFormat="1" ht="14.25" x14ac:dyDescent="0.3">
      <c r="H720" s="50"/>
      <c r="J720" s="54"/>
      <c r="L720" s="54"/>
      <c r="R720" s="45"/>
      <c r="S720" s="54"/>
      <c r="T720" s="54"/>
      <c r="U720" s="54"/>
      <c r="V720" s="44"/>
      <c r="W720" s="27"/>
      <c r="Z720" s="27"/>
      <c r="AA720" s="8"/>
      <c r="AB720" s="81" t="str">
        <f t="shared" si="282"/>
        <v/>
      </c>
      <c r="AC720" s="6" t="str">
        <f t="shared" si="283"/>
        <v/>
      </c>
      <c r="AD720" s="1" t="str">
        <f t="shared" ca="1" si="284"/>
        <v/>
      </c>
      <c r="AE720" s="75" t="str">
        <f t="shared" si="285"/>
        <v/>
      </c>
      <c r="AF720" s="75" t="str">
        <f t="shared" si="286"/>
        <v/>
      </c>
      <c r="AG720" s="4" t="str">
        <f t="shared" si="287"/>
        <v/>
      </c>
      <c r="AH720" s="4" t="str">
        <f t="shared" si="288"/>
        <v/>
      </c>
      <c r="AI720" s="4" t="str">
        <f t="shared" si="289"/>
        <v/>
      </c>
      <c r="AJ720" s="4" t="str">
        <f t="shared" si="290"/>
        <v/>
      </c>
      <c r="AK720" s="4" t="str">
        <f t="shared" si="291"/>
        <v/>
      </c>
      <c r="AL720" s="2" t="str">
        <f t="shared" si="292"/>
        <v/>
      </c>
      <c r="AM720" s="6" t="str">
        <f t="shared" si="293"/>
        <v/>
      </c>
      <c r="AN720" s="4" t="str">
        <f t="shared" si="294"/>
        <v/>
      </c>
      <c r="AO720" s="4" t="str">
        <f t="shared" si="295"/>
        <v/>
      </c>
      <c r="AP720" s="4" t="str">
        <f t="shared" si="296"/>
        <v/>
      </c>
      <c r="AQ720" s="4" t="str">
        <f t="shared" si="297"/>
        <v/>
      </c>
      <c r="AR720" s="4" t="str">
        <f t="shared" si="298"/>
        <v/>
      </c>
    </row>
    <row r="721" spans="8:44" s="1" customFormat="1" ht="14.25" x14ac:dyDescent="0.3">
      <c r="H721" s="50"/>
      <c r="J721" s="54"/>
      <c r="L721" s="54"/>
      <c r="R721" s="45"/>
      <c r="S721" s="54"/>
      <c r="T721" s="54"/>
      <c r="U721" s="54"/>
      <c r="V721" s="44"/>
      <c r="W721" s="27"/>
      <c r="Z721" s="27"/>
      <c r="AA721" s="8"/>
      <c r="AB721" s="81" t="str">
        <f t="shared" si="282"/>
        <v/>
      </c>
      <c r="AC721" s="6" t="str">
        <f t="shared" si="283"/>
        <v/>
      </c>
      <c r="AD721" s="1" t="str">
        <f t="shared" ca="1" si="284"/>
        <v/>
      </c>
      <c r="AE721" s="75" t="str">
        <f t="shared" si="285"/>
        <v/>
      </c>
      <c r="AF721" s="75" t="str">
        <f t="shared" si="286"/>
        <v/>
      </c>
      <c r="AG721" s="4" t="str">
        <f t="shared" si="287"/>
        <v/>
      </c>
      <c r="AH721" s="4" t="str">
        <f t="shared" si="288"/>
        <v/>
      </c>
      <c r="AI721" s="4" t="str">
        <f t="shared" si="289"/>
        <v/>
      </c>
      <c r="AJ721" s="4" t="str">
        <f t="shared" si="290"/>
        <v/>
      </c>
      <c r="AK721" s="4" t="str">
        <f t="shared" si="291"/>
        <v/>
      </c>
      <c r="AL721" s="2" t="str">
        <f t="shared" si="292"/>
        <v/>
      </c>
      <c r="AM721" s="6" t="str">
        <f t="shared" si="293"/>
        <v/>
      </c>
      <c r="AN721" s="4" t="str">
        <f t="shared" si="294"/>
        <v/>
      </c>
      <c r="AO721" s="4" t="str">
        <f t="shared" si="295"/>
        <v/>
      </c>
      <c r="AP721" s="4" t="str">
        <f t="shared" si="296"/>
        <v/>
      </c>
      <c r="AQ721" s="4" t="str">
        <f t="shared" si="297"/>
        <v/>
      </c>
      <c r="AR721" s="4" t="str">
        <f t="shared" si="298"/>
        <v/>
      </c>
    </row>
    <row r="722" spans="8:44" s="1" customFormat="1" ht="14.25" x14ac:dyDescent="0.3">
      <c r="H722" s="50"/>
      <c r="J722" s="54"/>
      <c r="L722" s="54"/>
      <c r="R722" s="45"/>
      <c r="S722" s="54"/>
      <c r="T722" s="54"/>
      <c r="U722" s="54"/>
      <c r="V722" s="44"/>
      <c r="W722" s="27"/>
      <c r="Z722" s="27"/>
      <c r="AA722" s="8"/>
      <c r="AB722" s="81" t="str">
        <f t="shared" si="282"/>
        <v/>
      </c>
      <c r="AC722" s="6" t="str">
        <f t="shared" si="283"/>
        <v/>
      </c>
      <c r="AD722" s="1" t="str">
        <f t="shared" ca="1" si="284"/>
        <v/>
      </c>
      <c r="AE722" s="75" t="str">
        <f t="shared" si="285"/>
        <v/>
      </c>
      <c r="AF722" s="75" t="str">
        <f t="shared" si="286"/>
        <v/>
      </c>
      <c r="AG722" s="4" t="str">
        <f t="shared" si="287"/>
        <v/>
      </c>
      <c r="AH722" s="4" t="str">
        <f t="shared" si="288"/>
        <v/>
      </c>
      <c r="AI722" s="4" t="str">
        <f t="shared" si="289"/>
        <v/>
      </c>
      <c r="AJ722" s="4" t="str">
        <f t="shared" si="290"/>
        <v/>
      </c>
      <c r="AK722" s="4" t="str">
        <f t="shared" si="291"/>
        <v/>
      </c>
      <c r="AL722" s="2" t="str">
        <f t="shared" si="292"/>
        <v/>
      </c>
      <c r="AM722" s="6" t="str">
        <f t="shared" si="293"/>
        <v/>
      </c>
      <c r="AN722" s="4" t="str">
        <f t="shared" si="294"/>
        <v/>
      </c>
      <c r="AO722" s="4" t="str">
        <f t="shared" si="295"/>
        <v/>
      </c>
      <c r="AP722" s="4" t="str">
        <f t="shared" si="296"/>
        <v/>
      </c>
      <c r="AQ722" s="4" t="str">
        <f t="shared" si="297"/>
        <v/>
      </c>
      <c r="AR722" s="4" t="str">
        <f t="shared" si="298"/>
        <v/>
      </c>
    </row>
    <row r="723" spans="8:44" s="1" customFormat="1" ht="14.25" x14ac:dyDescent="0.3">
      <c r="H723" s="50"/>
      <c r="J723" s="54"/>
      <c r="L723" s="54"/>
      <c r="R723" s="45"/>
      <c r="S723" s="54"/>
      <c r="T723" s="54"/>
      <c r="U723" s="54"/>
      <c r="V723" s="44"/>
      <c r="W723" s="27"/>
      <c r="Z723" s="27"/>
      <c r="AA723" s="8"/>
      <c r="AB723" s="81" t="str">
        <f t="shared" si="282"/>
        <v/>
      </c>
      <c r="AC723" s="6" t="str">
        <f t="shared" si="283"/>
        <v/>
      </c>
      <c r="AD723" s="1" t="str">
        <f t="shared" ca="1" si="284"/>
        <v/>
      </c>
      <c r="AE723" s="75" t="str">
        <f t="shared" si="285"/>
        <v/>
      </c>
      <c r="AF723" s="75" t="str">
        <f t="shared" si="286"/>
        <v/>
      </c>
      <c r="AG723" s="4" t="str">
        <f t="shared" si="287"/>
        <v/>
      </c>
      <c r="AH723" s="4" t="str">
        <f t="shared" si="288"/>
        <v/>
      </c>
      <c r="AI723" s="4" t="str">
        <f t="shared" si="289"/>
        <v/>
      </c>
      <c r="AJ723" s="4" t="str">
        <f t="shared" si="290"/>
        <v/>
      </c>
      <c r="AK723" s="4" t="str">
        <f t="shared" si="291"/>
        <v/>
      </c>
      <c r="AL723" s="2" t="str">
        <f t="shared" si="292"/>
        <v/>
      </c>
      <c r="AM723" s="6" t="str">
        <f t="shared" si="293"/>
        <v/>
      </c>
      <c r="AN723" s="4" t="str">
        <f t="shared" si="294"/>
        <v/>
      </c>
      <c r="AO723" s="4" t="str">
        <f t="shared" si="295"/>
        <v/>
      </c>
      <c r="AP723" s="4" t="str">
        <f t="shared" si="296"/>
        <v/>
      </c>
      <c r="AQ723" s="4" t="str">
        <f t="shared" si="297"/>
        <v/>
      </c>
      <c r="AR723" s="4" t="str">
        <f t="shared" si="298"/>
        <v/>
      </c>
    </row>
    <row r="724" spans="8:44" s="1" customFormat="1" ht="14.25" x14ac:dyDescent="0.3">
      <c r="H724" s="50"/>
      <c r="J724" s="54"/>
      <c r="L724" s="54"/>
      <c r="R724" s="45"/>
      <c r="S724" s="54"/>
      <c r="T724" s="54"/>
      <c r="U724" s="54"/>
      <c r="V724" s="44"/>
      <c r="W724" s="27"/>
      <c r="Z724" s="27"/>
      <c r="AA724" s="8"/>
      <c r="AB724" s="81" t="str">
        <f t="shared" si="282"/>
        <v/>
      </c>
      <c r="AC724" s="6" t="str">
        <f t="shared" si="283"/>
        <v/>
      </c>
      <c r="AD724" s="1" t="str">
        <f t="shared" ca="1" si="284"/>
        <v/>
      </c>
      <c r="AE724" s="75" t="str">
        <f t="shared" si="285"/>
        <v/>
      </c>
      <c r="AF724" s="75" t="str">
        <f t="shared" si="286"/>
        <v/>
      </c>
      <c r="AG724" s="4" t="str">
        <f t="shared" si="287"/>
        <v/>
      </c>
      <c r="AH724" s="4" t="str">
        <f t="shared" si="288"/>
        <v/>
      </c>
      <c r="AI724" s="4" t="str">
        <f t="shared" si="289"/>
        <v/>
      </c>
      <c r="AJ724" s="4" t="str">
        <f t="shared" si="290"/>
        <v/>
      </c>
      <c r="AK724" s="4" t="str">
        <f t="shared" si="291"/>
        <v/>
      </c>
      <c r="AL724" s="2" t="str">
        <f t="shared" si="292"/>
        <v/>
      </c>
      <c r="AM724" s="6" t="str">
        <f t="shared" si="293"/>
        <v/>
      </c>
      <c r="AN724" s="4" t="str">
        <f t="shared" si="294"/>
        <v/>
      </c>
      <c r="AO724" s="4" t="str">
        <f t="shared" si="295"/>
        <v/>
      </c>
      <c r="AP724" s="4" t="str">
        <f t="shared" si="296"/>
        <v/>
      </c>
      <c r="AQ724" s="4" t="str">
        <f t="shared" si="297"/>
        <v/>
      </c>
      <c r="AR724" s="4" t="str">
        <f t="shared" si="298"/>
        <v/>
      </c>
    </row>
    <row r="725" spans="8:44" s="1" customFormat="1" ht="14.25" x14ac:dyDescent="0.3">
      <c r="H725" s="50"/>
      <c r="J725" s="54"/>
      <c r="L725" s="54"/>
      <c r="R725" s="45"/>
      <c r="S725" s="54"/>
      <c r="T725" s="54"/>
      <c r="U725" s="54"/>
      <c r="V725" s="44"/>
      <c r="W725" s="27"/>
      <c r="Z725" s="27"/>
      <c r="AA725" s="8"/>
      <c r="AB725" s="81" t="str">
        <f t="shared" si="282"/>
        <v/>
      </c>
      <c r="AC725" s="6" t="str">
        <f t="shared" si="283"/>
        <v/>
      </c>
      <c r="AD725" s="1" t="str">
        <f t="shared" ca="1" si="284"/>
        <v/>
      </c>
      <c r="AE725" s="75" t="str">
        <f t="shared" si="285"/>
        <v/>
      </c>
      <c r="AF725" s="75" t="str">
        <f t="shared" si="286"/>
        <v/>
      </c>
      <c r="AG725" s="4" t="str">
        <f t="shared" si="287"/>
        <v/>
      </c>
      <c r="AH725" s="4" t="str">
        <f t="shared" si="288"/>
        <v/>
      </c>
      <c r="AI725" s="4" t="str">
        <f t="shared" si="289"/>
        <v/>
      </c>
      <c r="AJ725" s="4" t="str">
        <f t="shared" si="290"/>
        <v/>
      </c>
      <c r="AK725" s="4" t="str">
        <f t="shared" si="291"/>
        <v/>
      </c>
      <c r="AL725" s="2" t="str">
        <f t="shared" si="292"/>
        <v/>
      </c>
      <c r="AM725" s="6" t="str">
        <f t="shared" si="293"/>
        <v/>
      </c>
      <c r="AN725" s="4" t="str">
        <f t="shared" si="294"/>
        <v/>
      </c>
      <c r="AO725" s="4" t="str">
        <f t="shared" si="295"/>
        <v/>
      </c>
      <c r="AP725" s="4" t="str">
        <f t="shared" si="296"/>
        <v/>
      </c>
      <c r="AQ725" s="4" t="str">
        <f t="shared" si="297"/>
        <v/>
      </c>
      <c r="AR725" s="4" t="str">
        <f t="shared" si="298"/>
        <v/>
      </c>
    </row>
    <row r="726" spans="8:44" s="1" customFormat="1" ht="14.25" x14ac:dyDescent="0.3">
      <c r="H726" s="50"/>
      <c r="J726" s="54"/>
      <c r="L726" s="54"/>
      <c r="R726" s="45"/>
      <c r="S726" s="54"/>
      <c r="T726" s="54"/>
      <c r="U726" s="54"/>
      <c r="V726" s="44"/>
      <c r="W726" s="27"/>
      <c r="Z726" s="27"/>
      <c r="AA726" s="8"/>
      <c r="AB726" s="81" t="str">
        <f t="shared" si="282"/>
        <v/>
      </c>
      <c r="AC726" s="6" t="str">
        <f t="shared" si="283"/>
        <v/>
      </c>
      <c r="AD726" s="1" t="str">
        <f t="shared" ca="1" si="284"/>
        <v/>
      </c>
      <c r="AE726" s="75" t="str">
        <f t="shared" si="285"/>
        <v/>
      </c>
      <c r="AF726" s="75" t="str">
        <f t="shared" si="286"/>
        <v/>
      </c>
      <c r="AG726" s="4" t="str">
        <f t="shared" si="287"/>
        <v/>
      </c>
      <c r="AH726" s="4" t="str">
        <f t="shared" si="288"/>
        <v/>
      </c>
      <c r="AI726" s="4" t="str">
        <f t="shared" si="289"/>
        <v/>
      </c>
      <c r="AJ726" s="4" t="str">
        <f t="shared" si="290"/>
        <v/>
      </c>
      <c r="AK726" s="4" t="str">
        <f t="shared" si="291"/>
        <v/>
      </c>
      <c r="AL726" s="2" t="str">
        <f t="shared" si="292"/>
        <v/>
      </c>
      <c r="AM726" s="6" t="str">
        <f t="shared" si="293"/>
        <v/>
      </c>
      <c r="AN726" s="4" t="str">
        <f t="shared" si="294"/>
        <v/>
      </c>
      <c r="AO726" s="4" t="str">
        <f t="shared" si="295"/>
        <v/>
      </c>
      <c r="AP726" s="4" t="str">
        <f t="shared" si="296"/>
        <v/>
      </c>
      <c r="AQ726" s="4" t="str">
        <f t="shared" si="297"/>
        <v/>
      </c>
      <c r="AR726" s="4" t="str">
        <f t="shared" si="298"/>
        <v/>
      </c>
    </row>
    <row r="727" spans="8:44" s="1" customFormat="1" ht="14.25" x14ac:dyDescent="0.3">
      <c r="H727" s="50"/>
      <c r="J727" s="54"/>
      <c r="L727" s="54"/>
      <c r="R727" s="45"/>
      <c r="S727" s="54"/>
      <c r="T727" s="54"/>
      <c r="U727" s="54"/>
      <c r="V727" s="44"/>
      <c r="W727" s="27"/>
      <c r="Z727" s="27"/>
      <c r="AA727" s="8"/>
      <c r="AB727" s="81" t="str">
        <f t="shared" si="282"/>
        <v/>
      </c>
      <c r="AC727" s="6" t="str">
        <f t="shared" si="283"/>
        <v/>
      </c>
      <c r="AD727" s="1" t="str">
        <f t="shared" ca="1" si="284"/>
        <v/>
      </c>
      <c r="AE727" s="75" t="str">
        <f t="shared" si="285"/>
        <v/>
      </c>
      <c r="AF727" s="75" t="str">
        <f t="shared" si="286"/>
        <v/>
      </c>
      <c r="AG727" s="4" t="str">
        <f t="shared" si="287"/>
        <v/>
      </c>
      <c r="AH727" s="4" t="str">
        <f t="shared" si="288"/>
        <v/>
      </c>
      <c r="AI727" s="4" t="str">
        <f t="shared" si="289"/>
        <v/>
      </c>
      <c r="AJ727" s="4" t="str">
        <f t="shared" si="290"/>
        <v/>
      </c>
      <c r="AK727" s="4" t="str">
        <f t="shared" si="291"/>
        <v/>
      </c>
      <c r="AL727" s="2" t="str">
        <f t="shared" si="292"/>
        <v/>
      </c>
      <c r="AM727" s="6" t="str">
        <f t="shared" si="293"/>
        <v/>
      </c>
      <c r="AN727" s="4" t="str">
        <f t="shared" si="294"/>
        <v/>
      </c>
      <c r="AO727" s="4" t="str">
        <f t="shared" si="295"/>
        <v/>
      </c>
      <c r="AP727" s="4" t="str">
        <f t="shared" si="296"/>
        <v/>
      </c>
      <c r="AQ727" s="4" t="str">
        <f t="shared" si="297"/>
        <v/>
      </c>
      <c r="AR727" s="4" t="str">
        <f t="shared" si="298"/>
        <v/>
      </c>
    </row>
    <row r="728" spans="8:44" s="1" customFormat="1" ht="14.25" x14ac:dyDescent="0.3">
      <c r="H728" s="50"/>
      <c r="J728" s="54"/>
      <c r="L728" s="54"/>
      <c r="R728" s="45"/>
      <c r="S728" s="54"/>
      <c r="T728" s="54"/>
      <c r="U728" s="54"/>
      <c r="V728" s="44"/>
      <c r="W728" s="27"/>
      <c r="Z728" s="27"/>
      <c r="AA728" s="8"/>
      <c r="AB728" s="81" t="str">
        <f t="shared" si="282"/>
        <v/>
      </c>
      <c r="AC728" s="6" t="str">
        <f t="shared" si="283"/>
        <v/>
      </c>
      <c r="AD728" s="1" t="str">
        <f t="shared" ca="1" si="284"/>
        <v/>
      </c>
      <c r="AE728" s="75" t="str">
        <f t="shared" si="285"/>
        <v/>
      </c>
      <c r="AF728" s="75" t="str">
        <f t="shared" si="286"/>
        <v/>
      </c>
      <c r="AG728" s="4" t="str">
        <f t="shared" si="287"/>
        <v/>
      </c>
      <c r="AH728" s="4" t="str">
        <f t="shared" si="288"/>
        <v/>
      </c>
      <c r="AI728" s="4" t="str">
        <f t="shared" si="289"/>
        <v/>
      </c>
      <c r="AJ728" s="4" t="str">
        <f t="shared" si="290"/>
        <v/>
      </c>
      <c r="AK728" s="4" t="str">
        <f t="shared" si="291"/>
        <v/>
      </c>
      <c r="AL728" s="2" t="str">
        <f t="shared" si="292"/>
        <v/>
      </c>
      <c r="AM728" s="6" t="str">
        <f t="shared" si="293"/>
        <v/>
      </c>
      <c r="AN728" s="4" t="str">
        <f t="shared" si="294"/>
        <v/>
      </c>
      <c r="AO728" s="4" t="str">
        <f t="shared" si="295"/>
        <v/>
      </c>
      <c r="AP728" s="4" t="str">
        <f t="shared" si="296"/>
        <v/>
      </c>
      <c r="AQ728" s="4" t="str">
        <f t="shared" si="297"/>
        <v/>
      </c>
      <c r="AR728" s="4" t="str">
        <f t="shared" si="298"/>
        <v/>
      </c>
    </row>
    <row r="729" spans="8:44" s="1" customFormat="1" ht="14.25" x14ac:dyDescent="0.3">
      <c r="H729" s="50"/>
      <c r="J729" s="54"/>
      <c r="L729" s="54"/>
      <c r="R729" s="45"/>
      <c r="S729" s="54"/>
      <c r="T729" s="54"/>
      <c r="U729" s="54"/>
      <c r="V729" s="44"/>
      <c r="W729" s="27"/>
      <c r="Z729" s="27"/>
      <c r="AA729" s="8"/>
      <c r="AB729" s="81" t="str">
        <f t="shared" si="282"/>
        <v/>
      </c>
      <c r="AC729" s="6" t="str">
        <f t="shared" si="283"/>
        <v/>
      </c>
      <c r="AD729" s="1" t="str">
        <f t="shared" ca="1" si="284"/>
        <v/>
      </c>
      <c r="AE729" s="75" t="str">
        <f t="shared" si="285"/>
        <v/>
      </c>
      <c r="AF729" s="75" t="str">
        <f t="shared" si="286"/>
        <v/>
      </c>
      <c r="AG729" s="4" t="str">
        <f t="shared" si="287"/>
        <v/>
      </c>
      <c r="AH729" s="4" t="str">
        <f t="shared" si="288"/>
        <v/>
      </c>
      <c r="AI729" s="4" t="str">
        <f t="shared" si="289"/>
        <v/>
      </c>
      <c r="AJ729" s="4" t="str">
        <f t="shared" si="290"/>
        <v/>
      </c>
      <c r="AK729" s="4" t="str">
        <f t="shared" si="291"/>
        <v/>
      </c>
      <c r="AL729" s="2" t="str">
        <f t="shared" si="292"/>
        <v/>
      </c>
      <c r="AM729" s="6" t="str">
        <f t="shared" si="293"/>
        <v/>
      </c>
      <c r="AN729" s="4" t="str">
        <f t="shared" si="294"/>
        <v/>
      </c>
      <c r="AO729" s="4" t="str">
        <f t="shared" si="295"/>
        <v/>
      </c>
      <c r="AP729" s="4" t="str">
        <f t="shared" si="296"/>
        <v/>
      </c>
      <c r="AQ729" s="4" t="str">
        <f t="shared" si="297"/>
        <v/>
      </c>
      <c r="AR729" s="4" t="str">
        <f t="shared" si="298"/>
        <v/>
      </c>
    </row>
    <row r="730" spans="8:44" s="1" customFormat="1" ht="14.25" x14ac:dyDescent="0.3">
      <c r="H730" s="50"/>
      <c r="J730" s="54"/>
      <c r="L730" s="54"/>
      <c r="R730" s="45"/>
      <c r="S730" s="54"/>
      <c r="T730" s="54"/>
      <c r="U730" s="54"/>
      <c r="V730" s="44"/>
      <c r="W730" s="27"/>
      <c r="Z730" s="27"/>
      <c r="AA730" s="8"/>
      <c r="AB730" s="81" t="str">
        <f t="shared" si="282"/>
        <v/>
      </c>
      <c r="AC730" s="6" t="str">
        <f t="shared" si="283"/>
        <v/>
      </c>
      <c r="AD730" s="1" t="str">
        <f t="shared" ca="1" si="284"/>
        <v/>
      </c>
      <c r="AE730" s="75" t="str">
        <f t="shared" si="285"/>
        <v/>
      </c>
      <c r="AF730" s="75" t="str">
        <f t="shared" si="286"/>
        <v/>
      </c>
      <c r="AG730" s="4" t="str">
        <f t="shared" si="287"/>
        <v/>
      </c>
      <c r="AH730" s="4" t="str">
        <f t="shared" si="288"/>
        <v/>
      </c>
      <c r="AI730" s="4" t="str">
        <f t="shared" si="289"/>
        <v/>
      </c>
      <c r="AJ730" s="4" t="str">
        <f t="shared" si="290"/>
        <v/>
      </c>
      <c r="AK730" s="4" t="str">
        <f t="shared" si="291"/>
        <v/>
      </c>
      <c r="AL730" s="2" t="str">
        <f t="shared" si="292"/>
        <v/>
      </c>
      <c r="AM730" s="6" t="str">
        <f t="shared" si="293"/>
        <v/>
      </c>
      <c r="AN730" s="4" t="str">
        <f t="shared" si="294"/>
        <v/>
      </c>
      <c r="AO730" s="4" t="str">
        <f t="shared" si="295"/>
        <v/>
      </c>
      <c r="AP730" s="4" t="str">
        <f t="shared" si="296"/>
        <v/>
      </c>
      <c r="AQ730" s="4" t="str">
        <f t="shared" si="297"/>
        <v/>
      </c>
      <c r="AR730" s="4" t="str">
        <f t="shared" si="298"/>
        <v/>
      </c>
    </row>
    <row r="731" spans="8:44" s="1" customFormat="1" ht="14.25" x14ac:dyDescent="0.3">
      <c r="H731" s="50"/>
      <c r="J731" s="54"/>
      <c r="L731" s="54"/>
      <c r="R731" s="45"/>
      <c r="S731" s="54"/>
      <c r="T731" s="54"/>
      <c r="U731" s="54"/>
      <c r="V731" s="44"/>
      <c r="W731" s="27"/>
      <c r="Z731" s="27"/>
      <c r="AA731" s="8"/>
      <c r="AB731" s="81" t="str">
        <f t="shared" si="282"/>
        <v/>
      </c>
      <c r="AC731" s="6" t="str">
        <f t="shared" si="283"/>
        <v/>
      </c>
      <c r="AD731" s="1" t="str">
        <f t="shared" ca="1" si="284"/>
        <v/>
      </c>
      <c r="AE731" s="75" t="str">
        <f t="shared" si="285"/>
        <v/>
      </c>
      <c r="AF731" s="75" t="str">
        <f t="shared" si="286"/>
        <v/>
      </c>
      <c r="AG731" s="4" t="str">
        <f t="shared" si="287"/>
        <v/>
      </c>
      <c r="AH731" s="4" t="str">
        <f t="shared" si="288"/>
        <v/>
      </c>
      <c r="AI731" s="4" t="str">
        <f t="shared" si="289"/>
        <v/>
      </c>
      <c r="AJ731" s="4" t="str">
        <f t="shared" si="290"/>
        <v/>
      </c>
      <c r="AK731" s="4" t="str">
        <f t="shared" si="291"/>
        <v/>
      </c>
      <c r="AL731" s="2" t="str">
        <f t="shared" si="292"/>
        <v/>
      </c>
      <c r="AM731" s="6" t="str">
        <f t="shared" si="293"/>
        <v/>
      </c>
      <c r="AN731" s="4" t="str">
        <f t="shared" si="294"/>
        <v/>
      </c>
      <c r="AO731" s="4" t="str">
        <f t="shared" si="295"/>
        <v/>
      </c>
      <c r="AP731" s="4" t="str">
        <f t="shared" si="296"/>
        <v/>
      </c>
      <c r="AQ731" s="4" t="str">
        <f t="shared" si="297"/>
        <v/>
      </c>
      <c r="AR731" s="4" t="str">
        <f t="shared" si="298"/>
        <v/>
      </c>
    </row>
    <row r="732" spans="8:44" s="1" customFormat="1" ht="14.25" x14ac:dyDescent="0.3">
      <c r="H732" s="50"/>
      <c r="J732" s="54"/>
      <c r="L732" s="54"/>
      <c r="R732" s="45"/>
      <c r="S732" s="54"/>
      <c r="T732" s="54"/>
      <c r="U732" s="54"/>
      <c r="V732" s="44"/>
      <c r="W732" s="27"/>
      <c r="Z732" s="27"/>
      <c r="AA732" s="8"/>
      <c r="AB732" s="81" t="str">
        <f t="shared" si="282"/>
        <v/>
      </c>
      <c r="AC732" s="6" t="str">
        <f t="shared" si="283"/>
        <v/>
      </c>
      <c r="AD732" s="1" t="str">
        <f t="shared" ca="1" si="284"/>
        <v/>
      </c>
      <c r="AE732" s="75" t="str">
        <f t="shared" si="285"/>
        <v/>
      </c>
      <c r="AF732" s="75" t="str">
        <f t="shared" si="286"/>
        <v/>
      </c>
      <c r="AG732" s="4" t="str">
        <f t="shared" si="287"/>
        <v/>
      </c>
      <c r="AH732" s="4" t="str">
        <f t="shared" si="288"/>
        <v/>
      </c>
      <c r="AI732" s="4" t="str">
        <f t="shared" si="289"/>
        <v/>
      </c>
      <c r="AJ732" s="4" t="str">
        <f t="shared" si="290"/>
        <v/>
      </c>
      <c r="AK732" s="4" t="str">
        <f t="shared" si="291"/>
        <v/>
      </c>
      <c r="AL732" s="2" t="str">
        <f t="shared" si="292"/>
        <v/>
      </c>
      <c r="AM732" s="6" t="str">
        <f t="shared" si="293"/>
        <v/>
      </c>
      <c r="AN732" s="4" t="str">
        <f t="shared" si="294"/>
        <v/>
      </c>
      <c r="AO732" s="4" t="str">
        <f t="shared" si="295"/>
        <v/>
      </c>
      <c r="AP732" s="4" t="str">
        <f t="shared" si="296"/>
        <v/>
      </c>
      <c r="AQ732" s="4" t="str">
        <f t="shared" si="297"/>
        <v/>
      </c>
      <c r="AR732" s="4" t="str">
        <f t="shared" si="298"/>
        <v/>
      </c>
    </row>
    <row r="733" spans="8:44" s="1" customFormat="1" ht="14.25" x14ac:dyDescent="0.3">
      <c r="H733" s="50"/>
      <c r="J733" s="54"/>
      <c r="L733" s="54"/>
      <c r="R733" s="45"/>
      <c r="S733" s="54"/>
      <c r="T733" s="54"/>
      <c r="U733" s="54"/>
      <c r="V733" s="44"/>
      <c r="W733" s="27"/>
      <c r="Z733" s="27"/>
      <c r="AA733" s="8"/>
      <c r="AB733" s="81" t="str">
        <f t="shared" si="282"/>
        <v/>
      </c>
      <c r="AC733" s="6" t="str">
        <f t="shared" si="283"/>
        <v/>
      </c>
      <c r="AD733" s="1" t="str">
        <f t="shared" ca="1" si="284"/>
        <v/>
      </c>
      <c r="AE733" s="75" t="str">
        <f t="shared" si="285"/>
        <v/>
      </c>
      <c r="AF733" s="75" t="str">
        <f t="shared" si="286"/>
        <v/>
      </c>
      <c r="AG733" s="4" t="str">
        <f t="shared" si="287"/>
        <v/>
      </c>
      <c r="AH733" s="4" t="str">
        <f t="shared" si="288"/>
        <v/>
      </c>
      <c r="AI733" s="4" t="str">
        <f t="shared" si="289"/>
        <v/>
      </c>
      <c r="AJ733" s="4" t="str">
        <f t="shared" si="290"/>
        <v/>
      </c>
      <c r="AK733" s="4" t="str">
        <f t="shared" si="291"/>
        <v/>
      </c>
      <c r="AL733" s="2" t="str">
        <f t="shared" si="292"/>
        <v/>
      </c>
      <c r="AM733" s="6" t="str">
        <f t="shared" si="293"/>
        <v/>
      </c>
      <c r="AN733" s="4" t="str">
        <f t="shared" si="294"/>
        <v/>
      </c>
      <c r="AO733" s="4" t="str">
        <f t="shared" si="295"/>
        <v/>
      </c>
      <c r="AP733" s="4" t="str">
        <f t="shared" si="296"/>
        <v/>
      </c>
      <c r="AQ733" s="4" t="str">
        <f t="shared" si="297"/>
        <v/>
      </c>
      <c r="AR733" s="4" t="str">
        <f t="shared" si="298"/>
        <v/>
      </c>
    </row>
    <row r="734" spans="8:44" s="1" customFormat="1" ht="14.25" x14ac:dyDescent="0.3">
      <c r="H734" s="50"/>
      <c r="J734" s="54"/>
      <c r="L734" s="54"/>
      <c r="R734" s="45"/>
      <c r="S734" s="54"/>
      <c r="T734" s="54"/>
      <c r="U734" s="54"/>
      <c r="V734" s="44"/>
      <c r="W734" s="27"/>
      <c r="Z734" s="27"/>
      <c r="AA734" s="8"/>
      <c r="AB734" s="81" t="str">
        <f t="shared" si="282"/>
        <v/>
      </c>
      <c r="AC734" s="6" t="str">
        <f t="shared" si="283"/>
        <v/>
      </c>
      <c r="AD734" s="1" t="str">
        <f t="shared" ca="1" si="284"/>
        <v/>
      </c>
      <c r="AE734" s="75" t="str">
        <f t="shared" si="285"/>
        <v/>
      </c>
      <c r="AF734" s="75" t="str">
        <f t="shared" si="286"/>
        <v/>
      </c>
      <c r="AG734" s="4" t="str">
        <f t="shared" si="287"/>
        <v/>
      </c>
      <c r="AH734" s="4" t="str">
        <f t="shared" si="288"/>
        <v/>
      </c>
      <c r="AI734" s="4" t="str">
        <f t="shared" si="289"/>
        <v/>
      </c>
      <c r="AJ734" s="4" t="str">
        <f t="shared" si="290"/>
        <v/>
      </c>
      <c r="AK734" s="4" t="str">
        <f t="shared" si="291"/>
        <v/>
      </c>
      <c r="AL734" s="2" t="str">
        <f t="shared" si="292"/>
        <v/>
      </c>
      <c r="AM734" s="6" t="str">
        <f t="shared" si="293"/>
        <v/>
      </c>
      <c r="AN734" s="4" t="str">
        <f t="shared" si="294"/>
        <v/>
      </c>
      <c r="AO734" s="4" t="str">
        <f t="shared" si="295"/>
        <v/>
      </c>
      <c r="AP734" s="4" t="str">
        <f t="shared" si="296"/>
        <v/>
      </c>
      <c r="AQ734" s="4" t="str">
        <f t="shared" si="297"/>
        <v/>
      </c>
      <c r="AR734" s="4" t="str">
        <f t="shared" si="298"/>
        <v/>
      </c>
    </row>
    <row r="735" spans="8:44" s="1" customFormat="1" ht="14.25" x14ac:dyDescent="0.3">
      <c r="H735" s="50"/>
      <c r="J735" s="54"/>
      <c r="L735" s="54"/>
      <c r="R735" s="45"/>
      <c r="S735" s="54"/>
      <c r="T735" s="54"/>
      <c r="U735" s="54"/>
      <c r="V735" s="44"/>
      <c r="W735" s="27"/>
      <c r="Z735" s="27"/>
      <c r="AA735" s="8"/>
      <c r="AB735" s="81" t="str">
        <f t="shared" si="282"/>
        <v/>
      </c>
      <c r="AC735" s="6" t="str">
        <f t="shared" si="283"/>
        <v/>
      </c>
      <c r="AD735" s="1" t="str">
        <f t="shared" ca="1" si="284"/>
        <v/>
      </c>
      <c r="AE735" s="75" t="str">
        <f t="shared" si="285"/>
        <v/>
      </c>
      <c r="AF735" s="75" t="str">
        <f t="shared" si="286"/>
        <v/>
      </c>
      <c r="AG735" s="4" t="str">
        <f t="shared" si="287"/>
        <v/>
      </c>
      <c r="AH735" s="4" t="str">
        <f t="shared" si="288"/>
        <v/>
      </c>
      <c r="AI735" s="4" t="str">
        <f t="shared" si="289"/>
        <v/>
      </c>
      <c r="AJ735" s="4" t="str">
        <f t="shared" si="290"/>
        <v/>
      </c>
      <c r="AK735" s="4" t="str">
        <f t="shared" si="291"/>
        <v/>
      </c>
      <c r="AL735" s="2" t="str">
        <f t="shared" si="292"/>
        <v/>
      </c>
      <c r="AM735" s="6" t="str">
        <f t="shared" si="293"/>
        <v/>
      </c>
      <c r="AN735" s="4" t="str">
        <f t="shared" si="294"/>
        <v/>
      </c>
      <c r="AO735" s="4" t="str">
        <f t="shared" si="295"/>
        <v/>
      </c>
      <c r="AP735" s="4" t="str">
        <f t="shared" si="296"/>
        <v/>
      </c>
      <c r="AQ735" s="4" t="str">
        <f t="shared" si="297"/>
        <v/>
      </c>
      <c r="AR735" s="4" t="str">
        <f t="shared" si="298"/>
        <v/>
      </c>
    </row>
    <row r="736" spans="8:44" s="1" customFormat="1" ht="14.25" x14ac:dyDescent="0.3">
      <c r="H736" s="50"/>
      <c r="J736" s="54"/>
      <c r="L736" s="54"/>
      <c r="R736" s="45"/>
      <c r="S736" s="54"/>
      <c r="T736" s="54"/>
      <c r="U736" s="54"/>
      <c r="V736" s="44"/>
      <c r="W736" s="27"/>
      <c r="Z736" s="27"/>
      <c r="AA736" s="8"/>
      <c r="AB736" s="81" t="str">
        <f t="shared" si="282"/>
        <v/>
      </c>
      <c r="AC736" s="6" t="str">
        <f t="shared" si="283"/>
        <v/>
      </c>
      <c r="AD736" s="1" t="str">
        <f t="shared" ca="1" si="284"/>
        <v/>
      </c>
      <c r="AE736" s="75" t="str">
        <f t="shared" si="285"/>
        <v/>
      </c>
      <c r="AF736" s="75" t="str">
        <f t="shared" si="286"/>
        <v/>
      </c>
      <c r="AG736" s="4" t="str">
        <f t="shared" si="287"/>
        <v/>
      </c>
      <c r="AH736" s="4" t="str">
        <f t="shared" si="288"/>
        <v/>
      </c>
      <c r="AI736" s="4" t="str">
        <f t="shared" si="289"/>
        <v/>
      </c>
      <c r="AJ736" s="4" t="str">
        <f t="shared" si="290"/>
        <v/>
      </c>
      <c r="AK736" s="4" t="str">
        <f t="shared" si="291"/>
        <v/>
      </c>
      <c r="AL736" s="2" t="str">
        <f t="shared" si="292"/>
        <v/>
      </c>
      <c r="AM736" s="6" t="str">
        <f t="shared" si="293"/>
        <v/>
      </c>
      <c r="AN736" s="4" t="str">
        <f t="shared" si="294"/>
        <v/>
      </c>
      <c r="AO736" s="4" t="str">
        <f t="shared" si="295"/>
        <v/>
      </c>
      <c r="AP736" s="4" t="str">
        <f t="shared" si="296"/>
        <v/>
      </c>
      <c r="AQ736" s="4" t="str">
        <f t="shared" si="297"/>
        <v/>
      </c>
      <c r="AR736" s="4" t="str">
        <f t="shared" si="298"/>
        <v/>
      </c>
    </row>
    <row r="737" spans="8:44" s="1" customFormat="1" ht="14.25" x14ac:dyDescent="0.3">
      <c r="H737" s="50"/>
      <c r="J737" s="54"/>
      <c r="L737" s="54"/>
      <c r="R737" s="45"/>
      <c r="S737" s="54"/>
      <c r="T737" s="54"/>
      <c r="U737" s="54"/>
      <c r="V737" s="44"/>
      <c r="W737" s="27"/>
      <c r="Z737" s="27"/>
      <c r="AA737" s="8"/>
      <c r="AB737" s="81" t="str">
        <f t="shared" si="282"/>
        <v/>
      </c>
      <c r="AC737" s="6" t="str">
        <f t="shared" si="283"/>
        <v/>
      </c>
      <c r="AD737" s="1" t="str">
        <f t="shared" ca="1" si="284"/>
        <v/>
      </c>
      <c r="AE737" s="75" t="str">
        <f t="shared" si="285"/>
        <v/>
      </c>
      <c r="AF737" s="75" t="str">
        <f t="shared" si="286"/>
        <v/>
      </c>
      <c r="AG737" s="4" t="str">
        <f t="shared" si="287"/>
        <v/>
      </c>
      <c r="AH737" s="4" t="str">
        <f t="shared" si="288"/>
        <v/>
      </c>
      <c r="AI737" s="4" t="str">
        <f t="shared" si="289"/>
        <v/>
      </c>
      <c r="AJ737" s="4" t="str">
        <f t="shared" si="290"/>
        <v/>
      </c>
      <c r="AK737" s="4" t="str">
        <f t="shared" si="291"/>
        <v/>
      </c>
      <c r="AL737" s="2" t="str">
        <f t="shared" si="292"/>
        <v/>
      </c>
      <c r="AM737" s="6" t="str">
        <f t="shared" si="293"/>
        <v/>
      </c>
      <c r="AN737" s="4" t="str">
        <f t="shared" si="294"/>
        <v/>
      </c>
      <c r="AO737" s="4" t="str">
        <f t="shared" si="295"/>
        <v/>
      </c>
      <c r="AP737" s="4" t="str">
        <f t="shared" si="296"/>
        <v/>
      </c>
      <c r="AQ737" s="4" t="str">
        <f t="shared" si="297"/>
        <v/>
      </c>
      <c r="AR737" s="4" t="str">
        <f t="shared" si="298"/>
        <v/>
      </c>
    </row>
    <row r="738" spans="8:44" s="1" customFormat="1" ht="14.25" x14ac:dyDescent="0.3">
      <c r="H738" s="50"/>
      <c r="J738" s="54"/>
      <c r="L738" s="54"/>
      <c r="R738" s="45"/>
      <c r="S738" s="54"/>
      <c r="T738" s="54"/>
      <c r="U738" s="54"/>
      <c r="V738" s="44"/>
      <c r="W738" s="27"/>
      <c r="Z738" s="27"/>
      <c r="AA738" s="8"/>
      <c r="AB738" s="81" t="str">
        <f t="shared" si="282"/>
        <v/>
      </c>
      <c r="AC738" s="6" t="str">
        <f t="shared" si="283"/>
        <v/>
      </c>
      <c r="AD738" s="1" t="str">
        <f t="shared" ca="1" si="284"/>
        <v/>
      </c>
      <c r="AE738" s="75" t="str">
        <f t="shared" si="285"/>
        <v/>
      </c>
      <c r="AF738" s="75" t="str">
        <f t="shared" si="286"/>
        <v/>
      </c>
      <c r="AG738" s="4" t="str">
        <f t="shared" si="287"/>
        <v/>
      </c>
      <c r="AH738" s="4" t="str">
        <f t="shared" si="288"/>
        <v/>
      </c>
      <c r="AI738" s="4" t="str">
        <f t="shared" si="289"/>
        <v/>
      </c>
      <c r="AJ738" s="4" t="str">
        <f t="shared" si="290"/>
        <v/>
      </c>
      <c r="AK738" s="4" t="str">
        <f t="shared" si="291"/>
        <v/>
      </c>
      <c r="AL738" s="2" t="str">
        <f t="shared" si="292"/>
        <v/>
      </c>
      <c r="AM738" s="6" t="str">
        <f t="shared" si="293"/>
        <v/>
      </c>
      <c r="AN738" s="4" t="str">
        <f t="shared" si="294"/>
        <v/>
      </c>
      <c r="AO738" s="4" t="str">
        <f t="shared" si="295"/>
        <v/>
      </c>
      <c r="AP738" s="4" t="str">
        <f t="shared" si="296"/>
        <v/>
      </c>
      <c r="AQ738" s="4" t="str">
        <f t="shared" si="297"/>
        <v/>
      </c>
      <c r="AR738" s="4" t="str">
        <f t="shared" si="298"/>
        <v/>
      </c>
    </row>
    <row r="739" spans="8:44" s="1" customFormat="1" ht="14.25" x14ac:dyDescent="0.3">
      <c r="H739" s="50"/>
      <c r="J739" s="54"/>
      <c r="L739" s="54"/>
      <c r="R739" s="45"/>
      <c r="S739" s="54"/>
      <c r="T739" s="54"/>
      <c r="U739" s="54"/>
      <c r="V739" s="44"/>
      <c r="W739" s="27"/>
      <c r="Z739" s="27"/>
      <c r="AA739" s="8"/>
      <c r="AB739" s="81" t="str">
        <f t="shared" si="282"/>
        <v/>
      </c>
      <c r="AC739" s="6" t="str">
        <f t="shared" si="283"/>
        <v/>
      </c>
      <c r="AD739" s="1" t="str">
        <f t="shared" ca="1" si="284"/>
        <v/>
      </c>
      <c r="AE739" s="75" t="str">
        <f t="shared" si="285"/>
        <v/>
      </c>
      <c r="AF739" s="75" t="str">
        <f t="shared" si="286"/>
        <v/>
      </c>
      <c r="AG739" s="4" t="str">
        <f t="shared" si="287"/>
        <v/>
      </c>
      <c r="AH739" s="4" t="str">
        <f t="shared" si="288"/>
        <v/>
      </c>
      <c r="AI739" s="4" t="str">
        <f t="shared" si="289"/>
        <v/>
      </c>
      <c r="AJ739" s="4" t="str">
        <f t="shared" si="290"/>
        <v/>
      </c>
      <c r="AK739" s="4" t="str">
        <f t="shared" si="291"/>
        <v/>
      </c>
      <c r="AL739" s="2" t="str">
        <f t="shared" si="292"/>
        <v/>
      </c>
      <c r="AM739" s="6" t="str">
        <f t="shared" si="293"/>
        <v/>
      </c>
      <c r="AN739" s="4" t="str">
        <f t="shared" si="294"/>
        <v/>
      </c>
      <c r="AO739" s="4" t="str">
        <f t="shared" si="295"/>
        <v/>
      </c>
      <c r="AP739" s="4" t="str">
        <f t="shared" si="296"/>
        <v/>
      </c>
      <c r="AQ739" s="4" t="str">
        <f t="shared" si="297"/>
        <v/>
      </c>
      <c r="AR739" s="4" t="str">
        <f t="shared" si="298"/>
        <v/>
      </c>
    </row>
    <row r="740" spans="8:44" s="1" customFormat="1" ht="14.25" x14ac:dyDescent="0.3">
      <c r="H740" s="50"/>
      <c r="J740" s="54"/>
      <c r="L740" s="54"/>
      <c r="R740" s="45"/>
      <c r="S740" s="54"/>
      <c r="T740" s="54"/>
      <c r="U740" s="54"/>
      <c r="V740" s="44"/>
      <c r="W740" s="27"/>
      <c r="Z740" s="27"/>
      <c r="AA740" s="8"/>
      <c r="AB740" s="81" t="str">
        <f t="shared" si="282"/>
        <v/>
      </c>
      <c r="AC740" s="6" t="str">
        <f t="shared" si="283"/>
        <v/>
      </c>
      <c r="AD740" s="1" t="str">
        <f t="shared" ca="1" si="284"/>
        <v/>
      </c>
      <c r="AE740" s="75" t="str">
        <f t="shared" si="285"/>
        <v/>
      </c>
      <c r="AF740" s="75" t="str">
        <f t="shared" si="286"/>
        <v/>
      </c>
      <c r="AG740" s="4" t="str">
        <f t="shared" si="287"/>
        <v/>
      </c>
      <c r="AH740" s="4" t="str">
        <f t="shared" si="288"/>
        <v/>
      </c>
      <c r="AI740" s="4" t="str">
        <f t="shared" si="289"/>
        <v/>
      </c>
      <c r="AJ740" s="4" t="str">
        <f t="shared" si="290"/>
        <v/>
      </c>
      <c r="AK740" s="4" t="str">
        <f t="shared" si="291"/>
        <v/>
      </c>
      <c r="AL740" s="2" t="str">
        <f t="shared" si="292"/>
        <v/>
      </c>
      <c r="AM740" s="6" t="str">
        <f t="shared" si="293"/>
        <v/>
      </c>
      <c r="AN740" s="4" t="str">
        <f t="shared" si="294"/>
        <v/>
      </c>
      <c r="AO740" s="4" t="str">
        <f t="shared" si="295"/>
        <v/>
      </c>
      <c r="AP740" s="4" t="str">
        <f t="shared" si="296"/>
        <v/>
      </c>
      <c r="AQ740" s="4" t="str">
        <f t="shared" si="297"/>
        <v/>
      </c>
      <c r="AR740" s="4" t="str">
        <f t="shared" si="298"/>
        <v/>
      </c>
    </row>
    <row r="741" spans="8:44" s="1" customFormat="1" ht="14.25" x14ac:dyDescent="0.3">
      <c r="H741" s="50"/>
      <c r="J741" s="54"/>
      <c r="L741" s="54"/>
      <c r="R741" s="45"/>
      <c r="S741" s="54"/>
      <c r="T741" s="54"/>
      <c r="U741" s="54"/>
      <c r="V741" s="44"/>
      <c r="W741" s="27"/>
      <c r="Z741" s="27"/>
      <c r="AA741" s="8"/>
      <c r="AB741" s="81" t="str">
        <f t="shared" si="282"/>
        <v/>
      </c>
      <c r="AC741" s="6" t="str">
        <f t="shared" si="283"/>
        <v/>
      </c>
      <c r="AD741" s="1" t="str">
        <f t="shared" ca="1" si="284"/>
        <v/>
      </c>
      <c r="AE741" s="75" t="str">
        <f t="shared" si="285"/>
        <v/>
      </c>
      <c r="AF741" s="75" t="str">
        <f t="shared" si="286"/>
        <v/>
      </c>
      <c r="AG741" s="4" t="str">
        <f t="shared" si="287"/>
        <v/>
      </c>
      <c r="AH741" s="4" t="str">
        <f t="shared" si="288"/>
        <v/>
      </c>
      <c r="AI741" s="4" t="str">
        <f t="shared" si="289"/>
        <v/>
      </c>
      <c r="AJ741" s="4" t="str">
        <f t="shared" si="290"/>
        <v/>
      </c>
      <c r="AK741" s="4" t="str">
        <f t="shared" si="291"/>
        <v/>
      </c>
      <c r="AL741" s="2" t="str">
        <f t="shared" si="292"/>
        <v/>
      </c>
      <c r="AM741" s="6" t="str">
        <f t="shared" si="293"/>
        <v/>
      </c>
      <c r="AN741" s="4" t="str">
        <f t="shared" si="294"/>
        <v/>
      </c>
      <c r="AO741" s="4" t="str">
        <f t="shared" si="295"/>
        <v/>
      </c>
      <c r="AP741" s="4" t="str">
        <f t="shared" si="296"/>
        <v/>
      </c>
      <c r="AQ741" s="4" t="str">
        <f t="shared" si="297"/>
        <v/>
      </c>
      <c r="AR741" s="4" t="str">
        <f t="shared" si="298"/>
        <v/>
      </c>
    </row>
    <row r="742" spans="8:44" s="1" customFormat="1" ht="14.25" x14ac:dyDescent="0.3">
      <c r="H742" s="50"/>
      <c r="J742" s="54"/>
      <c r="L742" s="54"/>
      <c r="R742" s="45"/>
      <c r="S742" s="54"/>
      <c r="T742" s="54"/>
      <c r="U742" s="54"/>
      <c r="V742" s="44"/>
      <c r="W742" s="27"/>
      <c r="Z742" s="27"/>
      <c r="AA742" s="8"/>
      <c r="AB742" s="81" t="str">
        <f t="shared" si="282"/>
        <v/>
      </c>
      <c r="AC742" s="6" t="str">
        <f t="shared" si="283"/>
        <v/>
      </c>
      <c r="AD742" s="1" t="str">
        <f t="shared" ca="1" si="284"/>
        <v/>
      </c>
      <c r="AE742" s="75" t="str">
        <f t="shared" si="285"/>
        <v/>
      </c>
      <c r="AF742" s="75" t="str">
        <f t="shared" si="286"/>
        <v/>
      </c>
      <c r="AG742" s="4" t="str">
        <f t="shared" si="287"/>
        <v/>
      </c>
      <c r="AH742" s="4" t="str">
        <f t="shared" si="288"/>
        <v/>
      </c>
      <c r="AI742" s="4" t="str">
        <f t="shared" si="289"/>
        <v/>
      </c>
      <c r="AJ742" s="4" t="str">
        <f t="shared" si="290"/>
        <v/>
      </c>
      <c r="AK742" s="4" t="str">
        <f t="shared" si="291"/>
        <v/>
      </c>
      <c r="AL742" s="2" t="str">
        <f t="shared" si="292"/>
        <v/>
      </c>
      <c r="AM742" s="6" t="str">
        <f t="shared" si="293"/>
        <v/>
      </c>
      <c r="AN742" s="4" t="str">
        <f t="shared" si="294"/>
        <v/>
      </c>
      <c r="AO742" s="4" t="str">
        <f t="shared" si="295"/>
        <v/>
      </c>
      <c r="AP742" s="4" t="str">
        <f t="shared" si="296"/>
        <v/>
      </c>
      <c r="AQ742" s="4" t="str">
        <f t="shared" si="297"/>
        <v/>
      </c>
      <c r="AR742" s="4" t="str">
        <f t="shared" si="298"/>
        <v/>
      </c>
    </row>
    <row r="743" spans="8:44" s="1" customFormat="1" ht="14.25" x14ac:dyDescent="0.3">
      <c r="H743" s="50"/>
      <c r="J743" s="54"/>
      <c r="L743" s="54"/>
      <c r="R743" s="45"/>
      <c r="S743" s="54"/>
      <c r="T743" s="54"/>
      <c r="U743" s="54"/>
      <c r="V743" s="44"/>
      <c r="W743" s="27"/>
      <c r="Z743" s="27"/>
      <c r="AA743" s="8"/>
      <c r="AB743" s="81" t="str">
        <f t="shared" si="282"/>
        <v/>
      </c>
      <c r="AC743" s="6" t="str">
        <f t="shared" si="283"/>
        <v/>
      </c>
      <c r="AD743" s="1" t="str">
        <f t="shared" ca="1" si="284"/>
        <v/>
      </c>
      <c r="AE743" s="75" t="str">
        <f t="shared" si="285"/>
        <v/>
      </c>
      <c r="AF743" s="75" t="str">
        <f t="shared" si="286"/>
        <v/>
      </c>
      <c r="AG743" s="4" t="str">
        <f t="shared" si="287"/>
        <v/>
      </c>
      <c r="AH743" s="4" t="str">
        <f t="shared" si="288"/>
        <v/>
      </c>
      <c r="AI743" s="4" t="str">
        <f t="shared" si="289"/>
        <v/>
      </c>
      <c r="AJ743" s="4" t="str">
        <f t="shared" si="290"/>
        <v/>
      </c>
      <c r="AK743" s="4" t="str">
        <f t="shared" si="291"/>
        <v/>
      </c>
      <c r="AL743" s="2" t="str">
        <f t="shared" si="292"/>
        <v/>
      </c>
      <c r="AM743" s="6" t="str">
        <f t="shared" si="293"/>
        <v/>
      </c>
      <c r="AN743" s="4" t="str">
        <f t="shared" si="294"/>
        <v/>
      </c>
      <c r="AO743" s="4" t="str">
        <f t="shared" si="295"/>
        <v/>
      </c>
      <c r="AP743" s="4" t="str">
        <f t="shared" si="296"/>
        <v/>
      </c>
      <c r="AQ743" s="4" t="str">
        <f t="shared" si="297"/>
        <v/>
      </c>
      <c r="AR743" s="4" t="str">
        <f t="shared" si="298"/>
        <v/>
      </c>
    </row>
    <row r="744" spans="8:44" s="1" customFormat="1" ht="14.25" x14ac:dyDescent="0.3">
      <c r="H744" s="50"/>
      <c r="J744" s="54"/>
      <c r="L744" s="54"/>
      <c r="R744" s="45"/>
      <c r="S744" s="54"/>
      <c r="T744" s="54"/>
      <c r="U744" s="54"/>
      <c r="V744" s="44"/>
      <c r="W744" s="27"/>
      <c r="Z744" s="27"/>
      <c r="AA744" s="8"/>
      <c r="AB744" s="81" t="str">
        <f t="shared" si="282"/>
        <v/>
      </c>
      <c r="AC744" s="6" t="str">
        <f t="shared" si="283"/>
        <v/>
      </c>
      <c r="AD744" s="1" t="str">
        <f t="shared" ca="1" si="284"/>
        <v/>
      </c>
      <c r="AE744" s="75" t="str">
        <f t="shared" si="285"/>
        <v/>
      </c>
      <c r="AF744" s="75" t="str">
        <f t="shared" si="286"/>
        <v/>
      </c>
      <c r="AG744" s="4" t="str">
        <f t="shared" si="287"/>
        <v/>
      </c>
      <c r="AH744" s="4" t="str">
        <f t="shared" si="288"/>
        <v/>
      </c>
      <c r="AI744" s="4" t="str">
        <f t="shared" si="289"/>
        <v/>
      </c>
      <c r="AJ744" s="4" t="str">
        <f t="shared" si="290"/>
        <v/>
      </c>
      <c r="AK744" s="4" t="str">
        <f t="shared" si="291"/>
        <v/>
      </c>
      <c r="AL744" s="2" t="str">
        <f t="shared" si="292"/>
        <v/>
      </c>
      <c r="AM744" s="6" t="str">
        <f t="shared" si="293"/>
        <v/>
      </c>
      <c r="AN744" s="4" t="str">
        <f t="shared" si="294"/>
        <v/>
      </c>
      <c r="AO744" s="4" t="str">
        <f t="shared" si="295"/>
        <v/>
      </c>
      <c r="AP744" s="4" t="str">
        <f t="shared" si="296"/>
        <v/>
      </c>
      <c r="AQ744" s="4" t="str">
        <f t="shared" si="297"/>
        <v/>
      </c>
      <c r="AR744" s="4" t="str">
        <f t="shared" si="298"/>
        <v/>
      </c>
    </row>
    <row r="745" spans="8:44" s="1" customFormat="1" ht="14.25" x14ac:dyDescent="0.3">
      <c r="H745" s="50"/>
      <c r="J745" s="54"/>
      <c r="L745" s="54"/>
      <c r="R745" s="45"/>
      <c r="S745" s="54"/>
      <c r="T745" s="54"/>
      <c r="U745" s="54"/>
      <c r="V745" s="44"/>
      <c r="W745" s="27"/>
      <c r="Z745" s="27"/>
      <c r="AA745" s="8"/>
      <c r="AB745" s="81" t="str">
        <f t="shared" si="282"/>
        <v/>
      </c>
      <c r="AC745" s="6" t="str">
        <f t="shared" si="283"/>
        <v/>
      </c>
      <c r="AD745" s="1" t="str">
        <f t="shared" ca="1" si="284"/>
        <v/>
      </c>
      <c r="AE745" s="75" t="str">
        <f t="shared" si="285"/>
        <v/>
      </c>
      <c r="AF745" s="75" t="str">
        <f t="shared" si="286"/>
        <v/>
      </c>
      <c r="AG745" s="4" t="str">
        <f t="shared" si="287"/>
        <v/>
      </c>
      <c r="AH745" s="4" t="str">
        <f t="shared" si="288"/>
        <v/>
      </c>
      <c r="AI745" s="4" t="str">
        <f t="shared" si="289"/>
        <v/>
      </c>
      <c r="AJ745" s="4" t="str">
        <f t="shared" si="290"/>
        <v/>
      </c>
      <c r="AK745" s="4" t="str">
        <f t="shared" si="291"/>
        <v/>
      </c>
      <c r="AL745" s="2" t="str">
        <f t="shared" si="292"/>
        <v/>
      </c>
      <c r="AM745" s="6" t="str">
        <f t="shared" si="293"/>
        <v/>
      </c>
      <c r="AN745" s="4" t="str">
        <f t="shared" si="294"/>
        <v/>
      </c>
      <c r="AO745" s="4" t="str">
        <f t="shared" si="295"/>
        <v/>
      </c>
      <c r="AP745" s="4" t="str">
        <f t="shared" si="296"/>
        <v/>
      </c>
      <c r="AQ745" s="4" t="str">
        <f t="shared" si="297"/>
        <v/>
      </c>
      <c r="AR745" s="4" t="str">
        <f t="shared" si="298"/>
        <v/>
      </c>
    </row>
    <row r="746" spans="8:44" s="1" customFormat="1" ht="14.25" x14ac:dyDescent="0.3">
      <c r="H746" s="50"/>
      <c r="J746" s="54"/>
      <c r="L746" s="54"/>
      <c r="R746" s="45"/>
      <c r="S746" s="54"/>
      <c r="T746" s="54"/>
      <c r="U746" s="54"/>
      <c r="V746" s="44"/>
      <c r="W746" s="27"/>
      <c r="Z746" s="27"/>
      <c r="AA746" s="8"/>
      <c r="AB746" s="81" t="str">
        <f t="shared" si="282"/>
        <v/>
      </c>
      <c r="AC746" s="6" t="str">
        <f t="shared" si="283"/>
        <v/>
      </c>
      <c r="AD746" s="1" t="str">
        <f t="shared" ca="1" si="284"/>
        <v/>
      </c>
      <c r="AE746" s="75" t="str">
        <f t="shared" si="285"/>
        <v/>
      </c>
      <c r="AF746" s="75" t="str">
        <f t="shared" si="286"/>
        <v/>
      </c>
      <c r="AG746" s="4" t="str">
        <f t="shared" si="287"/>
        <v/>
      </c>
      <c r="AH746" s="4" t="str">
        <f t="shared" si="288"/>
        <v/>
      </c>
      <c r="AI746" s="4" t="str">
        <f t="shared" si="289"/>
        <v/>
      </c>
      <c r="AJ746" s="4" t="str">
        <f t="shared" si="290"/>
        <v/>
      </c>
      <c r="AK746" s="4" t="str">
        <f t="shared" si="291"/>
        <v/>
      </c>
      <c r="AL746" s="2" t="str">
        <f t="shared" si="292"/>
        <v/>
      </c>
      <c r="AM746" s="6" t="str">
        <f t="shared" si="293"/>
        <v/>
      </c>
      <c r="AN746" s="4" t="str">
        <f t="shared" si="294"/>
        <v/>
      </c>
      <c r="AO746" s="4" t="str">
        <f t="shared" si="295"/>
        <v/>
      </c>
      <c r="AP746" s="4" t="str">
        <f t="shared" si="296"/>
        <v/>
      </c>
      <c r="AQ746" s="4" t="str">
        <f t="shared" si="297"/>
        <v/>
      </c>
      <c r="AR746" s="4" t="str">
        <f t="shared" si="298"/>
        <v/>
      </c>
    </row>
    <row r="747" spans="8:44" s="1" customFormat="1" ht="14.25" x14ac:dyDescent="0.3">
      <c r="H747" s="50"/>
      <c r="J747" s="54"/>
      <c r="L747" s="54"/>
      <c r="R747" s="45"/>
      <c r="S747" s="54"/>
      <c r="T747" s="54"/>
      <c r="U747" s="54"/>
      <c r="V747" s="44"/>
      <c r="W747" s="27"/>
      <c r="Z747" s="27"/>
      <c r="AA747" s="8"/>
      <c r="AB747" s="81" t="str">
        <f t="shared" si="282"/>
        <v/>
      </c>
      <c r="AC747" s="6" t="str">
        <f t="shared" si="283"/>
        <v/>
      </c>
      <c r="AD747" s="1" t="str">
        <f t="shared" ca="1" si="284"/>
        <v/>
      </c>
      <c r="AE747" s="75" t="str">
        <f t="shared" si="285"/>
        <v/>
      </c>
      <c r="AF747" s="75" t="str">
        <f t="shared" si="286"/>
        <v/>
      </c>
      <c r="AG747" s="4" t="str">
        <f t="shared" si="287"/>
        <v/>
      </c>
      <c r="AH747" s="4" t="str">
        <f t="shared" si="288"/>
        <v/>
      </c>
      <c r="AI747" s="4" t="str">
        <f t="shared" si="289"/>
        <v/>
      </c>
      <c r="AJ747" s="4" t="str">
        <f t="shared" si="290"/>
        <v/>
      </c>
      <c r="AK747" s="4" t="str">
        <f t="shared" si="291"/>
        <v/>
      </c>
      <c r="AL747" s="2" t="str">
        <f t="shared" si="292"/>
        <v/>
      </c>
      <c r="AM747" s="6" t="str">
        <f t="shared" si="293"/>
        <v/>
      </c>
      <c r="AN747" s="4" t="str">
        <f t="shared" si="294"/>
        <v/>
      </c>
      <c r="AO747" s="4" t="str">
        <f t="shared" si="295"/>
        <v/>
      </c>
      <c r="AP747" s="4" t="str">
        <f t="shared" si="296"/>
        <v/>
      </c>
      <c r="AQ747" s="4" t="str">
        <f t="shared" si="297"/>
        <v/>
      </c>
      <c r="AR747" s="4" t="str">
        <f t="shared" si="298"/>
        <v/>
      </c>
    </row>
    <row r="748" spans="8:44" s="1" customFormat="1" ht="14.25" x14ac:dyDescent="0.3">
      <c r="H748" s="50"/>
      <c r="J748" s="54"/>
      <c r="L748" s="54"/>
      <c r="R748" s="45"/>
      <c r="S748" s="54"/>
      <c r="T748" s="54"/>
      <c r="U748" s="54"/>
      <c r="V748" s="44"/>
      <c r="W748" s="27"/>
      <c r="Z748" s="27"/>
      <c r="AA748" s="8"/>
      <c r="AB748" s="81" t="str">
        <f t="shared" si="282"/>
        <v/>
      </c>
      <c r="AC748" s="6" t="str">
        <f t="shared" si="283"/>
        <v/>
      </c>
      <c r="AD748" s="1" t="str">
        <f t="shared" ca="1" si="284"/>
        <v/>
      </c>
      <c r="AE748" s="75" t="str">
        <f t="shared" si="285"/>
        <v/>
      </c>
      <c r="AF748" s="75" t="str">
        <f t="shared" si="286"/>
        <v/>
      </c>
      <c r="AG748" s="4" t="str">
        <f t="shared" si="287"/>
        <v/>
      </c>
      <c r="AH748" s="4" t="str">
        <f t="shared" si="288"/>
        <v/>
      </c>
      <c r="AI748" s="4" t="str">
        <f t="shared" si="289"/>
        <v/>
      </c>
      <c r="AJ748" s="4" t="str">
        <f t="shared" si="290"/>
        <v/>
      </c>
      <c r="AK748" s="4" t="str">
        <f t="shared" si="291"/>
        <v/>
      </c>
      <c r="AL748" s="2" t="str">
        <f t="shared" si="292"/>
        <v/>
      </c>
      <c r="AM748" s="6" t="str">
        <f t="shared" si="293"/>
        <v/>
      </c>
      <c r="AN748" s="4" t="str">
        <f t="shared" si="294"/>
        <v/>
      </c>
      <c r="AO748" s="4" t="str">
        <f t="shared" si="295"/>
        <v/>
      </c>
      <c r="AP748" s="4" t="str">
        <f t="shared" si="296"/>
        <v/>
      </c>
      <c r="AQ748" s="4" t="str">
        <f t="shared" si="297"/>
        <v/>
      </c>
      <c r="AR748" s="4" t="str">
        <f t="shared" si="298"/>
        <v/>
      </c>
    </row>
    <row r="749" spans="8:44" s="1" customFormat="1" ht="14.25" x14ac:dyDescent="0.3">
      <c r="H749" s="50"/>
      <c r="J749" s="54"/>
      <c r="L749" s="54"/>
      <c r="R749" s="45"/>
      <c r="S749" s="54"/>
      <c r="T749" s="54"/>
      <c r="U749" s="54"/>
      <c r="V749" s="44"/>
      <c r="W749" s="27"/>
      <c r="Z749" s="27"/>
      <c r="AA749" s="8"/>
      <c r="AB749" s="81" t="str">
        <f t="shared" si="282"/>
        <v/>
      </c>
      <c r="AC749" s="6" t="str">
        <f t="shared" si="283"/>
        <v/>
      </c>
      <c r="AD749" s="1" t="str">
        <f t="shared" ca="1" si="284"/>
        <v/>
      </c>
      <c r="AE749" s="75" t="str">
        <f t="shared" si="285"/>
        <v/>
      </c>
      <c r="AF749" s="75" t="str">
        <f t="shared" si="286"/>
        <v/>
      </c>
      <c r="AG749" s="4" t="str">
        <f t="shared" si="287"/>
        <v/>
      </c>
      <c r="AH749" s="4" t="str">
        <f t="shared" si="288"/>
        <v/>
      </c>
      <c r="AI749" s="4" t="str">
        <f t="shared" si="289"/>
        <v/>
      </c>
      <c r="AJ749" s="4" t="str">
        <f t="shared" si="290"/>
        <v/>
      </c>
      <c r="AK749" s="4" t="str">
        <f t="shared" si="291"/>
        <v/>
      </c>
      <c r="AL749" s="2" t="str">
        <f t="shared" si="292"/>
        <v/>
      </c>
      <c r="AM749" s="6" t="str">
        <f t="shared" si="293"/>
        <v/>
      </c>
      <c r="AN749" s="4" t="str">
        <f t="shared" si="294"/>
        <v/>
      </c>
      <c r="AO749" s="4" t="str">
        <f t="shared" si="295"/>
        <v/>
      </c>
      <c r="AP749" s="4" t="str">
        <f t="shared" si="296"/>
        <v/>
      </c>
      <c r="AQ749" s="4" t="str">
        <f t="shared" si="297"/>
        <v/>
      </c>
      <c r="AR749" s="4" t="str">
        <f t="shared" si="298"/>
        <v/>
      </c>
    </row>
    <row r="750" spans="8:44" s="1" customFormat="1" ht="14.25" x14ac:dyDescent="0.3">
      <c r="H750" s="50"/>
      <c r="J750" s="54"/>
      <c r="L750" s="54"/>
      <c r="R750" s="45"/>
      <c r="S750" s="54"/>
      <c r="T750" s="54"/>
      <c r="U750" s="54"/>
      <c r="V750" s="44"/>
      <c r="W750" s="27"/>
      <c r="Z750" s="27"/>
      <c r="AA750" s="8"/>
      <c r="AB750" s="81" t="str">
        <f t="shared" si="282"/>
        <v/>
      </c>
      <c r="AC750" s="6" t="str">
        <f t="shared" si="283"/>
        <v/>
      </c>
      <c r="AD750" s="1" t="str">
        <f t="shared" ca="1" si="284"/>
        <v/>
      </c>
      <c r="AE750" s="75" t="str">
        <f t="shared" si="285"/>
        <v/>
      </c>
      <c r="AF750" s="75" t="str">
        <f t="shared" si="286"/>
        <v/>
      </c>
      <c r="AG750" s="4" t="str">
        <f t="shared" si="287"/>
        <v/>
      </c>
      <c r="AH750" s="4" t="str">
        <f t="shared" si="288"/>
        <v/>
      </c>
      <c r="AI750" s="4" t="str">
        <f t="shared" si="289"/>
        <v/>
      </c>
      <c r="AJ750" s="4" t="str">
        <f t="shared" si="290"/>
        <v/>
      </c>
      <c r="AK750" s="4" t="str">
        <f t="shared" si="291"/>
        <v/>
      </c>
      <c r="AL750" s="2" t="str">
        <f t="shared" si="292"/>
        <v/>
      </c>
      <c r="AM750" s="6" t="str">
        <f t="shared" si="293"/>
        <v/>
      </c>
      <c r="AN750" s="4" t="str">
        <f t="shared" si="294"/>
        <v/>
      </c>
      <c r="AO750" s="4" t="str">
        <f t="shared" si="295"/>
        <v/>
      </c>
      <c r="AP750" s="4" t="str">
        <f t="shared" si="296"/>
        <v/>
      </c>
      <c r="AQ750" s="4" t="str">
        <f t="shared" si="297"/>
        <v/>
      </c>
      <c r="AR750" s="4" t="str">
        <f t="shared" si="298"/>
        <v/>
      </c>
    </row>
    <row r="751" spans="8:44" s="1" customFormat="1" ht="14.25" x14ac:dyDescent="0.3">
      <c r="H751" s="50"/>
      <c r="J751" s="54"/>
      <c r="L751" s="54"/>
      <c r="R751" s="45"/>
      <c r="S751" s="54"/>
      <c r="T751" s="54"/>
      <c r="U751" s="54"/>
      <c r="V751" s="44"/>
      <c r="W751" s="27"/>
      <c r="Z751" s="27"/>
      <c r="AA751" s="8"/>
      <c r="AB751" s="81" t="str">
        <f t="shared" si="282"/>
        <v/>
      </c>
      <c r="AC751" s="6" t="str">
        <f t="shared" si="283"/>
        <v/>
      </c>
      <c r="AD751" s="1" t="str">
        <f t="shared" ca="1" si="284"/>
        <v/>
      </c>
      <c r="AE751" s="75" t="str">
        <f t="shared" si="285"/>
        <v/>
      </c>
      <c r="AF751" s="75" t="str">
        <f t="shared" si="286"/>
        <v/>
      </c>
      <c r="AG751" s="4" t="str">
        <f t="shared" si="287"/>
        <v/>
      </c>
      <c r="AH751" s="4" t="str">
        <f t="shared" si="288"/>
        <v/>
      </c>
      <c r="AI751" s="4" t="str">
        <f t="shared" si="289"/>
        <v/>
      </c>
      <c r="AJ751" s="4" t="str">
        <f t="shared" si="290"/>
        <v/>
      </c>
      <c r="AK751" s="4" t="str">
        <f t="shared" si="291"/>
        <v/>
      </c>
      <c r="AL751" s="2" t="str">
        <f t="shared" si="292"/>
        <v/>
      </c>
      <c r="AM751" s="6" t="str">
        <f t="shared" si="293"/>
        <v/>
      </c>
      <c r="AN751" s="4" t="str">
        <f t="shared" si="294"/>
        <v/>
      </c>
      <c r="AO751" s="4" t="str">
        <f t="shared" si="295"/>
        <v/>
      </c>
      <c r="AP751" s="4" t="str">
        <f t="shared" si="296"/>
        <v/>
      </c>
      <c r="AQ751" s="4" t="str">
        <f t="shared" si="297"/>
        <v/>
      </c>
      <c r="AR751" s="4" t="str">
        <f t="shared" si="298"/>
        <v/>
      </c>
    </row>
    <row r="752" spans="8:44" s="1" customFormat="1" ht="14.25" x14ac:dyDescent="0.3">
      <c r="H752" s="50"/>
      <c r="J752" s="54"/>
      <c r="L752" s="54"/>
      <c r="R752" s="45"/>
      <c r="S752" s="54"/>
      <c r="T752" s="54"/>
      <c r="U752" s="54"/>
      <c r="V752" s="44"/>
      <c r="W752" s="27"/>
      <c r="Z752" s="27"/>
      <c r="AA752" s="8"/>
      <c r="AB752" s="81" t="str">
        <f t="shared" si="282"/>
        <v/>
      </c>
      <c r="AC752" s="6" t="str">
        <f t="shared" si="283"/>
        <v/>
      </c>
      <c r="AD752" s="1" t="str">
        <f t="shared" ca="1" si="284"/>
        <v/>
      </c>
      <c r="AE752" s="75" t="str">
        <f t="shared" si="285"/>
        <v/>
      </c>
      <c r="AF752" s="75" t="str">
        <f t="shared" si="286"/>
        <v/>
      </c>
      <c r="AG752" s="4" t="str">
        <f t="shared" si="287"/>
        <v/>
      </c>
      <c r="AH752" s="4" t="str">
        <f t="shared" si="288"/>
        <v/>
      </c>
      <c r="AI752" s="4" t="str">
        <f t="shared" si="289"/>
        <v/>
      </c>
      <c r="AJ752" s="4" t="str">
        <f t="shared" si="290"/>
        <v/>
      </c>
      <c r="AK752" s="4" t="str">
        <f t="shared" si="291"/>
        <v/>
      </c>
      <c r="AL752" s="2" t="str">
        <f t="shared" si="292"/>
        <v/>
      </c>
      <c r="AM752" s="6" t="str">
        <f t="shared" si="293"/>
        <v/>
      </c>
      <c r="AN752" s="4" t="str">
        <f t="shared" si="294"/>
        <v/>
      </c>
      <c r="AO752" s="4" t="str">
        <f t="shared" si="295"/>
        <v/>
      </c>
      <c r="AP752" s="4" t="str">
        <f t="shared" si="296"/>
        <v/>
      </c>
      <c r="AQ752" s="4" t="str">
        <f t="shared" si="297"/>
        <v/>
      </c>
      <c r="AR752" s="4" t="str">
        <f t="shared" si="298"/>
        <v/>
      </c>
    </row>
    <row r="753" spans="8:44" s="1" customFormat="1" ht="14.25" x14ac:dyDescent="0.3">
      <c r="H753" s="50"/>
      <c r="J753" s="54"/>
      <c r="L753" s="54"/>
      <c r="R753" s="45"/>
      <c r="S753" s="54"/>
      <c r="T753" s="54"/>
      <c r="U753" s="54"/>
      <c r="V753" s="44"/>
      <c r="W753" s="27"/>
      <c r="Z753" s="27"/>
      <c r="AA753" s="8"/>
      <c r="AB753" s="81" t="str">
        <f t="shared" si="282"/>
        <v/>
      </c>
      <c r="AC753" s="6" t="str">
        <f t="shared" si="283"/>
        <v/>
      </c>
      <c r="AD753" s="1" t="str">
        <f t="shared" ca="1" si="284"/>
        <v/>
      </c>
      <c r="AE753" s="75" t="str">
        <f t="shared" si="285"/>
        <v/>
      </c>
      <c r="AF753" s="75" t="str">
        <f t="shared" si="286"/>
        <v/>
      </c>
      <c r="AG753" s="4" t="str">
        <f t="shared" si="287"/>
        <v/>
      </c>
      <c r="AH753" s="4" t="str">
        <f t="shared" si="288"/>
        <v/>
      </c>
      <c r="AI753" s="4" t="str">
        <f t="shared" si="289"/>
        <v/>
      </c>
      <c r="AJ753" s="4" t="str">
        <f t="shared" si="290"/>
        <v/>
      </c>
      <c r="AK753" s="4" t="str">
        <f t="shared" si="291"/>
        <v/>
      </c>
      <c r="AL753" s="2" t="str">
        <f t="shared" si="292"/>
        <v/>
      </c>
      <c r="AM753" s="6" t="str">
        <f t="shared" si="293"/>
        <v/>
      </c>
      <c r="AN753" s="4" t="str">
        <f t="shared" si="294"/>
        <v/>
      </c>
      <c r="AO753" s="4" t="str">
        <f t="shared" si="295"/>
        <v/>
      </c>
      <c r="AP753" s="4" t="str">
        <f t="shared" si="296"/>
        <v/>
      </c>
      <c r="AQ753" s="4" t="str">
        <f t="shared" si="297"/>
        <v/>
      </c>
      <c r="AR753" s="4" t="str">
        <f t="shared" si="298"/>
        <v/>
      </c>
    </row>
    <row r="754" spans="8:44" s="1" customFormat="1" ht="14.25" x14ac:dyDescent="0.3">
      <c r="H754" s="50"/>
      <c r="J754" s="54"/>
      <c r="L754" s="54"/>
      <c r="R754" s="45"/>
      <c r="S754" s="54"/>
      <c r="T754" s="54"/>
      <c r="U754" s="54"/>
      <c r="V754" s="44"/>
      <c r="W754" s="27"/>
      <c r="Z754" s="27"/>
      <c r="AA754" s="8"/>
      <c r="AB754" s="81" t="str">
        <f t="shared" si="282"/>
        <v/>
      </c>
      <c r="AC754" s="6" t="str">
        <f t="shared" si="283"/>
        <v/>
      </c>
      <c r="AD754" s="1" t="str">
        <f t="shared" ca="1" si="284"/>
        <v/>
      </c>
      <c r="AE754" s="75" t="str">
        <f t="shared" si="285"/>
        <v/>
      </c>
      <c r="AF754" s="75" t="str">
        <f t="shared" si="286"/>
        <v/>
      </c>
      <c r="AG754" s="4" t="str">
        <f t="shared" si="287"/>
        <v/>
      </c>
      <c r="AH754" s="4" t="str">
        <f t="shared" si="288"/>
        <v/>
      </c>
      <c r="AI754" s="4" t="str">
        <f t="shared" si="289"/>
        <v/>
      </c>
      <c r="AJ754" s="4" t="str">
        <f t="shared" si="290"/>
        <v/>
      </c>
      <c r="AK754" s="4" t="str">
        <f t="shared" si="291"/>
        <v/>
      </c>
      <c r="AL754" s="2" t="str">
        <f t="shared" si="292"/>
        <v/>
      </c>
      <c r="AM754" s="6" t="str">
        <f t="shared" si="293"/>
        <v/>
      </c>
      <c r="AN754" s="4" t="str">
        <f t="shared" si="294"/>
        <v/>
      </c>
      <c r="AO754" s="4" t="str">
        <f t="shared" si="295"/>
        <v/>
      </c>
      <c r="AP754" s="4" t="str">
        <f t="shared" si="296"/>
        <v/>
      </c>
      <c r="AQ754" s="4" t="str">
        <f t="shared" si="297"/>
        <v/>
      </c>
      <c r="AR754" s="4" t="str">
        <f t="shared" si="298"/>
        <v/>
      </c>
    </row>
    <row r="755" spans="8:44" s="1" customFormat="1" ht="14.25" x14ac:dyDescent="0.3">
      <c r="H755" s="50"/>
      <c r="J755" s="54"/>
      <c r="L755" s="54"/>
      <c r="R755" s="45"/>
      <c r="S755" s="54"/>
      <c r="T755" s="54"/>
      <c r="U755" s="54"/>
      <c r="V755" s="44"/>
      <c r="W755" s="27"/>
      <c r="Z755" s="27"/>
      <c r="AA755" s="8"/>
      <c r="AB755" s="81" t="str">
        <f t="shared" si="282"/>
        <v/>
      </c>
      <c r="AC755" s="6" t="str">
        <f t="shared" si="283"/>
        <v/>
      </c>
      <c r="AD755" s="1" t="str">
        <f t="shared" ca="1" si="284"/>
        <v/>
      </c>
      <c r="AE755" s="75" t="str">
        <f t="shared" si="285"/>
        <v/>
      </c>
      <c r="AF755" s="75" t="str">
        <f t="shared" si="286"/>
        <v/>
      </c>
      <c r="AG755" s="4" t="str">
        <f t="shared" si="287"/>
        <v/>
      </c>
      <c r="AH755" s="4" t="str">
        <f t="shared" si="288"/>
        <v/>
      </c>
      <c r="AI755" s="4" t="str">
        <f t="shared" si="289"/>
        <v/>
      </c>
      <c r="AJ755" s="4" t="str">
        <f t="shared" si="290"/>
        <v/>
      </c>
      <c r="AK755" s="4" t="str">
        <f t="shared" si="291"/>
        <v/>
      </c>
      <c r="AL755" s="2" t="str">
        <f t="shared" si="292"/>
        <v/>
      </c>
      <c r="AM755" s="6" t="str">
        <f t="shared" si="293"/>
        <v/>
      </c>
      <c r="AN755" s="4" t="str">
        <f t="shared" si="294"/>
        <v/>
      </c>
      <c r="AO755" s="4" t="str">
        <f t="shared" si="295"/>
        <v/>
      </c>
      <c r="AP755" s="4" t="str">
        <f t="shared" si="296"/>
        <v/>
      </c>
      <c r="AQ755" s="4" t="str">
        <f t="shared" si="297"/>
        <v/>
      </c>
      <c r="AR755" s="4" t="str">
        <f t="shared" si="298"/>
        <v/>
      </c>
    </row>
    <row r="756" spans="8:44" s="1" customFormat="1" ht="14.25" x14ac:dyDescent="0.3">
      <c r="H756" s="50"/>
      <c r="J756" s="54"/>
      <c r="L756" s="54"/>
      <c r="R756" s="45"/>
      <c r="S756" s="54"/>
      <c r="T756" s="54"/>
      <c r="U756" s="54"/>
      <c r="V756" s="44"/>
      <c r="W756" s="27"/>
      <c r="Z756" s="27"/>
      <c r="AA756" s="8"/>
      <c r="AB756" s="81" t="str">
        <f t="shared" si="282"/>
        <v/>
      </c>
      <c r="AC756" s="6" t="str">
        <f t="shared" si="283"/>
        <v/>
      </c>
      <c r="AD756" s="1" t="str">
        <f t="shared" ca="1" si="284"/>
        <v/>
      </c>
      <c r="AE756" s="75" t="str">
        <f t="shared" si="285"/>
        <v/>
      </c>
      <c r="AF756" s="75" t="str">
        <f t="shared" si="286"/>
        <v/>
      </c>
      <c r="AG756" s="4" t="str">
        <f t="shared" si="287"/>
        <v/>
      </c>
      <c r="AH756" s="4" t="str">
        <f t="shared" si="288"/>
        <v/>
      </c>
      <c r="AI756" s="4" t="str">
        <f t="shared" si="289"/>
        <v/>
      </c>
      <c r="AJ756" s="4" t="str">
        <f t="shared" si="290"/>
        <v/>
      </c>
      <c r="AK756" s="4" t="str">
        <f t="shared" si="291"/>
        <v/>
      </c>
      <c r="AL756" s="2" t="str">
        <f t="shared" si="292"/>
        <v/>
      </c>
      <c r="AM756" s="6" t="str">
        <f t="shared" si="293"/>
        <v/>
      </c>
      <c r="AN756" s="4" t="str">
        <f t="shared" si="294"/>
        <v/>
      </c>
      <c r="AO756" s="4" t="str">
        <f t="shared" si="295"/>
        <v/>
      </c>
      <c r="AP756" s="4" t="str">
        <f t="shared" si="296"/>
        <v/>
      </c>
      <c r="AQ756" s="4" t="str">
        <f t="shared" si="297"/>
        <v/>
      </c>
      <c r="AR756" s="4" t="str">
        <f t="shared" si="298"/>
        <v/>
      </c>
    </row>
    <row r="757" spans="8:44" s="1" customFormat="1" ht="14.25" x14ac:dyDescent="0.3">
      <c r="H757" s="50"/>
      <c r="J757" s="54"/>
      <c r="L757" s="54"/>
      <c r="R757" s="45"/>
      <c r="S757" s="54"/>
      <c r="T757" s="54"/>
      <c r="U757" s="54"/>
      <c r="V757" s="44"/>
      <c r="W757" s="27"/>
      <c r="Z757" s="27"/>
      <c r="AA757" s="8"/>
      <c r="AB757" s="81" t="str">
        <f t="shared" si="282"/>
        <v/>
      </c>
      <c r="AC757" s="6" t="str">
        <f t="shared" si="283"/>
        <v/>
      </c>
      <c r="AD757" s="1" t="str">
        <f t="shared" ca="1" si="284"/>
        <v/>
      </c>
      <c r="AE757" s="75" t="str">
        <f t="shared" si="285"/>
        <v/>
      </c>
      <c r="AF757" s="75" t="str">
        <f t="shared" si="286"/>
        <v/>
      </c>
      <c r="AG757" s="4" t="str">
        <f t="shared" si="287"/>
        <v/>
      </c>
      <c r="AH757" s="4" t="str">
        <f t="shared" si="288"/>
        <v/>
      </c>
      <c r="AI757" s="4" t="str">
        <f t="shared" si="289"/>
        <v/>
      </c>
      <c r="AJ757" s="4" t="str">
        <f t="shared" si="290"/>
        <v/>
      </c>
      <c r="AK757" s="4" t="str">
        <f t="shared" si="291"/>
        <v/>
      </c>
      <c r="AL757" s="2" t="str">
        <f t="shared" si="292"/>
        <v/>
      </c>
      <c r="AM757" s="6" t="str">
        <f t="shared" si="293"/>
        <v/>
      </c>
      <c r="AN757" s="4" t="str">
        <f t="shared" si="294"/>
        <v/>
      </c>
      <c r="AO757" s="4" t="str">
        <f t="shared" si="295"/>
        <v/>
      </c>
      <c r="AP757" s="4" t="str">
        <f t="shared" si="296"/>
        <v/>
      </c>
      <c r="AQ757" s="4" t="str">
        <f t="shared" si="297"/>
        <v/>
      </c>
      <c r="AR757" s="4" t="str">
        <f t="shared" si="298"/>
        <v/>
      </c>
    </row>
    <row r="758" spans="8:44" s="1" customFormat="1" ht="14.25" x14ac:dyDescent="0.3">
      <c r="H758" s="50"/>
      <c r="J758" s="54"/>
      <c r="L758" s="54"/>
      <c r="R758" s="45"/>
      <c r="S758" s="54"/>
      <c r="T758" s="54"/>
      <c r="U758" s="54"/>
      <c r="V758" s="44"/>
      <c r="W758" s="27"/>
      <c r="Z758" s="27"/>
      <c r="AA758" s="8"/>
      <c r="AB758" s="81" t="str">
        <f t="shared" si="282"/>
        <v/>
      </c>
      <c r="AC758" s="6" t="str">
        <f t="shared" si="283"/>
        <v/>
      </c>
      <c r="AD758" s="1" t="str">
        <f t="shared" ca="1" si="284"/>
        <v/>
      </c>
      <c r="AE758" s="75" t="str">
        <f t="shared" si="285"/>
        <v/>
      </c>
      <c r="AF758" s="75" t="str">
        <f t="shared" si="286"/>
        <v/>
      </c>
      <c r="AG758" s="4" t="str">
        <f t="shared" si="287"/>
        <v/>
      </c>
      <c r="AH758" s="4" t="str">
        <f t="shared" si="288"/>
        <v/>
      </c>
      <c r="AI758" s="4" t="str">
        <f t="shared" si="289"/>
        <v/>
      </c>
      <c r="AJ758" s="4" t="str">
        <f t="shared" si="290"/>
        <v/>
      </c>
      <c r="AK758" s="4" t="str">
        <f t="shared" si="291"/>
        <v/>
      </c>
      <c r="AL758" s="2" t="str">
        <f t="shared" si="292"/>
        <v/>
      </c>
      <c r="AM758" s="6" t="str">
        <f t="shared" si="293"/>
        <v/>
      </c>
      <c r="AN758" s="4" t="str">
        <f t="shared" si="294"/>
        <v/>
      </c>
      <c r="AO758" s="4" t="str">
        <f t="shared" si="295"/>
        <v/>
      </c>
      <c r="AP758" s="4" t="str">
        <f t="shared" si="296"/>
        <v/>
      </c>
      <c r="AQ758" s="4" t="str">
        <f t="shared" si="297"/>
        <v/>
      </c>
      <c r="AR758" s="4" t="str">
        <f t="shared" si="298"/>
        <v/>
      </c>
    </row>
    <row r="759" spans="8:44" s="1" customFormat="1" ht="14.25" x14ac:dyDescent="0.3">
      <c r="H759" s="50"/>
      <c r="J759" s="54"/>
      <c r="L759" s="54"/>
      <c r="R759" s="45"/>
      <c r="S759" s="54"/>
      <c r="T759" s="54"/>
      <c r="U759" s="54"/>
      <c r="V759" s="44"/>
      <c r="W759" s="27"/>
      <c r="Z759" s="27"/>
      <c r="AA759" s="8"/>
      <c r="AB759" s="81" t="str">
        <f t="shared" si="282"/>
        <v/>
      </c>
      <c r="AC759" s="6" t="str">
        <f t="shared" si="283"/>
        <v/>
      </c>
      <c r="AD759" s="1" t="str">
        <f t="shared" ca="1" si="284"/>
        <v/>
      </c>
      <c r="AE759" s="75" t="str">
        <f t="shared" si="285"/>
        <v/>
      </c>
      <c r="AF759" s="75" t="str">
        <f t="shared" si="286"/>
        <v/>
      </c>
      <c r="AG759" s="4" t="str">
        <f t="shared" si="287"/>
        <v/>
      </c>
      <c r="AH759" s="4" t="str">
        <f t="shared" si="288"/>
        <v/>
      </c>
      <c r="AI759" s="4" t="str">
        <f t="shared" si="289"/>
        <v/>
      </c>
      <c r="AJ759" s="4" t="str">
        <f t="shared" si="290"/>
        <v/>
      </c>
      <c r="AK759" s="4" t="str">
        <f t="shared" si="291"/>
        <v/>
      </c>
      <c r="AL759" s="2" t="str">
        <f t="shared" si="292"/>
        <v/>
      </c>
      <c r="AM759" s="6" t="str">
        <f t="shared" si="293"/>
        <v/>
      </c>
      <c r="AN759" s="4" t="str">
        <f t="shared" si="294"/>
        <v/>
      </c>
      <c r="AO759" s="4" t="str">
        <f t="shared" si="295"/>
        <v/>
      </c>
      <c r="AP759" s="4" t="str">
        <f t="shared" si="296"/>
        <v/>
      </c>
      <c r="AQ759" s="4" t="str">
        <f t="shared" si="297"/>
        <v/>
      </c>
      <c r="AR759" s="4" t="str">
        <f t="shared" si="298"/>
        <v/>
      </c>
    </row>
    <row r="760" spans="8:44" s="1" customFormat="1" ht="14.25" x14ac:dyDescent="0.3">
      <c r="H760" s="50"/>
      <c r="J760" s="54"/>
      <c r="L760" s="54"/>
      <c r="R760" s="45"/>
      <c r="S760" s="54"/>
      <c r="T760" s="54"/>
      <c r="U760" s="54"/>
      <c r="V760" s="44"/>
      <c r="W760" s="27"/>
      <c r="Z760" s="27"/>
      <c r="AA760" s="8"/>
      <c r="AB760" s="81" t="str">
        <f t="shared" si="282"/>
        <v/>
      </c>
      <c r="AC760" s="6" t="str">
        <f t="shared" si="283"/>
        <v/>
      </c>
      <c r="AD760" s="1" t="str">
        <f t="shared" ca="1" si="284"/>
        <v/>
      </c>
      <c r="AE760" s="75" t="str">
        <f t="shared" si="285"/>
        <v/>
      </c>
      <c r="AF760" s="75" t="str">
        <f t="shared" si="286"/>
        <v/>
      </c>
      <c r="AG760" s="4" t="str">
        <f t="shared" si="287"/>
        <v/>
      </c>
      <c r="AH760" s="4" t="str">
        <f t="shared" si="288"/>
        <v/>
      </c>
      <c r="AI760" s="4" t="str">
        <f t="shared" si="289"/>
        <v/>
      </c>
      <c r="AJ760" s="4" t="str">
        <f t="shared" si="290"/>
        <v/>
      </c>
      <c r="AK760" s="4" t="str">
        <f t="shared" si="291"/>
        <v/>
      </c>
      <c r="AL760" s="2" t="str">
        <f t="shared" si="292"/>
        <v/>
      </c>
      <c r="AM760" s="6" t="str">
        <f t="shared" si="293"/>
        <v/>
      </c>
      <c r="AN760" s="4" t="str">
        <f t="shared" si="294"/>
        <v/>
      </c>
      <c r="AO760" s="4" t="str">
        <f t="shared" si="295"/>
        <v/>
      </c>
      <c r="AP760" s="4" t="str">
        <f t="shared" si="296"/>
        <v/>
      </c>
      <c r="AQ760" s="4" t="str">
        <f t="shared" si="297"/>
        <v/>
      </c>
      <c r="AR760" s="4" t="str">
        <f t="shared" si="298"/>
        <v/>
      </c>
    </row>
    <row r="761" spans="8:44" s="1" customFormat="1" ht="14.25" x14ac:dyDescent="0.3">
      <c r="H761" s="50"/>
      <c r="J761" s="54"/>
      <c r="L761" s="54"/>
      <c r="R761" s="45"/>
      <c r="S761" s="54"/>
      <c r="T761" s="54"/>
      <c r="U761" s="54"/>
      <c r="V761" s="44"/>
      <c r="W761" s="27"/>
      <c r="Z761" s="27"/>
      <c r="AA761" s="8"/>
      <c r="AB761" s="81" t="str">
        <f t="shared" si="282"/>
        <v/>
      </c>
      <c r="AC761" s="6" t="str">
        <f t="shared" si="283"/>
        <v/>
      </c>
      <c r="AD761" s="1" t="str">
        <f t="shared" ca="1" si="284"/>
        <v/>
      </c>
      <c r="AE761" s="75" t="str">
        <f t="shared" si="285"/>
        <v/>
      </c>
      <c r="AF761" s="75" t="str">
        <f t="shared" si="286"/>
        <v/>
      </c>
      <c r="AG761" s="4" t="str">
        <f t="shared" si="287"/>
        <v/>
      </c>
      <c r="AH761" s="4" t="str">
        <f t="shared" si="288"/>
        <v/>
      </c>
      <c r="AI761" s="4" t="str">
        <f t="shared" si="289"/>
        <v/>
      </c>
      <c r="AJ761" s="4" t="str">
        <f t="shared" si="290"/>
        <v/>
      </c>
      <c r="AK761" s="4" t="str">
        <f t="shared" si="291"/>
        <v/>
      </c>
      <c r="AL761" s="2" t="str">
        <f t="shared" si="292"/>
        <v/>
      </c>
      <c r="AM761" s="6" t="str">
        <f t="shared" si="293"/>
        <v/>
      </c>
      <c r="AN761" s="4" t="str">
        <f t="shared" si="294"/>
        <v/>
      </c>
      <c r="AO761" s="4" t="str">
        <f t="shared" si="295"/>
        <v/>
      </c>
      <c r="AP761" s="4" t="str">
        <f t="shared" si="296"/>
        <v/>
      </c>
      <c r="AQ761" s="4" t="str">
        <f t="shared" si="297"/>
        <v/>
      </c>
      <c r="AR761" s="4" t="str">
        <f t="shared" si="298"/>
        <v/>
      </c>
    </row>
    <row r="762" spans="8:44" s="1" customFormat="1" ht="14.25" x14ac:dyDescent="0.3">
      <c r="H762" s="50"/>
      <c r="J762" s="54"/>
      <c r="L762" s="54"/>
      <c r="R762" s="45"/>
      <c r="S762" s="54"/>
      <c r="T762" s="54"/>
      <c r="U762" s="54"/>
      <c r="V762" s="44"/>
      <c r="W762" s="27"/>
      <c r="Z762" s="27"/>
      <c r="AA762" s="8"/>
      <c r="AB762" s="81" t="str">
        <f t="shared" si="282"/>
        <v/>
      </c>
      <c r="AC762" s="6" t="str">
        <f t="shared" si="283"/>
        <v/>
      </c>
      <c r="AD762" s="1" t="str">
        <f t="shared" ca="1" si="284"/>
        <v/>
      </c>
      <c r="AE762" s="75" t="str">
        <f t="shared" si="285"/>
        <v/>
      </c>
      <c r="AF762" s="75" t="str">
        <f t="shared" si="286"/>
        <v/>
      </c>
      <c r="AG762" s="4" t="str">
        <f t="shared" si="287"/>
        <v/>
      </c>
      <c r="AH762" s="4" t="str">
        <f t="shared" si="288"/>
        <v/>
      </c>
      <c r="AI762" s="4" t="str">
        <f t="shared" si="289"/>
        <v/>
      </c>
      <c r="AJ762" s="4" t="str">
        <f t="shared" si="290"/>
        <v/>
      </c>
      <c r="AK762" s="4" t="str">
        <f t="shared" si="291"/>
        <v/>
      </c>
      <c r="AL762" s="2" t="str">
        <f t="shared" si="292"/>
        <v/>
      </c>
      <c r="AM762" s="6" t="str">
        <f t="shared" si="293"/>
        <v/>
      </c>
      <c r="AN762" s="4" t="str">
        <f t="shared" si="294"/>
        <v/>
      </c>
      <c r="AO762" s="4" t="str">
        <f t="shared" si="295"/>
        <v/>
      </c>
      <c r="AP762" s="4" t="str">
        <f t="shared" si="296"/>
        <v/>
      </c>
      <c r="AQ762" s="4" t="str">
        <f t="shared" si="297"/>
        <v/>
      </c>
      <c r="AR762" s="4" t="str">
        <f t="shared" si="298"/>
        <v/>
      </c>
    </row>
    <row r="763" spans="8:44" s="1" customFormat="1" ht="14.25" x14ac:dyDescent="0.3">
      <c r="H763" s="50"/>
      <c r="J763" s="54"/>
      <c r="L763" s="54"/>
      <c r="R763" s="45"/>
      <c r="S763" s="54"/>
      <c r="T763" s="54"/>
      <c r="U763" s="54"/>
      <c r="V763" s="44"/>
      <c r="W763" s="27"/>
      <c r="Z763" s="27"/>
      <c r="AA763" s="8"/>
      <c r="AB763" s="81" t="str">
        <f t="shared" si="282"/>
        <v/>
      </c>
      <c r="AC763" s="6" t="str">
        <f t="shared" si="283"/>
        <v/>
      </c>
      <c r="AD763" s="1" t="str">
        <f t="shared" ca="1" si="284"/>
        <v/>
      </c>
      <c r="AE763" s="75" t="str">
        <f t="shared" si="285"/>
        <v/>
      </c>
      <c r="AF763" s="75" t="str">
        <f t="shared" si="286"/>
        <v/>
      </c>
      <c r="AG763" s="4" t="str">
        <f t="shared" si="287"/>
        <v/>
      </c>
      <c r="AH763" s="4" t="str">
        <f t="shared" si="288"/>
        <v/>
      </c>
      <c r="AI763" s="4" t="str">
        <f t="shared" si="289"/>
        <v/>
      </c>
      <c r="AJ763" s="4" t="str">
        <f t="shared" si="290"/>
        <v/>
      </c>
      <c r="AK763" s="4" t="str">
        <f t="shared" si="291"/>
        <v/>
      </c>
      <c r="AL763" s="2" t="str">
        <f t="shared" si="292"/>
        <v/>
      </c>
      <c r="AM763" s="6" t="str">
        <f t="shared" si="293"/>
        <v/>
      </c>
      <c r="AN763" s="4" t="str">
        <f t="shared" si="294"/>
        <v/>
      </c>
      <c r="AO763" s="4" t="str">
        <f t="shared" si="295"/>
        <v/>
      </c>
      <c r="AP763" s="4" t="str">
        <f t="shared" si="296"/>
        <v/>
      </c>
      <c r="AQ763" s="4" t="str">
        <f t="shared" si="297"/>
        <v/>
      </c>
      <c r="AR763" s="4" t="str">
        <f t="shared" si="298"/>
        <v/>
      </c>
    </row>
    <row r="764" spans="8:44" s="1" customFormat="1" ht="14.25" x14ac:dyDescent="0.3">
      <c r="H764" s="50"/>
      <c r="J764" s="54"/>
      <c r="L764" s="54"/>
      <c r="R764" s="45"/>
      <c r="S764" s="54"/>
      <c r="T764" s="54"/>
      <c r="U764" s="54"/>
      <c r="V764" s="44"/>
      <c r="W764" s="27"/>
      <c r="Z764" s="27"/>
      <c r="AA764" s="8"/>
      <c r="AB764" s="81" t="str">
        <f t="shared" si="282"/>
        <v/>
      </c>
      <c r="AC764" s="6" t="str">
        <f t="shared" si="283"/>
        <v/>
      </c>
      <c r="AD764" s="1" t="str">
        <f t="shared" ca="1" si="284"/>
        <v/>
      </c>
      <c r="AE764" s="75" t="str">
        <f t="shared" si="285"/>
        <v/>
      </c>
      <c r="AF764" s="75" t="str">
        <f t="shared" si="286"/>
        <v/>
      </c>
      <c r="AG764" s="4" t="str">
        <f t="shared" si="287"/>
        <v/>
      </c>
      <c r="AH764" s="4" t="str">
        <f t="shared" si="288"/>
        <v/>
      </c>
      <c r="AI764" s="4" t="str">
        <f t="shared" si="289"/>
        <v/>
      </c>
      <c r="AJ764" s="4" t="str">
        <f t="shared" si="290"/>
        <v/>
      </c>
      <c r="AK764" s="4" t="str">
        <f t="shared" si="291"/>
        <v/>
      </c>
      <c r="AL764" s="2" t="str">
        <f t="shared" si="292"/>
        <v/>
      </c>
      <c r="AM764" s="6" t="str">
        <f t="shared" si="293"/>
        <v/>
      </c>
      <c r="AN764" s="4" t="str">
        <f t="shared" si="294"/>
        <v/>
      </c>
      <c r="AO764" s="4" t="str">
        <f t="shared" si="295"/>
        <v/>
      </c>
      <c r="AP764" s="4" t="str">
        <f t="shared" si="296"/>
        <v/>
      </c>
      <c r="AQ764" s="4" t="str">
        <f t="shared" si="297"/>
        <v/>
      </c>
      <c r="AR764" s="4" t="str">
        <f t="shared" si="298"/>
        <v/>
      </c>
    </row>
    <row r="765" spans="8:44" s="1" customFormat="1" ht="14.25" x14ac:dyDescent="0.3">
      <c r="H765" s="50"/>
      <c r="J765" s="54"/>
      <c r="L765" s="54"/>
      <c r="R765" s="45"/>
      <c r="S765" s="54"/>
      <c r="T765" s="54"/>
      <c r="U765" s="54"/>
      <c r="V765" s="44"/>
      <c r="W765" s="27"/>
      <c r="Z765" s="27"/>
      <c r="AA765" s="8"/>
      <c r="AB765" s="81" t="str">
        <f t="shared" ref="AB765:AB828" si="299">IF(X765="","",(AH765-AG765)/AG765)</f>
        <v/>
      </c>
      <c r="AC765" s="6" t="str">
        <f t="shared" ref="AC765:AC828" si="300">IF(X765="","",AH765-AG765)</f>
        <v/>
      </c>
      <c r="AD765" s="1" t="str">
        <f t="shared" ref="AD765:AD828" ca="1" si="301">IF(X765="","",IF(W765="","",IF(Z765="",TODAY()-W765,Z765-W765)))</f>
        <v/>
      </c>
      <c r="AE765" s="75" t="str">
        <f t="shared" ref="AE765:AE828" si="302">IF(X765="","",IF(AE764="",IF(AM765="","",AM765),IF(AM765="",AE764,AE764+AM765)))</f>
        <v/>
      </c>
      <c r="AF765" s="75" t="str">
        <f t="shared" ref="AF765:AF828" si="303">IF(X765="","",IF(AF764="",IF(AN765="","",AN765),IF(AN765="",AF764,AF764+AN765)))</f>
        <v/>
      </c>
      <c r="AG765" s="4" t="str">
        <f t="shared" ref="AG765:AG828" si="304">IF(X765="","",X765*Y765*100+AO765+AP765)</f>
        <v/>
      </c>
      <c r="AH765" s="4" t="str">
        <f t="shared" ref="AH765:AH828" si="305">IF(X765="","",IF(AA765="",C765*Y765*100-AO765-AQ765-AR765,AA765*Y765*100-AO765-AQ765-AR765))</f>
        <v/>
      </c>
      <c r="AI765" s="4" t="str">
        <f t="shared" ref="AI765:AI828" si="306">IF(X765="","",AI764+AC765)</f>
        <v/>
      </c>
      <c r="AJ765" s="4" t="str">
        <f t="shared" ref="AJ765:AJ828" si="307">IF(X765="","",AO765+AP765+AO765+AQ765+AR765)</f>
        <v/>
      </c>
      <c r="AK765" s="4" t="str">
        <f t="shared" ref="AK765:AK828" si="308">IF(X765="","",AK764+AJ765)</f>
        <v/>
      </c>
      <c r="AL765" s="2" t="str">
        <f t="shared" ref="AL765:AL828" si="309">IF(X765="","",0.18%)</f>
        <v/>
      </c>
      <c r="AM765" s="6" t="str">
        <f t="shared" ref="AM765:AM828" si="310">IF(X765="","",IF(Z765="",AC765,""))</f>
        <v/>
      </c>
      <c r="AN765" s="4" t="str">
        <f t="shared" ref="AN765:AN828" si="311">IF(X765="","",IF(Z765="",AH765,""))</f>
        <v/>
      </c>
      <c r="AO765" s="4" t="str">
        <f t="shared" ref="AO765:AO828" si="312">IF(X765="","",IF(LEFT(A765,2)="sh",IF(Y765*100/1000&lt;=1,1,Y765*100/1000),0))</f>
        <v/>
      </c>
      <c r="AP765" s="4" t="str">
        <f t="shared" ref="AP765:AP828" si="313">IF(X765="","",IF(X765*Y765*100*AL765&lt;=5,5,X765*Y765*100*AL765))</f>
        <v/>
      </c>
      <c r="AQ765" s="4" t="str">
        <f t="shared" ref="AQ765:AQ828" si="314">IF(X765="","",IF(AA765="",IF(C765*Y765*100*AL765&lt;=5,5,C765*Y765*100*AL765),IF(AA765*Y765*100*AL765&lt;=5,5,AA765*Y765*100*AL765)))</f>
        <v/>
      </c>
      <c r="AR765" s="4" t="str">
        <f t="shared" ref="AR765:AR828" si="315">IF(X765="","",IF(AA765="",C765*Y765*100*0.001,AA765*Y765*100*0.001))</f>
        <v/>
      </c>
    </row>
    <row r="766" spans="8:44" s="1" customFormat="1" ht="14.25" x14ac:dyDescent="0.3">
      <c r="H766" s="50"/>
      <c r="J766" s="54"/>
      <c r="L766" s="54"/>
      <c r="R766" s="45"/>
      <c r="S766" s="54"/>
      <c r="T766" s="54"/>
      <c r="U766" s="54"/>
      <c r="V766" s="44"/>
      <c r="W766" s="27"/>
      <c r="Z766" s="27"/>
      <c r="AA766" s="8"/>
      <c r="AB766" s="81" t="str">
        <f t="shared" si="299"/>
        <v/>
      </c>
      <c r="AC766" s="6" t="str">
        <f t="shared" si="300"/>
        <v/>
      </c>
      <c r="AD766" s="1" t="str">
        <f t="shared" ca="1" si="301"/>
        <v/>
      </c>
      <c r="AE766" s="75" t="str">
        <f t="shared" si="302"/>
        <v/>
      </c>
      <c r="AF766" s="75" t="str">
        <f t="shared" si="303"/>
        <v/>
      </c>
      <c r="AG766" s="4" t="str">
        <f t="shared" si="304"/>
        <v/>
      </c>
      <c r="AH766" s="4" t="str">
        <f t="shared" si="305"/>
        <v/>
      </c>
      <c r="AI766" s="4" t="str">
        <f t="shared" si="306"/>
        <v/>
      </c>
      <c r="AJ766" s="4" t="str">
        <f t="shared" si="307"/>
        <v/>
      </c>
      <c r="AK766" s="4" t="str">
        <f t="shared" si="308"/>
        <v/>
      </c>
      <c r="AL766" s="2" t="str">
        <f t="shared" si="309"/>
        <v/>
      </c>
      <c r="AM766" s="6" t="str">
        <f t="shared" si="310"/>
        <v/>
      </c>
      <c r="AN766" s="4" t="str">
        <f t="shared" si="311"/>
        <v/>
      </c>
      <c r="AO766" s="4" t="str">
        <f t="shared" si="312"/>
        <v/>
      </c>
      <c r="AP766" s="4" t="str">
        <f t="shared" si="313"/>
        <v/>
      </c>
      <c r="AQ766" s="4" t="str">
        <f t="shared" si="314"/>
        <v/>
      </c>
      <c r="AR766" s="4" t="str">
        <f t="shared" si="315"/>
        <v/>
      </c>
    </row>
    <row r="767" spans="8:44" s="1" customFormat="1" ht="14.25" x14ac:dyDescent="0.3">
      <c r="H767" s="50"/>
      <c r="J767" s="54"/>
      <c r="L767" s="54"/>
      <c r="R767" s="45"/>
      <c r="S767" s="54"/>
      <c r="T767" s="54"/>
      <c r="U767" s="54"/>
      <c r="V767" s="44"/>
      <c r="W767" s="27"/>
      <c r="Z767" s="27"/>
      <c r="AA767" s="8"/>
      <c r="AB767" s="81" t="str">
        <f t="shared" si="299"/>
        <v/>
      </c>
      <c r="AC767" s="6" t="str">
        <f t="shared" si="300"/>
        <v/>
      </c>
      <c r="AD767" s="1" t="str">
        <f t="shared" ca="1" si="301"/>
        <v/>
      </c>
      <c r="AE767" s="75" t="str">
        <f t="shared" si="302"/>
        <v/>
      </c>
      <c r="AF767" s="75" t="str">
        <f t="shared" si="303"/>
        <v/>
      </c>
      <c r="AG767" s="4" t="str">
        <f t="shared" si="304"/>
        <v/>
      </c>
      <c r="AH767" s="4" t="str">
        <f t="shared" si="305"/>
        <v/>
      </c>
      <c r="AI767" s="4" t="str">
        <f t="shared" si="306"/>
        <v/>
      </c>
      <c r="AJ767" s="4" t="str">
        <f t="shared" si="307"/>
        <v/>
      </c>
      <c r="AK767" s="4" t="str">
        <f t="shared" si="308"/>
        <v/>
      </c>
      <c r="AL767" s="2" t="str">
        <f t="shared" si="309"/>
        <v/>
      </c>
      <c r="AM767" s="6" t="str">
        <f t="shared" si="310"/>
        <v/>
      </c>
      <c r="AN767" s="4" t="str">
        <f t="shared" si="311"/>
        <v/>
      </c>
      <c r="AO767" s="4" t="str">
        <f t="shared" si="312"/>
        <v/>
      </c>
      <c r="AP767" s="4" t="str">
        <f t="shared" si="313"/>
        <v/>
      </c>
      <c r="AQ767" s="4" t="str">
        <f t="shared" si="314"/>
        <v/>
      </c>
      <c r="AR767" s="4" t="str">
        <f t="shared" si="315"/>
        <v/>
      </c>
    </row>
    <row r="768" spans="8:44" s="1" customFormat="1" ht="14.25" x14ac:dyDescent="0.3">
      <c r="H768" s="50"/>
      <c r="J768" s="54"/>
      <c r="L768" s="54"/>
      <c r="R768" s="45"/>
      <c r="S768" s="54"/>
      <c r="T768" s="54"/>
      <c r="U768" s="54"/>
      <c r="V768" s="44"/>
      <c r="W768" s="27"/>
      <c r="Z768" s="27"/>
      <c r="AA768" s="8"/>
      <c r="AB768" s="81" t="str">
        <f t="shared" si="299"/>
        <v/>
      </c>
      <c r="AC768" s="6" t="str">
        <f t="shared" si="300"/>
        <v/>
      </c>
      <c r="AD768" s="1" t="str">
        <f t="shared" ca="1" si="301"/>
        <v/>
      </c>
      <c r="AE768" s="75" t="str">
        <f t="shared" si="302"/>
        <v/>
      </c>
      <c r="AF768" s="75" t="str">
        <f t="shared" si="303"/>
        <v/>
      </c>
      <c r="AG768" s="4" t="str">
        <f t="shared" si="304"/>
        <v/>
      </c>
      <c r="AH768" s="4" t="str">
        <f t="shared" si="305"/>
        <v/>
      </c>
      <c r="AI768" s="4" t="str">
        <f t="shared" si="306"/>
        <v/>
      </c>
      <c r="AJ768" s="4" t="str">
        <f t="shared" si="307"/>
        <v/>
      </c>
      <c r="AK768" s="4" t="str">
        <f t="shared" si="308"/>
        <v/>
      </c>
      <c r="AL768" s="2" t="str">
        <f t="shared" si="309"/>
        <v/>
      </c>
      <c r="AM768" s="6" t="str">
        <f t="shared" si="310"/>
        <v/>
      </c>
      <c r="AN768" s="4" t="str">
        <f t="shared" si="311"/>
        <v/>
      </c>
      <c r="AO768" s="4" t="str">
        <f t="shared" si="312"/>
        <v/>
      </c>
      <c r="AP768" s="4" t="str">
        <f t="shared" si="313"/>
        <v/>
      </c>
      <c r="AQ768" s="4" t="str">
        <f t="shared" si="314"/>
        <v/>
      </c>
      <c r="AR768" s="4" t="str">
        <f t="shared" si="315"/>
        <v/>
      </c>
    </row>
    <row r="769" spans="8:44" s="1" customFormat="1" ht="14.25" x14ac:dyDescent="0.3">
      <c r="H769" s="50"/>
      <c r="J769" s="54"/>
      <c r="L769" s="54"/>
      <c r="R769" s="45"/>
      <c r="S769" s="54"/>
      <c r="T769" s="54"/>
      <c r="U769" s="54"/>
      <c r="V769" s="44"/>
      <c r="W769" s="27"/>
      <c r="Z769" s="27"/>
      <c r="AA769" s="8"/>
      <c r="AB769" s="81" t="str">
        <f t="shared" si="299"/>
        <v/>
      </c>
      <c r="AC769" s="6" t="str">
        <f t="shared" si="300"/>
        <v/>
      </c>
      <c r="AD769" s="1" t="str">
        <f t="shared" ca="1" si="301"/>
        <v/>
      </c>
      <c r="AE769" s="75" t="str">
        <f t="shared" si="302"/>
        <v/>
      </c>
      <c r="AF769" s="75" t="str">
        <f t="shared" si="303"/>
        <v/>
      </c>
      <c r="AG769" s="4" t="str">
        <f t="shared" si="304"/>
        <v/>
      </c>
      <c r="AH769" s="4" t="str">
        <f t="shared" si="305"/>
        <v/>
      </c>
      <c r="AI769" s="4" t="str">
        <f t="shared" si="306"/>
        <v/>
      </c>
      <c r="AJ769" s="4" t="str">
        <f t="shared" si="307"/>
        <v/>
      </c>
      <c r="AK769" s="4" t="str">
        <f t="shared" si="308"/>
        <v/>
      </c>
      <c r="AL769" s="2" t="str">
        <f t="shared" si="309"/>
        <v/>
      </c>
      <c r="AM769" s="6" t="str">
        <f t="shared" si="310"/>
        <v/>
      </c>
      <c r="AN769" s="4" t="str">
        <f t="shared" si="311"/>
        <v/>
      </c>
      <c r="AO769" s="4" t="str">
        <f t="shared" si="312"/>
        <v/>
      </c>
      <c r="AP769" s="4" t="str">
        <f t="shared" si="313"/>
        <v/>
      </c>
      <c r="AQ769" s="4" t="str">
        <f t="shared" si="314"/>
        <v/>
      </c>
      <c r="AR769" s="4" t="str">
        <f t="shared" si="315"/>
        <v/>
      </c>
    </row>
    <row r="770" spans="8:44" s="1" customFormat="1" ht="14.25" x14ac:dyDescent="0.3">
      <c r="H770" s="50"/>
      <c r="J770" s="54"/>
      <c r="L770" s="54"/>
      <c r="R770" s="45"/>
      <c r="S770" s="54"/>
      <c r="T770" s="54"/>
      <c r="U770" s="54"/>
      <c r="V770" s="44"/>
      <c r="W770" s="27"/>
      <c r="Z770" s="27"/>
      <c r="AA770" s="8"/>
      <c r="AB770" s="81" t="str">
        <f t="shared" si="299"/>
        <v/>
      </c>
      <c r="AC770" s="6" t="str">
        <f t="shared" si="300"/>
        <v/>
      </c>
      <c r="AD770" s="1" t="str">
        <f t="shared" ca="1" si="301"/>
        <v/>
      </c>
      <c r="AE770" s="75" t="str">
        <f t="shared" si="302"/>
        <v/>
      </c>
      <c r="AF770" s="75" t="str">
        <f t="shared" si="303"/>
        <v/>
      </c>
      <c r="AG770" s="4" t="str">
        <f t="shared" si="304"/>
        <v/>
      </c>
      <c r="AH770" s="4" t="str">
        <f t="shared" si="305"/>
        <v/>
      </c>
      <c r="AI770" s="4" t="str">
        <f t="shared" si="306"/>
        <v/>
      </c>
      <c r="AJ770" s="4" t="str">
        <f t="shared" si="307"/>
        <v/>
      </c>
      <c r="AK770" s="4" t="str">
        <f t="shared" si="308"/>
        <v/>
      </c>
      <c r="AL770" s="2" t="str">
        <f t="shared" si="309"/>
        <v/>
      </c>
      <c r="AM770" s="6" t="str">
        <f t="shared" si="310"/>
        <v/>
      </c>
      <c r="AN770" s="4" t="str">
        <f t="shared" si="311"/>
        <v/>
      </c>
      <c r="AO770" s="4" t="str">
        <f t="shared" si="312"/>
        <v/>
      </c>
      <c r="AP770" s="4" t="str">
        <f t="shared" si="313"/>
        <v/>
      </c>
      <c r="AQ770" s="4" t="str">
        <f t="shared" si="314"/>
        <v/>
      </c>
      <c r="AR770" s="4" t="str">
        <f t="shared" si="315"/>
        <v/>
      </c>
    </row>
    <row r="771" spans="8:44" s="1" customFormat="1" ht="14.25" x14ac:dyDescent="0.3">
      <c r="H771" s="50"/>
      <c r="J771" s="54"/>
      <c r="L771" s="54"/>
      <c r="R771" s="45"/>
      <c r="S771" s="54"/>
      <c r="T771" s="54"/>
      <c r="U771" s="54"/>
      <c r="V771" s="44"/>
      <c r="W771" s="27"/>
      <c r="Z771" s="27"/>
      <c r="AA771" s="8"/>
      <c r="AB771" s="81" t="str">
        <f t="shared" si="299"/>
        <v/>
      </c>
      <c r="AC771" s="6" t="str">
        <f t="shared" si="300"/>
        <v/>
      </c>
      <c r="AD771" s="1" t="str">
        <f t="shared" ca="1" si="301"/>
        <v/>
      </c>
      <c r="AE771" s="75" t="str">
        <f t="shared" si="302"/>
        <v/>
      </c>
      <c r="AF771" s="75" t="str">
        <f t="shared" si="303"/>
        <v/>
      </c>
      <c r="AG771" s="4" t="str">
        <f t="shared" si="304"/>
        <v/>
      </c>
      <c r="AH771" s="4" t="str">
        <f t="shared" si="305"/>
        <v/>
      </c>
      <c r="AI771" s="4" t="str">
        <f t="shared" si="306"/>
        <v/>
      </c>
      <c r="AJ771" s="4" t="str">
        <f t="shared" si="307"/>
        <v/>
      </c>
      <c r="AK771" s="4" t="str">
        <f t="shared" si="308"/>
        <v/>
      </c>
      <c r="AL771" s="2" t="str">
        <f t="shared" si="309"/>
        <v/>
      </c>
      <c r="AM771" s="6" t="str">
        <f t="shared" si="310"/>
        <v/>
      </c>
      <c r="AN771" s="4" t="str">
        <f t="shared" si="311"/>
        <v/>
      </c>
      <c r="AO771" s="4" t="str">
        <f t="shared" si="312"/>
        <v/>
      </c>
      <c r="AP771" s="4" t="str">
        <f t="shared" si="313"/>
        <v/>
      </c>
      <c r="AQ771" s="4" t="str">
        <f t="shared" si="314"/>
        <v/>
      </c>
      <c r="AR771" s="4" t="str">
        <f t="shared" si="315"/>
        <v/>
      </c>
    </row>
    <row r="772" spans="8:44" s="1" customFormat="1" ht="14.25" x14ac:dyDescent="0.3">
      <c r="H772" s="50"/>
      <c r="J772" s="54"/>
      <c r="L772" s="54"/>
      <c r="R772" s="45"/>
      <c r="S772" s="54"/>
      <c r="T772" s="54"/>
      <c r="U772" s="54"/>
      <c r="V772" s="44"/>
      <c r="W772" s="27"/>
      <c r="Z772" s="27"/>
      <c r="AA772" s="8"/>
      <c r="AB772" s="81" t="str">
        <f t="shared" si="299"/>
        <v/>
      </c>
      <c r="AC772" s="6" t="str">
        <f t="shared" si="300"/>
        <v/>
      </c>
      <c r="AD772" s="1" t="str">
        <f t="shared" ca="1" si="301"/>
        <v/>
      </c>
      <c r="AE772" s="75" t="str">
        <f t="shared" si="302"/>
        <v/>
      </c>
      <c r="AF772" s="75" t="str">
        <f t="shared" si="303"/>
        <v/>
      </c>
      <c r="AG772" s="4" t="str">
        <f t="shared" si="304"/>
        <v/>
      </c>
      <c r="AH772" s="4" t="str">
        <f t="shared" si="305"/>
        <v/>
      </c>
      <c r="AI772" s="4" t="str">
        <f t="shared" si="306"/>
        <v/>
      </c>
      <c r="AJ772" s="4" t="str">
        <f t="shared" si="307"/>
        <v/>
      </c>
      <c r="AK772" s="4" t="str">
        <f t="shared" si="308"/>
        <v/>
      </c>
      <c r="AL772" s="2" t="str">
        <f t="shared" si="309"/>
        <v/>
      </c>
      <c r="AM772" s="6" t="str">
        <f t="shared" si="310"/>
        <v/>
      </c>
      <c r="AN772" s="4" t="str">
        <f t="shared" si="311"/>
        <v/>
      </c>
      <c r="AO772" s="4" t="str">
        <f t="shared" si="312"/>
        <v/>
      </c>
      <c r="AP772" s="4" t="str">
        <f t="shared" si="313"/>
        <v/>
      </c>
      <c r="AQ772" s="4" t="str">
        <f t="shared" si="314"/>
        <v/>
      </c>
      <c r="AR772" s="4" t="str">
        <f t="shared" si="315"/>
        <v/>
      </c>
    </row>
    <row r="773" spans="8:44" s="1" customFormat="1" ht="14.25" x14ac:dyDescent="0.3">
      <c r="H773" s="50"/>
      <c r="J773" s="54"/>
      <c r="L773" s="54"/>
      <c r="R773" s="45"/>
      <c r="S773" s="54"/>
      <c r="T773" s="54"/>
      <c r="U773" s="54"/>
      <c r="V773" s="44"/>
      <c r="W773" s="27"/>
      <c r="Z773" s="27"/>
      <c r="AA773" s="8"/>
      <c r="AB773" s="81" t="str">
        <f t="shared" si="299"/>
        <v/>
      </c>
      <c r="AC773" s="6" t="str">
        <f t="shared" si="300"/>
        <v/>
      </c>
      <c r="AD773" s="1" t="str">
        <f t="shared" ca="1" si="301"/>
        <v/>
      </c>
      <c r="AE773" s="75" t="str">
        <f t="shared" si="302"/>
        <v/>
      </c>
      <c r="AF773" s="75" t="str">
        <f t="shared" si="303"/>
        <v/>
      </c>
      <c r="AG773" s="4" t="str">
        <f t="shared" si="304"/>
        <v/>
      </c>
      <c r="AH773" s="4" t="str">
        <f t="shared" si="305"/>
        <v/>
      </c>
      <c r="AI773" s="4" t="str">
        <f t="shared" si="306"/>
        <v/>
      </c>
      <c r="AJ773" s="4" t="str">
        <f t="shared" si="307"/>
        <v/>
      </c>
      <c r="AK773" s="4" t="str">
        <f t="shared" si="308"/>
        <v/>
      </c>
      <c r="AL773" s="2" t="str">
        <f t="shared" si="309"/>
        <v/>
      </c>
      <c r="AM773" s="6" t="str">
        <f t="shared" si="310"/>
        <v/>
      </c>
      <c r="AN773" s="4" t="str">
        <f t="shared" si="311"/>
        <v/>
      </c>
      <c r="AO773" s="4" t="str">
        <f t="shared" si="312"/>
        <v/>
      </c>
      <c r="AP773" s="4" t="str">
        <f t="shared" si="313"/>
        <v/>
      </c>
      <c r="AQ773" s="4" t="str">
        <f t="shared" si="314"/>
        <v/>
      </c>
      <c r="AR773" s="4" t="str">
        <f t="shared" si="315"/>
        <v/>
      </c>
    </row>
    <row r="774" spans="8:44" s="1" customFormat="1" ht="14.25" x14ac:dyDescent="0.3">
      <c r="H774" s="50"/>
      <c r="J774" s="54"/>
      <c r="L774" s="54"/>
      <c r="R774" s="45"/>
      <c r="S774" s="54"/>
      <c r="T774" s="54"/>
      <c r="U774" s="54"/>
      <c r="V774" s="44"/>
      <c r="W774" s="27"/>
      <c r="Z774" s="27"/>
      <c r="AA774" s="8"/>
      <c r="AB774" s="81" t="str">
        <f t="shared" si="299"/>
        <v/>
      </c>
      <c r="AC774" s="6" t="str">
        <f t="shared" si="300"/>
        <v/>
      </c>
      <c r="AD774" s="1" t="str">
        <f t="shared" ca="1" si="301"/>
        <v/>
      </c>
      <c r="AE774" s="75" t="str">
        <f t="shared" si="302"/>
        <v/>
      </c>
      <c r="AF774" s="75" t="str">
        <f t="shared" si="303"/>
        <v/>
      </c>
      <c r="AG774" s="4" t="str">
        <f t="shared" si="304"/>
        <v/>
      </c>
      <c r="AH774" s="4" t="str">
        <f t="shared" si="305"/>
        <v/>
      </c>
      <c r="AI774" s="4" t="str">
        <f t="shared" si="306"/>
        <v/>
      </c>
      <c r="AJ774" s="4" t="str">
        <f t="shared" si="307"/>
        <v/>
      </c>
      <c r="AK774" s="4" t="str">
        <f t="shared" si="308"/>
        <v/>
      </c>
      <c r="AL774" s="2" t="str">
        <f t="shared" si="309"/>
        <v/>
      </c>
      <c r="AM774" s="6" t="str">
        <f t="shared" si="310"/>
        <v/>
      </c>
      <c r="AN774" s="4" t="str">
        <f t="shared" si="311"/>
        <v/>
      </c>
      <c r="AO774" s="4" t="str">
        <f t="shared" si="312"/>
        <v/>
      </c>
      <c r="AP774" s="4" t="str">
        <f t="shared" si="313"/>
        <v/>
      </c>
      <c r="AQ774" s="4" t="str">
        <f t="shared" si="314"/>
        <v/>
      </c>
      <c r="AR774" s="4" t="str">
        <f t="shared" si="315"/>
        <v/>
      </c>
    </row>
    <row r="775" spans="8:44" s="1" customFormat="1" ht="14.25" x14ac:dyDescent="0.3">
      <c r="H775" s="50"/>
      <c r="J775" s="54"/>
      <c r="L775" s="54"/>
      <c r="R775" s="45"/>
      <c r="S775" s="54"/>
      <c r="T775" s="54"/>
      <c r="U775" s="54"/>
      <c r="V775" s="44"/>
      <c r="W775" s="27"/>
      <c r="Z775" s="27"/>
      <c r="AA775" s="8"/>
      <c r="AB775" s="81" t="str">
        <f t="shared" si="299"/>
        <v/>
      </c>
      <c r="AC775" s="6" t="str">
        <f t="shared" si="300"/>
        <v/>
      </c>
      <c r="AD775" s="1" t="str">
        <f t="shared" ca="1" si="301"/>
        <v/>
      </c>
      <c r="AE775" s="75" t="str">
        <f t="shared" si="302"/>
        <v/>
      </c>
      <c r="AF775" s="75" t="str">
        <f t="shared" si="303"/>
        <v/>
      </c>
      <c r="AG775" s="4" t="str">
        <f t="shared" si="304"/>
        <v/>
      </c>
      <c r="AH775" s="4" t="str">
        <f t="shared" si="305"/>
        <v/>
      </c>
      <c r="AI775" s="4" t="str">
        <f t="shared" si="306"/>
        <v/>
      </c>
      <c r="AJ775" s="4" t="str">
        <f t="shared" si="307"/>
        <v/>
      </c>
      <c r="AK775" s="4" t="str">
        <f t="shared" si="308"/>
        <v/>
      </c>
      <c r="AL775" s="2" t="str">
        <f t="shared" si="309"/>
        <v/>
      </c>
      <c r="AM775" s="6" t="str">
        <f t="shared" si="310"/>
        <v/>
      </c>
      <c r="AN775" s="4" t="str">
        <f t="shared" si="311"/>
        <v/>
      </c>
      <c r="AO775" s="4" t="str">
        <f t="shared" si="312"/>
        <v/>
      </c>
      <c r="AP775" s="4" t="str">
        <f t="shared" si="313"/>
        <v/>
      </c>
      <c r="AQ775" s="4" t="str">
        <f t="shared" si="314"/>
        <v/>
      </c>
      <c r="AR775" s="4" t="str">
        <f t="shared" si="315"/>
        <v/>
      </c>
    </row>
    <row r="776" spans="8:44" s="1" customFormat="1" ht="14.25" x14ac:dyDescent="0.3">
      <c r="H776" s="50"/>
      <c r="J776" s="54"/>
      <c r="L776" s="54"/>
      <c r="R776" s="45"/>
      <c r="S776" s="54"/>
      <c r="T776" s="54"/>
      <c r="U776" s="54"/>
      <c r="V776" s="44"/>
      <c r="W776" s="27"/>
      <c r="Z776" s="27"/>
      <c r="AA776" s="8"/>
      <c r="AB776" s="81" t="str">
        <f t="shared" si="299"/>
        <v/>
      </c>
      <c r="AC776" s="6" t="str">
        <f t="shared" si="300"/>
        <v/>
      </c>
      <c r="AD776" s="1" t="str">
        <f t="shared" ca="1" si="301"/>
        <v/>
      </c>
      <c r="AE776" s="75" t="str">
        <f t="shared" si="302"/>
        <v/>
      </c>
      <c r="AF776" s="75" t="str">
        <f t="shared" si="303"/>
        <v/>
      </c>
      <c r="AG776" s="4" t="str">
        <f t="shared" si="304"/>
        <v/>
      </c>
      <c r="AH776" s="4" t="str">
        <f t="shared" si="305"/>
        <v/>
      </c>
      <c r="AI776" s="4" t="str">
        <f t="shared" si="306"/>
        <v/>
      </c>
      <c r="AJ776" s="4" t="str">
        <f t="shared" si="307"/>
        <v/>
      </c>
      <c r="AK776" s="4" t="str">
        <f t="shared" si="308"/>
        <v/>
      </c>
      <c r="AL776" s="2" t="str">
        <f t="shared" si="309"/>
        <v/>
      </c>
      <c r="AM776" s="6" t="str">
        <f t="shared" si="310"/>
        <v/>
      </c>
      <c r="AN776" s="4" t="str">
        <f t="shared" si="311"/>
        <v/>
      </c>
      <c r="AO776" s="4" t="str">
        <f t="shared" si="312"/>
        <v/>
      </c>
      <c r="AP776" s="4" t="str">
        <f t="shared" si="313"/>
        <v/>
      </c>
      <c r="AQ776" s="4" t="str">
        <f t="shared" si="314"/>
        <v/>
      </c>
      <c r="AR776" s="4" t="str">
        <f t="shared" si="315"/>
        <v/>
      </c>
    </row>
    <row r="777" spans="8:44" s="1" customFormat="1" ht="14.25" x14ac:dyDescent="0.3">
      <c r="H777" s="50"/>
      <c r="J777" s="54"/>
      <c r="L777" s="54"/>
      <c r="R777" s="45"/>
      <c r="S777" s="54"/>
      <c r="T777" s="54"/>
      <c r="U777" s="54"/>
      <c r="V777" s="44"/>
      <c r="W777" s="27"/>
      <c r="Z777" s="27"/>
      <c r="AA777" s="8"/>
      <c r="AB777" s="81" t="str">
        <f t="shared" si="299"/>
        <v/>
      </c>
      <c r="AC777" s="6" t="str">
        <f t="shared" si="300"/>
        <v/>
      </c>
      <c r="AD777" s="1" t="str">
        <f t="shared" ca="1" si="301"/>
        <v/>
      </c>
      <c r="AE777" s="75" t="str">
        <f t="shared" si="302"/>
        <v/>
      </c>
      <c r="AF777" s="75" t="str">
        <f t="shared" si="303"/>
        <v/>
      </c>
      <c r="AG777" s="4" t="str">
        <f t="shared" si="304"/>
        <v/>
      </c>
      <c r="AH777" s="4" t="str">
        <f t="shared" si="305"/>
        <v/>
      </c>
      <c r="AI777" s="4" t="str">
        <f t="shared" si="306"/>
        <v/>
      </c>
      <c r="AJ777" s="4" t="str">
        <f t="shared" si="307"/>
        <v/>
      </c>
      <c r="AK777" s="4" t="str">
        <f t="shared" si="308"/>
        <v/>
      </c>
      <c r="AL777" s="2" t="str">
        <f t="shared" si="309"/>
        <v/>
      </c>
      <c r="AM777" s="6" t="str">
        <f t="shared" si="310"/>
        <v/>
      </c>
      <c r="AN777" s="4" t="str">
        <f t="shared" si="311"/>
        <v/>
      </c>
      <c r="AO777" s="4" t="str">
        <f t="shared" si="312"/>
        <v/>
      </c>
      <c r="AP777" s="4" t="str">
        <f t="shared" si="313"/>
        <v/>
      </c>
      <c r="AQ777" s="4" t="str">
        <f t="shared" si="314"/>
        <v/>
      </c>
      <c r="AR777" s="4" t="str">
        <f t="shared" si="315"/>
        <v/>
      </c>
    </row>
    <row r="778" spans="8:44" s="1" customFormat="1" ht="14.25" x14ac:dyDescent="0.3">
      <c r="H778" s="50"/>
      <c r="J778" s="54"/>
      <c r="L778" s="54"/>
      <c r="R778" s="45"/>
      <c r="S778" s="54"/>
      <c r="T778" s="54"/>
      <c r="U778" s="54"/>
      <c r="V778" s="44"/>
      <c r="W778" s="27"/>
      <c r="Z778" s="27"/>
      <c r="AA778" s="8"/>
      <c r="AB778" s="81" t="str">
        <f t="shared" si="299"/>
        <v/>
      </c>
      <c r="AC778" s="6" t="str">
        <f t="shared" si="300"/>
        <v/>
      </c>
      <c r="AD778" s="1" t="str">
        <f t="shared" ca="1" si="301"/>
        <v/>
      </c>
      <c r="AE778" s="75" t="str">
        <f t="shared" si="302"/>
        <v/>
      </c>
      <c r="AF778" s="75" t="str">
        <f t="shared" si="303"/>
        <v/>
      </c>
      <c r="AG778" s="4" t="str">
        <f t="shared" si="304"/>
        <v/>
      </c>
      <c r="AH778" s="4" t="str">
        <f t="shared" si="305"/>
        <v/>
      </c>
      <c r="AI778" s="4" t="str">
        <f t="shared" si="306"/>
        <v/>
      </c>
      <c r="AJ778" s="4" t="str">
        <f t="shared" si="307"/>
        <v/>
      </c>
      <c r="AK778" s="4" t="str">
        <f t="shared" si="308"/>
        <v/>
      </c>
      <c r="AL778" s="2" t="str">
        <f t="shared" si="309"/>
        <v/>
      </c>
      <c r="AM778" s="6" t="str">
        <f t="shared" si="310"/>
        <v/>
      </c>
      <c r="AN778" s="4" t="str">
        <f t="shared" si="311"/>
        <v/>
      </c>
      <c r="AO778" s="4" t="str">
        <f t="shared" si="312"/>
        <v/>
      </c>
      <c r="AP778" s="4" t="str">
        <f t="shared" si="313"/>
        <v/>
      </c>
      <c r="AQ778" s="4" t="str">
        <f t="shared" si="314"/>
        <v/>
      </c>
      <c r="AR778" s="4" t="str">
        <f t="shared" si="315"/>
        <v/>
      </c>
    </row>
    <row r="779" spans="8:44" s="1" customFormat="1" ht="14.25" x14ac:dyDescent="0.3">
      <c r="H779" s="50"/>
      <c r="J779" s="54"/>
      <c r="L779" s="54"/>
      <c r="R779" s="45"/>
      <c r="S779" s="54"/>
      <c r="T779" s="54"/>
      <c r="U779" s="54"/>
      <c r="V779" s="44"/>
      <c r="W779" s="27"/>
      <c r="Z779" s="27"/>
      <c r="AA779" s="8"/>
      <c r="AB779" s="81" t="str">
        <f t="shared" si="299"/>
        <v/>
      </c>
      <c r="AC779" s="6" t="str">
        <f t="shared" si="300"/>
        <v/>
      </c>
      <c r="AD779" s="1" t="str">
        <f t="shared" ca="1" si="301"/>
        <v/>
      </c>
      <c r="AE779" s="75" t="str">
        <f t="shared" si="302"/>
        <v/>
      </c>
      <c r="AF779" s="75" t="str">
        <f t="shared" si="303"/>
        <v/>
      </c>
      <c r="AG779" s="4" t="str">
        <f t="shared" si="304"/>
        <v/>
      </c>
      <c r="AH779" s="4" t="str">
        <f t="shared" si="305"/>
        <v/>
      </c>
      <c r="AI779" s="4" t="str">
        <f t="shared" si="306"/>
        <v/>
      </c>
      <c r="AJ779" s="4" t="str">
        <f t="shared" si="307"/>
        <v/>
      </c>
      <c r="AK779" s="4" t="str">
        <f t="shared" si="308"/>
        <v/>
      </c>
      <c r="AL779" s="2" t="str">
        <f t="shared" si="309"/>
        <v/>
      </c>
      <c r="AM779" s="6" t="str">
        <f t="shared" si="310"/>
        <v/>
      </c>
      <c r="AN779" s="4" t="str">
        <f t="shared" si="311"/>
        <v/>
      </c>
      <c r="AO779" s="4" t="str">
        <f t="shared" si="312"/>
        <v/>
      </c>
      <c r="AP779" s="4" t="str">
        <f t="shared" si="313"/>
        <v/>
      </c>
      <c r="AQ779" s="4" t="str">
        <f t="shared" si="314"/>
        <v/>
      </c>
      <c r="AR779" s="4" t="str">
        <f t="shared" si="315"/>
        <v/>
      </c>
    </row>
    <row r="780" spans="8:44" s="1" customFormat="1" ht="14.25" x14ac:dyDescent="0.3">
      <c r="H780" s="50"/>
      <c r="J780" s="54"/>
      <c r="L780" s="54"/>
      <c r="R780" s="45"/>
      <c r="S780" s="54"/>
      <c r="T780" s="54"/>
      <c r="U780" s="54"/>
      <c r="V780" s="44"/>
      <c r="W780" s="27"/>
      <c r="Z780" s="27"/>
      <c r="AA780" s="8"/>
      <c r="AB780" s="81" t="str">
        <f t="shared" si="299"/>
        <v/>
      </c>
      <c r="AC780" s="6" t="str">
        <f t="shared" si="300"/>
        <v/>
      </c>
      <c r="AD780" s="1" t="str">
        <f t="shared" ca="1" si="301"/>
        <v/>
      </c>
      <c r="AE780" s="75" t="str">
        <f t="shared" si="302"/>
        <v/>
      </c>
      <c r="AF780" s="75" t="str">
        <f t="shared" si="303"/>
        <v/>
      </c>
      <c r="AG780" s="4" t="str">
        <f t="shared" si="304"/>
        <v/>
      </c>
      <c r="AH780" s="4" t="str">
        <f t="shared" si="305"/>
        <v/>
      </c>
      <c r="AI780" s="4" t="str">
        <f t="shared" si="306"/>
        <v/>
      </c>
      <c r="AJ780" s="4" t="str">
        <f t="shared" si="307"/>
        <v/>
      </c>
      <c r="AK780" s="4" t="str">
        <f t="shared" si="308"/>
        <v/>
      </c>
      <c r="AL780" s="2" t="str">
        <f t="shared" si="309"/>
        <v/>
      </c>
      <c r="AM780" s="6" t="str">
        <f t="shared" si="310"/>
        <v/>
      </c>
      <c r="AN780" s="4" t="str">
        <f t="shared" si="311"/>
        <v/>
      </c>
      <c r="AO780" s="4" t="str">
        <f t="shared" si="312"/>
        <v/>
      </c>
      <c r="AP780" s="4" t="str">
        <f t="shared" si="313"/>
        <v/>
      </c>
      <c r="AQ780" s="4" t="str">
        <f t="shared" si="314"/>
        <v/>
      </c>
      <c r="AR780" s="4" t="str">
        <f t="shared" si="315"/>
        <v/>
      </c>
    </row>
    <row r="781" spans="8:44" s="1" customFormat="1" ht="14.25" x14ac:dyDescent="0.3">
      <c r="H781" s="50"/>
      <c r="J781" s="54"/>
      <c r="L781" s="54"/>
      <c r="R781" s="45"/>
      <c r="S781" s="54"/>
      <c r="T781" s="54"/>
      <c r="U781" s="54"/>
      <c r="V781" s="44"/>
      <c r="W781" s="27"/>
      <c r="Z781" s="27"/>
      <c r="AA781" s="8"/>
      <c r="AB781" s="81" t="str">
        <f t="shared" si="299"/>
        <v/>
      </c>
      <c r="AC781" s="6" t="str">
        <f t="shared" si="300"/>
        <v/>
      </c>
      <c r="AD781" s="1" t="str">
        <f t="shared" ca="1" si="301"/>
        <v/>
      </c>
      <c r="AE781" s="75" t="str">
        <f t="shared" si="302"/>
        <v/>
      </c>
      <c r="AF781" s="75" t="str">
        <f t="shared" si="303"/>
        <v/>
      </c>
      <c r="AG781" s="4" t="str">
        <f t="shared" si="304"/>
        <v/>
      </c>
      <c r="AH781" s="4" t="str">
        <f t="shared" si="305"/>
        <v/>
      </c>
      <c r="AI781" s="4" t="str">
        <f t="shared" si="306"/>
        <v/>
      </c>
      <c r="AJ781" s="4" t="str">
        <f t="shared" si="307"/>
        <v/>
      </c>
      <c r="AK781" s="4" t="str">
        <f t="shared" si="308"/>
        <v/>
      </c>
      <c r="AL781" s="2" t="str">
        <f t="shared" si="309"/>
        <v/>
      </c>
      <c r="AM781" s="6" t="str">
        <f t="shared" si="310"/>
        <v/>
      </c>
      <c r="AN781" s="4" t="str">
        <f t="shared" si="311"/>
        <v/>
      </c>
      <c r="AO781" s="4" t="str">
        <f t="shared" si="312"/>
        <v/>
      </c>
      <c r="AP781" s="4" t="str">
        <f t="shared" si="313"/>
        <v/>
      </c>
      <c r="AQ781" s="4" t="str">
        <f t="shared" si="314"/>
        <v/>
      </c>
      <c r="AR781" s="4" t="str">
        <f t="shared" si="315"/>
        <v/>
      </c>
    </row>
    <row r="782" spans="8:44" s="1" customFormat="1" ht="14.25" x14ac:dyDescent="0.3">
      <c r="H782" s="50"/>
      <c r="J782" s="54"/>
      <c r="L782" s="54"/>
      <c r="R782" s="45"/>
      <c r="S782" s="54"/>
      <c r="T782" s="54"/>
      <c r="U782" s="54"/>
      <c r="V782" s="44"/>
      <c r="W782" s="27"/>
      <c r="Z782" s="27"/>
      <c r="AA782" s="8"/>
      <c r="AB782" s="81" t="str">
        <f t="shared" si="299"/>
        <v/>
      </c>
      <c r="AC782" s="6" t="str">
        <f t="shared" si="300"/>
        <v/>
      </c>
      <c r="AD782" s="1" t="str">
        <f t="shared" ca="1" si="301"/>
        <v/>
      </c>
      <c r="AE782" s="75" t="str">
        <f t="shared" si="302"/>
        <v/>
      </c>
      <c r="AF782" s="75" t="str">
        <f t="shared" si="303"/>
        <v/>
      </c>
      <c r="AG782" s="4" t="str">
        <f t="shared" si="304"/>
        <v/>
      </c>
      <c r="AH782" s="4" t="str">
        <f t="shared" si="305"/>
        <v/>
      </c>
      <c r="AI782" s="4" t="str">
        <f t="shared" si="306"/>
        <v/>
      </c>
      <c r="AJ782" s="4" t="str">
        <f t="shared" si="307"/>
        <v/>
      </c>
      <c r="AK782" s="4" t="str">
        <f t="shared" si="308"/>
        <v/>
      </c>
      <c r="AL782" s="2" t="str">
        <f t="shared" si="309"/>
        <v/>
      </c>
      <c r="AM782" s="6" t="str">
        <f t="shared" si="310"/>
        <v/>
      </c>
      <c r="AN782" s="4" t="str">
        <f t="shared" si="311"/>
        <v/>
      </c>
      <c r="AO782" s="4" t="str">
        <f t="shared" si="312"/>
        <v/>
      </c>
      <c r="AP782" s="4" t="str">
        <f t="shared" si="313"/>
        <v/>
      </c>
      <c r="AQ782" s="4" t="str">
        <f t="shared" si="314"/>
        <v/>
      </c>
      <c r="AR782" s="4" t="str">
        <f t="shared" si="315"/>
        <v/>
      </c>
    </row>
    <row r="783" spans="8:44" s="1" customFormat="1" ht="14.25" x14ac:dyDescent="0.3">
      <c r="H783" s="50"/>
      <c r="J783" s="54"/>
      <c r="L783" s="54"/>
      <c r="R783" s="45"/>
      <c r="S783" s="54"/>
      <c r="T783" s="54"/>
      <c r="U783" s="54"/>
      <c r="V783" s="44"/>
      <c r="W783" s="27"/>
      <c r="Z783" s="27"/>
      <c r="AA783" s="8"/>
      <c r="AB783" s="81" t="str">
        <f t="shared" si="299"/>
        <v/>
      </c>
      <c r="AC783" s="6" t="str">
        <f t="shared" si="300"/>
        <v/>
      </c>
      <c r="AD783" s="1" t="str">
        <f t="shared" ca="1" si="301"/>
        <v/>
      </c>
      <c r="AE783" s="75" t="str">
        <f t="shared" si="302"/>
        <v/>
      </c>
      <c r="AF783" s="75" t="str">
        <f t="shared" si="303"/>
        <v/>
      </c>
      <c r="AG783" s="4" t="str">
        <f t="shared" si="304"/>
        <v/>
      </c>
      <c r="AH783" s="4" t="str">
        <f t="shared" si="305"/>
        <v/>
      </c>
      <c r="AI783" s="4" t="str">
        <f t="shared" si="306"/>
        <v/>
      </c>
      <c r="AJ783" s="4" t="str">
        <f t="shared" si="307"/>
        <v/>
      </c>
      <c r="AK783" s="4" t="str">
        <f t="shared" si="308"/>
        <v/>
      </c>
      <c r="AL783" s="2" t="str">
        <f t="shared" si="309"/>
        <v/>
      </c>
      <c r="AM783" s="6" t="str">
        <f t="shared" si="310"/>
        <v/>
      </c>
      <c r="AN783" s="4" t="str">
        <f t="shared" si="311"/>
        <v/>
      </c>
      <c r="AO783" s="4" t="str">
        <f t="shared" si="312"/>
        <v/>
      </c>
      <c r="AP783" s="4" t="str">
        <f t="shared" si="313"/>
        <v/>
      </c>
      <c r="AQ783" s="4" t="str">
        <f t="shared" si="314"/>
        <v/>
      </c>
      <c r="AR783" s="4" t="str">
        <f t="shared" si="315"/>
        <v/>
      </c>
    </row>
    <row r="784" spans="8:44" s="1" customFormat="1" ht="14.25" x14ac:dyDescent="0.3">
      <c r="H784" s="50"/>
      <c r="J784" s="54"/>
      <c r="L784" s="54"/>
      <c r="R784" s="45"/>
      <c r="S784" s="54"/>
      <c r="T784" s="54"/>
      <c r="U784" s="54"/>
      <c r="V784" s="44"/>
      <c r="W784" s="27"/>
      <c r="Z784" s="27"/>
      <c r="AA784" s="8"/>
      <c r="AB784" s="81" t="str">
        <f t="shared" si="299"/>
        <v/>
      </c>
      <c r="AC784" s="6" t="str">
        <f t="shared" si="300"/>
        <v/>
      </c>
      <c r="AD784" s="1" t="str">
        <f t="shared" ca="1" si="301"/>
        <v/>
      </c>
      <c r="AE784" s="75" t="str">
        <f t="shared" si="302"/>
        <v/>
      </c>
      <c r="AF784" s="75" t="str">
        <f t="shared" si="303"/>
        <v/>
      </c>
      <c r="AG784" s="4" t="str">
        <f t="shared" si="304"/>
        <v/>
      </c>
      <c r="AH784" s="4" t="str">
        <f t="shared" si="305"/>
        <v/>
      </c>
      <c r="AI784" s="4" t="str">
        <f t="shared" si="306"/>
        <v/>
      </c>
      <c r="AJ784" s="4" t="str">
        <f t="shared" si="307"/>
        <v/>
      </c>
      <c r="AK784" s="4" t="str">
        <f t="shared" si="308"/>
        <v/>
      </c>
      <c r="AL784" s="2" t="str">
        <f t="shared" si="309"/>
        <v/>
      </c>
      <c r="AM784" s="6" t="str">
        <f t="shared" si="310"/>
        <v/>
      </c>
      <c r="AN784" s="4" t="str">
        <f t="shared" si="311"/>
        <v/>
      </c>
      <c r="AO784" s="4" t="str">
        <f t="shared" si="312"/>
        <v/>
      </c>
      <c r="AP784" s="4" t="str">
        <f t="shared" si="313"/>
        <v/>
      </c>
      <c r="AQ784" s="4" t="str">
        <f t="shared" si="314"/>
        <v/>
      </c>
      <c r="AR784" s="4" t="str">
        <f t="shared" si="315"/>
        <v/>
      </c>
    </row>
    <row r="785" spans="8:44" s="1" customFormat="1" ht="14.25" x14ac:dyDescent="0.3">
      <c r="H785" s="50"/>
      <c r="J785" s="54"/>
      <c r="L785" s="54"/>
      <c r="R785" s="45"/>
      <c r="S785" s="54"/>
      <c r="T785" s="54"/>
      <c r="U785" s="54"/>
      <c r="V785" s="44"/>
      <c r="W785" s="27"/>
      <c r="Z785" s="27"/>
      <c r="AA785" s="8"/>
      <c r="AB785" s="81" t="str">
        <f t="shared" si="299"/>
        <v/>
      </c>
      <c r="AC785" s="6" t="str">
        <f t="shared" si="300"/>
        <v/>
      </c>
      <c r="AD785" s="1" t="str">
        <f t="shared" ca="1" si="301"/>
        <v/>
      </c>
      <c r="AE785" s="75" t="str">
        <f t="shared" si="302"/>
        <v/>
      </c>
      <c r="AF785" s="75" t="str">
        <f t="shared" si="303"/>
        <v/>
      </c>
      <c r="AG785" s="4" t="str">
        <f t="shared" si="304"/>
        <v/>
      </c>
      <c r="AH785" s="4" t="str">
        <f t="shared" si="305"/>
        <v/>
      </c>
      <c r="AI785" s="4" t="str">
        <f t="shared" si="306"/>
        <v/>
      </c>
      <c r="AJ785" s="4" t="str">
        <f t="shared" si="307"/>
        <v/>
      </c>
      <c r="AK785" s="4" t="str">
        <f t="shared" si="308"/>
        <v/>
      </c>
      <c r="AL785" s="2" t="str">
        <f t="shared" si="309"/>
        <v/>
      </c>
      <c r="AM785" s="6" t="str">
        <f t="shared" si="310"/>
        <v/>
      </c>
      <c r="AN785" s="4" t="str">
        <f t="shared" si="311"/>
        <v/>
      </c>
      <c r="AO785" s="4" t="str">
        <f t="shared" si="312"/>
        <v/>
      </c>
      <c r="AP785" s="4" t="str">
        <f t="shared" si="313"/>
        <v/>
      </c>
      <c r="AQ785" s="4" t="str">
        <f t="shared" si="314"/>
        <v/>
      </c>
      <c r="AR785" s="4" t="str">
        <f t="shared" si="315"/>
        <v/>
      </c>
    </row>
    <row r="786" spans="8:44" s="1" customFormat="1" ht="14.25" x14ac:dyDescent="0.3">
      <c r="H786" s="50"/>
      <c r="J786" s="54"/>
      <c r="L786" s="54"/>
      <c r="R786" s="45"/>
      <c r="S786" s="54"/>
      <c r="T786" s="54"/>
      <c r="U786" s="54"/>
      <c r="V786" s="44"/>
      <c r="W786" s="27"/>
      <c r="Z786" s="27"/>
      <c r="AA786" s="8"/>
      <c r="AB786" s="81" t="str">
        <f t="shared" si="299"/>
        <v/>
      </c>
      <c r="AC786" s="6" t="str">
        <f t="shared" si="300"/>
        <v/>
      </c>
      <c r="AD786" s="1" t="str">
        <f t="shared" ca="1" si="301"/>
        <v/>
      </c>
      <c r="AE786" s="75" t="str">
        <f t="shared" si="302"/>
        <v/>
      </c>
      <c r="AF786" s="75" t="str">
        <f t="shared" si="303"/>
        <v/>
      </c>
      <c r="AG786" s="4" t="str">
        <f t="shared" si="304"/>
        <v/>
      </c>
      <c r="AH786" s="4" t="str">
        <f t="shared" si="305"/>
        <v/>
      </c>
      <c r="AI786" s="4" t="str">
        <f t="shared" si="306"/>
        <v/>
      </c>
      <c r="AJ786" s="4" t="str">
        <f t="shared" si="307"/>
        <v/>
      </c>
      <c r="AK786" s="4" t="str">
        <f t="shared" si="308"/>
        <v/>
      </c>
      <c r="AL786" s="2" t="str">
        <f t="shared" si="309"/>
        <v/>
      </c>
      <c r="AM786" s="6" t="str">
        <f t="shared" si="310"/>
        <v/>
      </c>
      <c r="AN786" s="4" t="str">
        <f t="shared" si="311"/>
        <v/>
      </c>
      <c r="AO786" s="4" t="str">
        <f t="shared" si="312"/>
        <v/>
      </c>
      <c r="AP786" s="4" t="str">
        <f t="shared" si="313"/>
        <v/>
      </c>
      <c r="AQ786" s="4" t="str">
        <f t="shared" si="314"/>
        <v/>
      </c>
      <c r="AR786" s="4" t="str">
        <f t="shared" si="315"/>
        <v/>
      </c>
    </row>
    <row r="787" spans="8:44" s="1" customFormat="1" ht="14.25" x14ac:dyDescent="0.3">
      <c r="H787" s="50"/>
      <c r="J787" s="54"/>
      <c r="L787" s="54"/>
      <c r="R787" s="45"/>
      <c r="S787" s="54"/>
      <c r="T787" s="54"/>
      <c r="U787" s="54"/>
      <c r="V787" s="44"/>
      <c r="W787" s="27"/>
      <c r="Z787" s="27"/>
      <c r="AA787" s="8"/>
      <c r="AB787" s="81" t="str">
        <f t="shared" si="299"/>
        <v/>
      </c>
      <c r="AC787" s="6" t="str">
        <f t="shared" si="300"/>
        <v/>
      </c>
      <c r="AD787" s="1" t="str">
        <f t="shared" ca="1" si="301"/>
        <v/>
      </c>
      <c r="AE787" s="75" t="str">
        <f t="shared" si="302"/>
        <v/>
      </c>
      <c r="AF787" s="75" t="str">
        <f t="shared" si="303"/>
        <v/>
      </c>
      <c r="AG787" s="4" t="str">
        <f t="shared" si="304"/>
        <v/>
      </c>
      <c r="AH787" s="4" t="str">
        <f t="shared" si="305"/>
        <v/>
      </c>
      <c r="AI787" s="4" t="str">
        <f t="shared" si="306"/>
        <v/>
      </c>
      <c r="AJ787" s="4" t="str">
        <f t="shared" si="307"/>
        <v/>
      </c>
      <c r="AK787" s="4" t="str">
        <f t="shared" si="308"/>
        <v/>
      </c>
      <c r="AL787" s="2" t="str">
        <f t="shared" si="309"/>
        <v/>
      </c>
      <c r="AM787" s="6" t="str">
        <f t="shared" si="310"/>
        <v/>
      </c>
      <c r="AN787" s="4" t="str">
        <f t="shared" si="311"/>
        <v/>
      </c>
      <c r="AO787" s="4" t="str">
        <f t="shared" si="312"/>
        <v/>
      </c>
      <c r="AP787" s="4" t="str">
        <f t="shared" si="313"/>
        <v/>
      </c>
      <c r="AQ787" s="4" t="str">
        <f t="shared" si="314"/>
        <v/>
      </c>
      <c r="AR787" s="4" t="str">
        <f t="shared" si="315"/>
        <v/>
      </c>
    </row>
    <row r="788" spans="8:44" s="1" customFormat="1" ht="14.25" x14ac:dyDescent="0.3">
      <c r="H788" s="50"/>
      <c r="J788" s="54"/>
      <c r="L788" s="54"/>
      <c r="R788" s="45"/>
      <c r="S788" s="54"/>
      <c r="T788" s="54"/>
      <c r="U788" s="54"/>
      <c r="V788" s="44"/>
      <c r="W788" s="27"/>
      <c r="Z788" s="27"/>
      <c r="AA788" s="8"/>
      <c r="AB788" s="81" t="str">
        <f t="shared" si="299"/>
        <v/>
      </c>
      <c r="AC788" s="6" t="str">
        <f t="shared" si="300"/>
        <v/>
      </c>
      <c r="AD788" s="1" t="str">
        <f t="shared" ca="1" si="301"/>
        <v/>
      </c>
      <c r="AE788" s="75" t="str">
        <f t="shared" si="302"/>
        <v/>
      </c>
      <c r="AF788" s="75" t="str">
        <f t="shared" si="303"/>
        <v/>
      </c>
      <c r="AG788" s="4" t="str">
        <f t="shared" si="304"/>
        <v/>
      </c>
      <c r="AH788" s="4" t="str">
        <f t="shared" si="305"/>
        <v/>
      </c>
      <c r="AI788" s="4" t="str">
        <f t="shared" si="306"/>
        <v/>
      </c>
      <c r="AJ788" s="4" t="str">
        <f t="shared" si="307"/>
        <v/>
      </c>
      <c r="AK788" s="4" t="str">
        <f t="shared" si="308"/>
        <v/>
      </c>
      <c r="AL788" s="2" t="str">
        <f t="shared" si="309"/>
        <v/>
      </c>
      <c r="AM788" s="6" t="str">
        <f t="shared" si="310"/>
        <v/>
      </c>
      <c r="AN788" s="4" t="str">
        <f t="shared" si="311"/>
        <v/>
      </c>
      <c r="AO788" s="4" t="str">
        <f t="shared" si="312"/>
        <v/>
      </c>
      <c r="AP788" s="4" t="str">
        <f t="shared" si="313"/>
        <v/>
      </c>
      <c r="AQ788" s="4" t="str">
        <f t="shared" si="314"/>
        <v/>
      </c>
      <c r="AR788" s="4" t="str">
        <f t="shared" si="315"/>
        <v/>
      </c>
    </row>
    <row r="789" spans="8:44" s="1" customFormat="1" ht="14.25" x14ac:dyDescent="0.3">
      <c r="H789" s="50"/>
      <c r="J789" s="54"/>
      <c r="L789" s="54"/>
      <c r="R789" s="45"/>
      <c r="S789" s="54"/>
      <c r="T789" s="54"/>
      <c r="U789" s="54"/>
      <c r="V789" s="44"/>
      <c r="W789" s="27"/>
      <c r="Z789" s="27"/>
      <c r="AA789" s="8"/>
      <c r="AB789" s="81" t="str">
        <f t="shared" si="299"/>
        <v/>
      </c>
      <c r="AC789" s="6" t="str">
        <f t="shared" si="300"/>
        <v/>
      </c>
      <c r="AD789" s="1" t="str">
        <f t="shared" ca="1" si="301"/>
        <v/>
      </c>
      <c r="AE789" s="75" t="str">
        <f t="shared" si="302"/>
        <v/>
      </c>
      <c r="AF789" s="75" t="str">
        <f t="shared" si="303"/>
        <v/>
      </c>
      <c r="AG789" s="4" t="str">
        <f t="shared" si="304"/>
        <v/>
      </c>
      <c r="AH789" s="4" t="str">
        <f t="shared" si="305"/>
        <v/>
      </c>
      <c r="AI789" s="4" t="str">
        <f t="shared" si="306"/>
        <v/>
      </c>
      <c r="AJ789" s="4" t="str">
        <f t="shared" si="307"/>
        <v/>
      </c>
      <c r="AK789" s="4" t="str">
        <f t="shared" si="308"/>
        <v/>
      </c>
      <c r="AL789" s="2" t="str">
        <f t="shared" si="309"/>
        <v/>
      </c>
      <c r="AM789" s="6" t="str">
        <f t="shared" si="310"/>
        <v/>
      </c>
      <c r="AN789" s="4" t="str">
        <f t="shared" si="311"/>
        <v/>
      </c>
      <c r="AO789" s="4" t="str">
        <f t="shared" si="312"/>
        <v/>
      </c>
      <c r="AP789" s="4" t="str">
        <f t="shared" si="313"/>
        <v/>
      </c>
      <c r="AQ789" s="4" t="str">
        <f t="shared" si="314"/>
        <v/>
      </c>
      <c r="AR789" s="4" t="str">
        <f t="shared" si="315"/>
        <v/>
      </c>
    </row>
    <row r="790" spans="8:44" s="1" customFormat="1" ht="14.25" x14ac:dyDescent="0.3">
      <c r="H790" s="50"/>
      <c r="J790" s="54"/>
      <c r="L790" s="54"/>
      <c r="R790" s="45"/>
      <c r="S790" s="54"/>
      <c r="T790" s="54"/>
      <c r="U790" s="54"/>
      <c r="V790" s="44"/>
      <c r="W790" s="27"/>
      <c r="Z790" s="27"/>
      <c r="AA790" s="8"/>
      <c r="AB790" s="81" t="str">
        <f t="shared" si="299"/>
        <v/>
      </c>
      <c r="AC790" s="6" t="str">
        <f t="shared" si="300"/>
        <v/>
      </c>
      <c r="AD790" s="1" t="str">
        <f t="shared" ca="1" si="301"/>
        <v/>
      </c>
      <c r="AE790" s="75" t="str">
        <f t="shared" si="302"/>
        <v/>
      </c>
      <c r="AF790" s="75" t="str">
        <f t="shared" si="303"/>
        <v/>
      </c>
      <c r="AG790" s="4" t="str">
        <f t="shared" si="304"/>
        <v/>
      </c>
      <c r="AH790" s="4" t="str">
        <f t="shared" si="305"/>
        <v/>
      </c>
      <c r="AI790" s="4" t="str">
        <f t="shared" si="306"/>
        <v/>
      </c>
      <c r="AJ790" s="4" t="str">
        <f t="shared" si="307"/>
        <v/>
      </c>
      <c r="AK790" s="4" t="str">
        <f t="shared" si="308"/>
        <v/>
      </c>
      <c r="AL790" s="2" t="str">
        <f t="shared" si="309"/>
        <v/>
      </c>
      <c r="AM790" s="6" t="str">
        <f t="shared" si="310"/>
        <v/>
      </c>
      <c r="AN790" s="4" t="str">
        <f t="shared" si="311"/>
        <v/>
      </c>
      <c r="AO790" s="4" t="str">
        <f t="shared" si="312"/>
        <v/>
      </c>
      <c r="AP790" s="4" t="str">
        <f t="shared" si="313"/>
        <v/>
      </c>
      <c r="AQ790" s="4" t="str">
        <f t="shared" si="314"/>
        <v/>
      </c>
      <c r="AR790" s="4" t="str">
        <f t="shared" si="315"/>
        <v/>
      </c>
    </row>
    <row r="791" spans="8:44" s="1" customFormat="1" ht="14.25" x14ac:dyDescent="0.3">
      <c r="H791" s="50"/>
      <c r="J791" s="54"/>
      <c r="L791" s="54"/>
      <c r="R791" s="45"/>
      <c r="S791" s="54"/>
      <c r="T791" s="54"/>
      <c r="U791" s="54"/>
      <c r="V791" s="44"/>
      <c r="W791" s="27"/>
      <c r="Z791" s="27"/>
      <c r="AA791" s="8"/>
      <c r="AB791" s="81" t="str">
        <f t="shared" si="299"/>
        <v/>
      </c>
      <c r="AC791" s="6" t="str">
        <f t="shared" si="300"/>
        <v/>
      </c>
      <c r="AD791" s="1" t="str">
        <f t="shared" ca="1" si="301"/>
        <v/>
      </c>
      <c r="AE791" s="75" t="str">
        <f t="shared" si="302"/>
        <v/>
      </c>
      <c r="AF791" s="75" t="str">
        <f t="shared" si="303"/>
        <v/>
      </c>
      <c r="AG791" s="4" t="str">
        <f t="shared" si="304"/>
        <v/>
      </c>
      <c r="AH791" s="4" t="str">
        <f t="shared" si="305"/>
        <v/>
      </c>
      <c r="AI791" s="4" t="str">
        <f t="shared" si="306"/>
        <v/>
      </c>
      <c r="AJ791" s="4" t="str">
        <f t="shared" si="307"/>
        <v/>
      </c>
      <c r="AK791" s="4" t="str">
        <f t="shared" si="308"/>
        <v/>
      </c>
      <c r="AL791" s="2" t="str">
        <f t="shared" si="309"/>
        <v/>
      </c>
      <c r="AM791" s="6" t="str">
        <f t="shared" si="310"/>
        <v/>
      </c>
      <c r="AN791" s="4" t="str">
        <f t="shared" si="311"/>
        <v/>
      </c>
      <c r="AO791" s="4" t="str">
        <f t="shared" si="312"/>
        <v/>
      </c>
      <c r="AP791" s="4" t="str">
        <f t="shared" si="313"/>
        <v/>
      </c>
      <c r="AQ791" s="4" t="str">
        <f t="shared" si="314"/>
        <v/>
      </c>
      <c r="AR791" s="4" t="str">
        <f t="shared" si="315"/>
        <v/>
      </c>
    </row>
    <row r="792" spans="8:44" s="1" customFormat="1" ht="14.25" x14ac:dyDescent="0.3">
      <c r="H792" s="50"/>
      <c r="J792" s="54"/>
      <c r="L792" s="54"/>
      <c r="R792" s="45"/>
      <c r="S792" s="54"/>
      <c r="T792" s="54"/>
      <c r="U792" s="54"/>
      <c r="V792" s="44"/>
      <c r="W792" s="27"/>
      <c r="Z792" s="27"/>
      <c r="AA792" s="8"/>
      <c r="AB792" s="81" t="str">
        <f t="shared" si="299"/>
        <v/>
      </c>
      <c r="AC792" s="6" t="str">
        <f t="shared" si="300"/>
        <v/>
      </c>
      <c r="AD792" s="1" t="str">
        <f t="shared" ca="1" si="301"/>
        <v/>
      </c>
      <c r="AE792" s="75" t="str">
        <f t="shared" si="302"/>
        <v/>
      </c>
      <c r="AF792" s="75" t="str">
        <f t="shared" si="303"/>
        <v/>
      </c>
      <c r="AG792" s="4" t="str">
        <f t="shared" si="304"/>
        <v/>
      </c>
      <c r="AH792" s="4" t="str">
        <f t="shared" si="305"/>
        <v/>
      </c>
      <c r="AI792" s="4" t="str">
        <f t="shared" si="306"/>
        <v/>
      </c>
      <c r="AJ792" s="4" t="str">
        <f t="shared" si="307"/>
        <v/>
      </c>
      <c r="AK792" s="4" t="str">
        <f t="shared" si="308"/>
        <v/>
      </c>
      <c r="AL792" s="2" t="str">
        <f t="shared" si="309"/>
        <v/>
      </c>
      <c r="AM792" s="6" t="str">
        <f t="shared" si="310"/>
        <v/>
      </c>
      <c r="AN792" s="4" t="str">
        <f t="shared" si="311"/>
        <v/>
      </c>
      <c r="AO792" s="4" t="str">
        <f t="shared" si="312"/>
        <v/>
      </c>
      <c r="AP792" s="4" t="str">
        <f t="shared" si="313"/>
        <v/>
      </c>
      <c r="AQ792" s="4" t="str">
        <f t="shared" si="314"/>
        <v/>
      </c>
      <c r="AR792" s="4" t="str">
        <f t="shared" si="315"/>
        <v/>
      </c>
    </row>
    <row r="793" spans="8:44" s="1" customFormat="1" ht="14.25" x14ac:dyDescent="0.3">
      <c r="H793" s="50"/>
      <c r="J793" s="54"/>
      <c r="L793" s="54"/>
      <c r="R793" s="45"/>
      <c r="S793" s="54"/>
      <c r="T793" s="54"/>
      <c r="U793" s="54"/>
      <c r="V793" s="44"/>
      <c r="W793" s="27"/>
      <c r="Z793" s="27"/>
      <c r="AA793" s="8"/>
      <c r="AB793" s="81" t="str">
        <f t="shared" si="299"/>
        <v/>
      </c>
      <c r="AC793" s="6" t="str">
        <f t="shared" si="300"/>
        <v/>
      </c>
      <c r="AD793" s="1" t="str">
        <f t="shared" ca="1" si="301"/>
        <v/>
      </c>
      <c r="AE793" s="75" t="str">
        <f t="shared" si="302"/>
        <v/>
      </c>
      <c r="AF793" s="75" t="str">
        <f t="shared" si="303"/>
        <v/>
      </c>
      <c r="AG793" s="4" t="str">
        <f t="shared" si="304"/>
        <v/>
      </c>
      <c r="AH793" s="4" t="str">
        <f t="shared" si="305"/>
        <v/>
      </c>
      <c r="AI793" s="4" t="str">
        <f t="shared" si="306"/>
        <v/>
      </c>
      <c r="AJ793" s="4" t="str">
        <f t="shared" si="307"/>
        <v/>
      </c>
      <c r="AK793" s="4" t="str">
        <f t="shared" si="308"/>
        <v/>
      </c>
      <c r="AL793" s="2" t="str">
        <f t="shared" si="309"/>
        <v/>
      </c>
      <c r="AM793" s="6" t="str">
        <f t="shared" si="310"/>
        <v/>
      </c>
      <c r="AN793" s="4" t="str">
        <f t="shared" si="311"/>
        <v/>
      </c>
      <c r="AO793" s="4" t="str">
        <f t="shared" si="312"/>
        <v/>
      </c>
      <c r="AP793" s="4" t="str">
        <f t="shared" si="313"/>
        <v/>
      </c>
      <c r="AQ793" s="4" t="str">
        <f t="shared" si="314"/>
        <v/>
      </c>
      <c r="AR793" s="4" t="str">
        <f t="shared" si="315"/>
        <v/>
      </c>
    </row>
    <row r="794" spans="8:44" s="1" customFormat="1" ht="14.25" x14ac:dyDescent="0.3">
      <c r="H794" s="50"/>
      <c r="J794" s="54"/>
      <c r="L794" s="54"/>
      <c r="R794" s="45"/>
      <c r="S794" s="54"/>
      <c r="T794" s="54"/>
      <c r="U794" s="54"/>
      <c r="V794" s="44"/>
      <c r="W794" s="27"/>
      <c r="Z794" s="27"/>
      <c r="AA794" s="8"/>
      <c r="AB794" s="81" t="str">
        <f t="shared" si="299"/>
        <v/>
      </c>
      <c r="AC794" s="6" t="str">
        <f t="shared" si="300"/>
        <v/>
      </c>
      <c r="AD794" s="1" t="str">
        <f t="shared" ca="1" si="301"/>
        <v/>
      </c>
      <c r="AE794" s="75" t="str">
        <f t="shared" si="302"/>
        <v/>
      </c>
      <c r="AF794" s="75" t="str">
        <f t="shared" si="303"/>
        <v/>
      </c>
      <c r="AG794" s="4" t="str">
        <f t="shared" si="304"/>
        <v/>
      </c>
      <c r="AH794" s="4" t="str">
        <f t="shared" si="305"/>
        <v/>
      </c>
      <c r="AI794" s="4" t="str">
        <f t="shared" si="306"/>
        <v/>
      </c>
      <c r="AJ794" s="4" t="str">
        <f t="shared" si="307"/>
        <v/>
      </c>
      <c r="AK794" s="4" t="str">
        <f t="shared" si="308"/>
        <v/>
      </c>
      <c r="AL794" s="2" t="str">
        <f t="shared" si="309"/>
        <v/>
      </c>
      <c r="AM794" s="6" t="str">
        <f t="shared" si="310"/>
        <v/>
      </c>
      <c r="AN794" s="4" t="str">
        <f t="shared" si="311"/>
        <v/>
      </c>
      <c r="AO794" s="4" t="str">
        <f t="shared" si="312"/>
        <v/>
      </c>
      <c r="AP794" s="4" t="str">
        <f t="shared" si="313"/>
        <v/>
      </c>
      <c r="AQ794" s="4" t="str">
        <f t="shared" si="314"/>
        <v/>
      </c>
      <c r="AR794" s="4" t="str">
        <f t="shared" si="315"/>
        <v/>
      </c>
    </row>
    <row r="795" spans="8:44" s="1" customFormat="1" ht="14.25" x14ac:dyDescent="0.3">
      <c r="H795" s="50"/>
      <c r="J795" s="54"/>
      <c r="L795" s="54"/>
      <c r="R795" s="45"/>
      <c r="S795" s="54"/>
      <c r="T795" s="54"/>
      <c r="U795" s="54"/>
      <c r="V795" s="44"/>
      <c r="W795" s="27"/>
      <c r="Z795" s="27"/>
      <c r="AA795" s="8"/>
      <c r="AB795" s="81" t="str">
        <f t="shared" si="299"/>
        <v/>
      </c>
      <c r="AC795" s="6" t="str">
        <f t="shared" si="300"/>
        <v/>
      </c>
      <c r="AD795" s="1" t="str">
        <f t="shared" ca="1" si="301"/>
        <v/>
      </c>
      <c r="AE795" s="75" t="str">
        <f t="shared" si="302"/>
        <v/>
      </c>
      <c r="AF795" s="75" t="str">
        <f t="shared" si="303"/>
        <v/>
      </c>
      <c r="AG795" s="4" t="str">
        <f t="shared" si="304"/>
        <v/>
      </c>
      <c r="AH795" s="4" t="str">
        <f t="shared" si="305"/>
        <v/>
      </c>
      <c r="AI795" s="4" t="str">
        <f t="shared" si="306"/>
        <v/>
      </c>
      <c r="AJ795" s="4" t="str">
        <f t="shared" si="307"/>
        <v/>
      </c>
      <c r="AK795" s="4" t="str">
        <f t="shared" si="308"/>
        <v/>
      </c>
      <c r="AL795" s="2" t="str">
        <f t="shared" si="309"/>
        <v/>
      </c>
      <c r="AM795" s="6" t="str">
        <f t="shared" si="310"/>
        <v/>
      </c>
      <c r="AN795" s="4" t="str">
        <f t="shared" si="311"/>
        <v/>
      </c>
      <c r="AO795" s="4" t="str">
        <f t="shared" si="312"/>
        <v/>
      </c>
      <c r="AP795" s="4" t="str">
        <f t="shared" si="313"/>
        <v/>
      </c>
      <c r="AQ795" s="4" t="str">
        <f t="shared" si="314"/>
        <v/>
      </c>
      <c r="AR795" s="4" t="str">
        <f t="shared" si="315"/>
        <v/>
      </c>
    </row>
    <row r="796" spans="8:44" s="1" customFormat="1" ht="14.25" x14ac:dyDescent="0.3">
      <c r="H796" s="50"/>
      <c r="J796" s="54"/>
      <c r="L796" s="54"/>
      <c r="R796" s="45"/>
      <c r="S796" s="54"/>
      <c r="T796" s="54"/>
      <c r="U796" s="54"/>
      <c r="V796" s="44"/>
      <c r="W796" s="27"/>
      <c r="Z796" s="27"/>
      <c r="AA796" s="8"/>
      <c r="AB796" s="81" t="str">
        <f t="shared" si="299"/>
        <v/>
      </c>
      <c r="AC796" s="6" t="str">
        <f t="shared" si="300"/>
        <v/>
      </c>
      <c r="AD796" s="1" t="str">
        <f t="shared" ca="1" si="301"/>
        <v/>
      </c>
      <c r="AE796" s="75" t="str">
        <f t="shared" si="302"/>
        <v/>
      </c>
      <c r="AF796" s="75" t="str">
        <f t="shared" si="303"/>
        <v/>
      </c>
      <c r="AG796" s="4" t="str">
        <f t="shared" si="304"/>
        <v/>
      </c>
      <c r="AH796" s="4" t="str">
        <f t="shared" si="305"/>
        <v/>
      </c>
      <c r="AI796" s="4" t="str">
        <f t="shared" si="306"/>
        <v/>
      </c>
      <c r="AJ796" s="4" t="str">
        <f t="shared" si="307"/>
        <v/>
      </c>
      <c r="AK796" s="4" t="str">
        <f t="shared" si="308"/>
        <v/>
      </c>
      <c r="AL796" s="2" t="str">
        <f t="shared" si="309"/>
        <v/>
      </c>
      <c r="AM796" s="6" t="str">
        <f t="shared" si="310"/>
        <v/>
      </c>
      <c r="AN796" s="4" t="str">
        <f t="shared" si="311"/>
        <v/>
      </c>
      <c r="AO796" s="4" t="str">
        <f t="shared" si="312"/>
        <v/>
      </c>
      <c r="AP796" s="4" t="str">
        <f t="shared" si="313"/>
        <v/>
      </c>
      <c r="AQ796" s="4" t="str">
        <f t="shared" si="314"/>
        <v/>
      </c>
      <c r="AR796" s="4" t="str">
        <f t="shared" si="315"/>
        <v/>
      </c>
    </row>
    <row r="797" spans="8:44" s="1" customFormat="1" ht="14.25" x14ac:dyDescent="0.3">
      <c r="H797" s="50"/>
      <c r="J797" s="54"/>
      <c r="L797" s="54"/>
      <c r="R797" s="45"/>
      <c r="S797" s="54"/>
      <c r="T797" s="54"/>
      <c r="U797" s="54"/>
      <c r="V797" s="44"/>
      <c r="W797" s="27"/>
      <c r="Z797" s="27"/>
      <c r="AA797" s="8"/>
      <c r="AB797" s="81" t="str">
        <f t="shared" si="299"/>
        <v/>
      </c>
      <c r="AC797" s="6" t="str">
        <f t="shared" si="300"/>
        <v/>
      </c>
      <c r="AD797" s="1" t="str">
        <f t="shared" ca="1" si="301"/>
        <v/>
      </c>
      <c r="AE797" s="75" t="str">
        <f t="shared" si="302"/>
        <v/>
      </c>
      <c r="AF797" s="75" t="str">
        <f t="shared" si="303"/>
        <v/>
      </c>
      <c r="AG797" s="4" t="str">
        <f t="shared" si="304"/>
        <v/>
      </c>
      <c r="AH797" s="4" t="str">
        <f t="shared" si="305"/>
        <v/>
      </c>
      <c r="AI797" s="4" t="str">
        <f t="shared" si="306"/>
        <v/>
      </c>
      <c r="AJ797" s="4" t="str">
        <f t="shared" si="307"/>
        <v/>
      </c>
      <c r="AK797" s="4" t="str">
        <f t="shared" si="308"/>
        <v/>
      </c>
      <c r="AL797" s="2" t="str">
        <f t="shared" si="309"/>
        <v/>
      </c>
      <c r="AM797" s="6" t="str">
        <f t="shared" si="310"/>
        <v/>
      </c>
      <c r="AN797" s="4" t="str">
        <f t="shared" si="311"/>
        <v/>
      </c>
      <c r="AO797" s="4" t="str">
        <f t="shared" si="312"/>
        <v/>
      </c>
      <c r="AP797" s="4" t="str">
        <f t="shared" si="313"/>
        <v/>
      </c>
      <c r="AQ797" s="4" t="str">
        <f t="shared" si="314"/>
        <v/>
      </c>
      <c r="AR797" s="4" t="str">
        <f t="shared" si="315"/>
        <v/>
      </c>
    </row>
    <row r="798" spans="8:44" s="1" customFormat="1" ht="14.25" x14ac:dyDescent="0.3">
      <c r="H798" s="50"/>
      <c r="J798" s="54"/>
      <c r="L798" s="54"/>
      <c r="R798" s="45"/>
      <c r="S798" s="54"/>
      <c r="T798" s="54"/>
      <c r="U798" s="54"/>
      <c r="V798" s="44"/>
      <c r="W798" s="27"/>
      <c r="Z798" s="27"/>
      <c r="AA798" s="8"/>
      <c r="AB798" s="81" t="str">
        <f t="shared" si="299"/>
        <v/>
      </c>
      <c r="AC798" s="6" t="str">
        <f t="shared" si="300"/>
        <v/>
      </c>
      <c r="AD798" s="1" t="str">
        <f t="shared" ca="1" si="301"/>
        <v/>
      </c>
      <c r="AE798" s="75" t="str">
        <f t="shared" si="302"/>
        <v/>
      </c>
      <c r="AF798" s="75" t="str">
        <f t="shared" si="303"/>
        <v/>
      </c>
      <c r="AG798" s="4" t="str">
        <f t="shared" si="304"/>
        <v/>
      </c>
      <c r="AH798" s="4" t="str">
        <f t="shared" si="305"/>
        <v/>
      </c>
      <c r="AI798" s="4" t="str">
        <f t="shared" si="306"/>
        <v/>
      </c>
      <c r="AJ798" s="4" t="str">
        <f t="shared" si="307"/>
        <v/>
      </c>
      <c r="AK798" s="4" t="str">
        <f t="shared" si="308"/>
        <v/>
      </c>
      <c r="AL798" s="2" t="str">
        <f t="shared" si="309"/>
        <v/>
      </c>
      <c r="AM798" s="6" t="str">
        <f t="shared" si="310"/>
        <v/>
      </c>
      <c r="AN798" s="4" t="str">
        <f t="shared" si="311"/>
        <v/>
      </c>
      <c r="AO798" s="4" t="str">
        <f t="shared" si="312"/>
        <v/>
      </c>
      <c r="AP798" s="4" t="str">
        <f t="shared" si="313"/>
        <v/>
      </c>
      <c r="AQ798" s="4" t="str">
        <f t="shared" si="314"/>
        <v/>
      </c>
      <c r="AR798" s="4" t="str">
        <f t="shared" si="315"/>
        <v/>
      </c>
    </row>
    <row r="799" spans="8:44" s="1" customFormat="1" ht="14.25" x14ac:dyDescent="0.3">
      <c r="H799" s="50"/>
      <c r="J799" s="54"/>
      <c r="L799" s="54"/>
      <c r="R799" s="45"/>
      <c r="S799" s="54"/>
      <c r="T799" s="54"/>
      <c r="U799" s="54"/>
      <c r="V799" s="44"/>
      <c r="W799" s="27"/>
      <c r="Z799" s="27"/>
      <c r="AA799" s="8"/>
      <c r="AB799" s="81" t="str">
        <f t="shared" si="299"/>
        <v/>
      </c>
      <c r="AC799" s="6" t="str">
        <f t="shared" si="300"/>
        <v/>
      </c>
      <c r="AD799" s="1" t="str">
        <f t="shared" ca="1" si="301"/>
        <v/>
      </c>
      <c r="AE799" s="75" t="str">
        <f t="shared" si="302"/>
        <v/>
      </c>
      <c r="AF799" s="75" t="str">
        <f t="shared" si="303"/>
        <v/>
      </c>
      <c r="AG799" s="4" t="str">
        <f t="shared" si="304"/>
        <v/>
      </c>
      <c r="AH799" s="4" t="str">
        <f t="shared" si="305"/>
        <v/>
      </c>
      <c r="AI799" s="4" t="str">
        <f t="shared" si="306"/>
        <v/>
      </c>
      <c r="AJ799" s="4" t="str">
        <f t="shared" si="307"/>
        <v/>
      </c>
      <c r="AK799" s="4" t="str">
        <f t="shared" si="308"/>
        <v/>
      </c>
      <c r="AL799" s="2" t="str">
        <f t="shared" si="309"/>
        <v/>
      </c>
      <c r="AM799" s="6" t="str">
        <f t="shared" si="310"/>
        <v/>
      </c>
      <c r="AN799" s="4" t="str">
        <f t="shared" si="311"/>
        <v/>
      </c>
      <c r="AO799" s="4" t="str">
        <f t="shared" si="312"/>
        <v/>
      </c>
      <c r="AP799" s="4" t="str">
        <f t="shared" si="313"/>
        <v/>
      </c>
      <c r="AQ799" s="4" t="str">
        <f t="shared" si="314"/>
        <v/>
      </c>
      <c r="AR799" s="4" t="str">
        <f t="shared" si="315"/>
        <v/>
      </c>
    </row>
    <row r="800" spans="8:44" s="1" customFormat="1" ht="14.25" x14ac:dyDescent="0.3">
      <c r="H800" s="50"/>
      <c r="J800" s="54"/>
      <c r="L800" s="54"/>
      <c r="R800" s="45"/>
      <c r="S800" s="54"/>
      <c r="T800" s="54"/>
      <c r="U800" s="54"/>
      <c r="V800" s="44"/>
      <c r="W800" s="27"/>
      <c r="Z800" s="27"/>
      <c r="AA800" s="8"/>
      <c r="AB800" s="81" t="str">
        <f t="shared" si="299"/>
        <v/>
      </c>
      <c r="AC800" s="6" t="str">
        <f t="shared" si="300"/>
        <v/>
      </c>
      <c r="AD800" s="1" t="str">
        <f t="shared" ca="1" si="301"/>
        <v/>
      </c>
      <c r="AE800" s="75" t="str">
        <f t="shared" si="302"/>
        <v/>
      </c>
      <c r="AF800" s="75" t="str">
        <f t="shared" si="303"/>
        <v/>
      </c>
      <c r="AG800" s="4" t="str">
        <f t="shared" si="304"/>
        <v/>
      </c>
      <c r="AH800" s="4" t="str">
        <f t="shared" si="305"/>
        <v/>
      </c>
      <c r="AI800" s="4" t="str">
        <f t="shared" si="306"/>
        <v/>
      </c>
      <c r="AJ800" s="4" t="str">
        <f t="shared" si="307"/>
        <v/>
      </c>
      <c r="AK800" s="4" t="str">
        <f t="shared" si="308"/>
        <v/>
      </c>
      <c r="AL800" s="2" t="str">
        <f t="shared" si="309"/>
        <v/>
      </c>
      <c r="AM800" s="6" t="str">
        <f t="shared" si="310"/>
        <v/>
      </c>
      <c r="AN800" s="4" t="str">
        <f t="shared" si="311"/>
        <v/>
      </c>
      <c r="AO800" s="4" t="str">
        <f t="shared" si="312"/>
        <v/>
      </c>
      <c r="AP800" s="4" t="str">
        <f t="shared" si="313"/>
        <v/>
      </c>
      <c r="AQ800" s="4" t="str">
        <f t="shared" si="314"/>
        <v/>
      </c>
      <c r="AR800" s="4" t="str">
        <f t="shared" si="315"/>
        <v/>
      </c>
    </row>
    <row r="801" spans="8:44" s="1" customFormat="1" ht="14.25" x14ac:dyDescent="0.3">
      <c r="H801" s="50"/>
      <c r="J801" s="54"/>
      <c r="L801" s="54"/>
      <c r="R801" s="45"/>
      <c r="S801" s="54"/>
      <c r="T801" s="54"/>
      <c r="U801" s="54"/>
      <c r="V801" s="44"/>
      <c r="W801" s="27"/>
      <c r="Z801" s="27"/>
      <c r="AA801" s="8"/>
      <c r="AB801" s="81" t="str">
        <f t="shared" si="299"/>
        <v/>
      </c>
      <c r="AC801" s="6" t="str">
        <f t="shared" si="300"/>
        <v/>
      </c>
      <c r="AD801" s="1" t="str">
        <f t="shared" ca="1" si="301"/>
        <v/>
      </c>
      <c r="AE801" s="75" t="str">
        <f t="shared" si="302"/>
        <v/>
      </c>
      <c r="AF801" s="75" t="str">
        <f t="shared" si="303"/>
        <v/>
      </c>
      <c r="AG801" s="4" t="str">
        <f t="shared" si="304"/>
        <v/>
      </c>
      <c r="AH801" s="4" t="str">
        <f t="shared" si="305"/>
        <v/>
      </c>
      <c r="AI801" s="4" t="str">
        <f t="shared" si="306"/>
        <v/>
      </c>
      <c r="AJ801" s="4" t="str">
        <f t="shared" si="307"/>
        <v/>
      </c>
      <c r="AK801" s="4" t="str">
        <f t="shared" si="308"/>
        <v/>
      </c>
      <c r="AL801" s="2" t="str">
        <f t="shared" si="309"/>
        <v/>
      </c>
      <c r="AM801" s="6" t="str">
        <f t="shared" si="310"/>
        <v/>
      </c>
      <c r="AN801" s="4" t="str">
        <f t="shared" si="311"/>
        <v/>
      </c>
      <c r="AO801" s="4" t="str">
        <f t="shared" si="312"/>
        <v/>
      </c>
      <c r="AP801" s="4" t="str">
        <f t="shared" si="313"/>
        <v/>
      </c>
      <c r="AQ801" s="4" t="str">
        <f t="shared" si="314"/>
        <v/>
      </c>
      <c r="AR801" s="4" t="str">
        <f t="shared" si="315"/>
        <v/>
      </c>
    </row>
    <row r="802" spans="8:44" s="1" customFormat="1" ht="14.25" x14ac:dyDescent="0.3">
      <c r="H802" s="50"/>
      <c r="J802" s="54"/>
      <c r="L802" s="54"/>
      <c r="R802" s="45"/>
      <c r="S802" s="54"/>
      <c r="T802" s="54"/>
      <c r="U802" s="54"/>
      <c r="V802" s="44"/>
      <c r="W802" s="27"/>
      <c r="Z802" s="27"/>
      <c r="AA802" s="8"/>
      <c r="AB802" s="81" t="str">
        <f t="shared" si="299"/>
        <v/>
      </c>
      <c r="AC802" s="6" t="str">
        <f t="shared" si="300"/>
        <v/>
      </c>
      <c r="AD802" s="1" t="str">
        <f t="shared" ca="1" si="301"/>
        <v/>
      </c>
      <c r="AE802" s="75" t="str">
        <f t="shared" si="302"/>
        <v/>
      </c>
      <c r="AF802" s="75" t="str">
        <f t="shared" si="303"/>
        <v/>
      </c>
      <c r="AG802" s="4" t="str">
        <f t="shared" si="304"/>
        <v/>
      </c>
      <c r="AH802" s="4" t="str">
        <f t="shared" si="305"/>
        <v/>
      </c>
      <c r="AI802" s="4" t="str">
        <f t="shared" si="306"/>
        <v/>
      </c>
      <c r="AJ802" s="4" t="str">
        <f t="shared" si="307"/>
        <v/>
      </c>
      <c r="AK802" s="4" t="str">
        <f t="shared" si="308"/>
        <v/>
      </c>
      <c r="AL802" s="2" t="str">
        <f t="shared" si="309"/>
        <v/>
      </c>
      <c r="AM802" s="6" t="str">
        <f t="shared" si="310"/>
        <v/>
      </c>
      <c r="AN802" s="4" t="str">
        <f t="shared" si="311"/>
        <v/>
      </c>
      <c r="AO802" s="4" t="str">
        <f t="shared" si="312"/>
        <v/>
      </c>
      <c r="AP802" s="4" t="str">
        <f t="shared" si="313"/>
        <v/>
      </c>
      <c r="AQ802" s="4" t="str">
        <f t="shared" si="314"/>
        <v/>
      </c>
      <c r="AR802" s="4" t="str">
        <f t="shared" si="315"/>
        <v/>
      </c>
    </row>
    <row r="803" spans="8:44" s="1" customFormat="1" ht="14.25" x14ac:dyDescent="0.3">
      <c r="H803" s="50"/>
      <c r="J803" s="54"/>
      <c r="L803" s="54"/>
      <c r="R803" s="45"/>
      <c r="S803" s="54"/>
      <c r="T803" s="54"/>
      <c r="U803" s="54"/>
      <c r="V803" s="44"/>
      <c r="W803" s="27"/>
      <c r="Z803" s="27"/>
      <c r="AA803" s="8"/>
      <c r="AB803" s="81" t="str">
        <f t="shared" si="299"/>
        <v/>
      </c>
      <c r="AC803" s="6" t="str">
        <f t="shared" si="300"/>
        <v/>
      </c>
      <c r="AD803" s="1" t="str">
        <f t="shared" ca="1" si="301"/>
        <v/>
      </c>
      <c r="AE803" s="75" t="str">
        <f t="shared" si="302"/>
        <v/>
      </c>
      <c r="AF803" s="75" t="str">
        <f t="shared" si="303"/>
        <v/>
      </c>
      <c r="AG803" s="4" t="str">
        <f t="shared" si="304"/>
        <v/>
      </c>
      <c r="AH803" s="4" t="str">
        <f t="shared" si="305"/>
        <v/>
      </c>
      <c r="AI803" s="4" t="str">
        <f t="shared" si="306"/>
        <v/>
      </c>
      <c r="AJ803" s="4" t="str">
        <f t="shared" si="307"/>
        <v/>
      </c>
      <c r="AK803" s="4" t="str">
        <f t="shared" si="308"/>
        <v/>
      </c>
      <c r="AL803" s="2" t="str">
        <f t="shared" si="309"/>
        <v/>
      </c>
      <c r="AM803" s="6" t="str">
        <f t="shared" si="310"/>
        <v/>
      </c>
      <c r="AN803" s="4" t="str">
        <f t="shared" si="311"/>
        <v/>
      </c>
      <c r="AO803" s="4" t="str">
        <f t="shared" si="312"/>
        <v/>
      </c>
      <c r="AP803" s="4" t="str">
        <f t="shared" si="313"/>
        <v/>
      </c>
      <c r="AQ803" s="4" t="str">
        <f t="shared" si="314"/>
        <v/>
      </c>
      <c r="AR803" s="4" t="str">
        <f t="shared" si="315"/>
        <v/>
      </c>
    </row>
    <row r="804" spans="8:44" s="1" customFormat="1" ht="14.25" x14ac:dyDescent="0.3">
      <c r="H804" s="50"/>
      <c r="J804" s="54"/>
      <c r="L804" s="54"/>
      <c r="R804" s="45"/>
      <c r="S804" s="54"/>
      <c r="T804" s="54"/>
      <c r="U804" s="54"/>
      <c r="V804" s="44"/>
      <c r="W804" s="27"/>
      <c r="Z804" s="27"/>
      <c r="AA804" s="8"/>
      <c r="AB804" s="81" t="str">
        <f t="shared" si="299"/>
        <v/>
      </c>
      <c r="AC804" s="6" t="str">
        <f t="shared" si="300"/>
        <v/>
      </c>
      <c r="AD804" s="1" t="str">
        <f t="shared" ca="1" si="301"/>
        <v/>
      </c>
      <c r="AE804" s="75" t="str">
        <f t="shared" si="302"/>
        <v/>
      </c>
      <c r="AF804" s="75" t="str">
        <f t="shared" si="303"/>
        <v/>
      </c>
      <c r="AG804" s="4" t="str">
        <f t="shared" si="304"/>
        <v/>
      </c>
      <c r="AH804" s="4" t="str">
        <f t="shared" si="305"/>
        <v/>
      </c>
      <c r="AI804" s="4" t="str">
        <f t="shared" si="306"/>
        <v/>
      </c>
      <c r="AJ804" s="4" t="str">
        <f t="shared" si="307"/>
        <v/>
      </c>
      <c r="AK804" s="4" t="str">
        <f t="shared" si="308"/>
        <v/>
      </c>
      <c r="AL804" s="2" t="str">
        <f t="shared" si="309"/>
        <v/>
      </c>
      <c r="AM804" s="6" t="str">
        <f t="shared" si="310"/>
        <v/>
      </c>
      <c r="AN804" s="4" t="str">
        <f t="shared" si="311"/>
        <v/>
      </c>
      <c r="AO804" s="4" t="str">
        <f t="shared" si="312"/>
        <v/>
      </c>
      <c r="AP804" s="4" t="str">
        <f t="shared" si="313"/>
        <v/>
      </c>
      <c r="AQ804" s="4" t="str">
        <f t="shared" si="314"/>
        <v/>
      </c>
      <c r="AR804" s="4" t="str">
        <f t="shared" si="315"/>
        <v/>
      </c>
    </row>
    <row r="805" spans="8:44" s="1" customFormat="1" ht="14.25" x14ac:dyDescent="0.3">
      <c r="H805" s="50"/>
      <c r="J805" s="54"/>
      <c r="L805" s="54"/>
      <c r="R805" s="45"/>
      <c r="S805" s="54"/>
      <c r="T805" s="54"/>
      <c r="U805" s="54"/>
      <c r="V805" s="44"/>
      <c r="W805" s="27"/>
      <c r="Z805" s="27"/>
      <c r="AA805" s="8"/>
      <c r="AB805" s="81" t="str">
        <f t="shared" si="299"/>
        <v/>
      </c>
      <c r="AC805" s="6" t="str">
        <f t="shared" si="300"/>
        <v/>
      </c>
      <c r="AD805" s="1" t="str">
        <f t="shared" ca="1" si="301"/>
        <v/>
      </c>
      <c r="AE805" s="75" t="str">
        <f t="shared" si="302"/>
        <v/>
      </c>
      <c r="AF805" s="75" t="str">
        <f t="shared" si="303"/>
        <v/>
      </c>
      <c r="AG805" s="4" t="str">
        <f t="shared" si="304"/>
        <v/>
      </c>
      <c r="AH805" s="4" t="str">
        <f t="shared" si="305"/>
        <v/>
      </c>
      <c r="AI805" s="4" t="str">
        <f t="shared" si="306"/>
        <v/>
      </c>
      <c r="AJ805" s="4" t="str">
        <f t="shared" si="307"/>
        <v/>
      </c>
      <c r="AK805" s="4" t="str">
        <f t="shared" si="308"/>
        <v/>
      </c>
      <c r="AL805" s="2" t="str">
        <f t="shared" si="309"/>
        <v/>
      </c>
      <c r="AM805" s="6" t="str">
        <f t="shared" si="310"/>
        <v/>
      </c>
      <c r="AN805" s="4" t="str">
        <f t="shared" si="311"/>
        <v/>
      </c>
      <c r="AO805" s="4" t="str">
        <f t="shared" si="312"/>
        <v/>
      </c>
      <c r="AP805" s="4" t="str">
        <f t="shared" si="313"/>
        <v/>
      </c>
      <c r="AQ805" s="4" t="str">
        <f t="shared" si="314"/>
        <v/>
      </c>
      <c r="AR805" s="4" t="str">
        <f t="shared" si="315"/>
        <v/>
      </c>
    </row>
    <row r="806" spans="8:44" s="1" customFormat="1" ht="14.25" x14ac:dyDescent="0.3">
      <c r="H806" s="50"/>
      <c r="J806" s="54"/>
      <c r="L806" s="54"/>
      <c r="R806" s="45"/>
      <c r="S806" s="54"/>
      <c r="T806" s="54"/>
      <c r="U806" s="54"/>
      <c r="V806" s="44"/>
      <c r="W806" s="27"/>
      <c r="Z806" s="27"/>
      <c r="AA806" s="8"/>
      <c r="AB806" s="81" t="str">
        <f t="shared" si="299"/>
        <v/>
      </c>
      <c r="AC806" s="6" t="str">
        <f t="shared" si="300"/>
        <v/>
      </c>
      <c r="AD806" s="1" t="str">
        <f t="shared" ca="1" si="301"/>
        <v/>
      </c>
      <c r="AE806" s="75" t="str">
        <f t="shared" si="302"/>
        <v/>
      </c>
      <c r="AF806" s="75" t="str">
        <f t="shared" si="303"/>
        <v/>
      </c>
      <c r="AG806" s="4" t="str">
        <f t="shared" si="304"/>
        <v/>
      </c>
      <c r="AH806" s="4" t="str">
        <f t="shared" si="305"/>
        <v/>
      </c>
      <c r="AI806" s="4" t="str">
        <f t="shared" si="306"/>
        <v/>
      </c>
      <c r="AJ806" s="4" t="str">
        <f t="shared" si="307"/>
        <v/>
      </c>
      <c r="AK806" s="4" t="str">
        <f t="shared" si="308"/>
        <v/>
      </c>
      <c r="AL806" s="2" t="str">
        <f t="shared" si="309"/>
        <v/>
      </c>
      <c r="AM806" s="6" t="str">
        <f t="shared" si="310"/>
        <v/>
      </c>
      <c r="AN806" s="4" t="str">
        <f t="shared" si="311"/>
        <v/>
      </c>
      <c r="AO806" s="4" t="str">
        <f t="shared" si="312"/>
        <v/>
      </c>
      <c r="AP806" s="4" t="str">
        <f t="shared" si="313"/>
        <v/>
      </c>
      <c r="AQ806" s="4" t="str">
        <f t="shared" si="314"/>
        <v/>
      </c>
      <c r="AR806" s="4" t="str">
        <f t="shared" si="315"/>
        <v/>
      </c>
    </row>
    <row r="807" spans="8:44" s="1" customFormat="1" ht="14.25" x14ac:dyDescent="0.3">
      <c r="H807" s="50"/>
      <c r="J807" s="54"/>
      <c r="L807" s="54"/>
      <c r="R807" s="45"/>
      <c r="S807" s="54"/>
      <c r="T807" s="54"/>
      <c r="U807" s="54"/>
      <c r="V807" s="44"/>
      <c r="W807" s="27"/>
      <c r="Z807" s="27"/>
      <c r="AA807" s="8"/>
      <c r="AB807" s="81" t="str">
        <f t="shared" si="299"/>
        <v/>
      </c>
      <c r="AC807" s="6" t="str">
        <f t="shared" si="300"/>
        <v/>
      </c>
      <c r="AD807" s="1" t="str">
        <f t="shared" ca="1" si="301"/>
        <v/>
      </c>
      <c r="AE807" s="75" t="str">
        <f t="shared" si="302"/>
        <v/>
      </c>
      <c r="AF807" s="75" t="str">
        <f t="shared" si="303"/>
        <v/>
      </c>
      <c r="AG807" s="4" t="str">
        <f t="shared" si="304"/>
        <v/>
      </c>
      <c r="AH807" s="4" t="str">
        <f t="shared" si="305"/>
        <v/>
      </c>
      <c r="AI807" s="4" t="str">
        <f t="shared" si="306"/>
        <v/>
      </c>
      <c r="AJ807" s="4" t="str">
        <f t="shared" si="307"/>
        <v/>
      </c>
      <c r="AK807" s="4" t="str">
        <f t="shared" si="308"/>
        <v/>
      </c>
      <c r="AL807" s="2" t="str">
        <f t="shared" si="309"/>
        <v/>
      </c>
      <c r="AM807" s="6" t="str">
        <f t="shared" si="310"/>
        <v/>
      </c>
      <c r="AN807" s="4" t="str">
        <f t="shared" si="311"/>
        <v/>
      </c>
      <c r="AO807" s="4" t="str">
        <f t="shared" si="312"/>
        <v/>
      </c>
      <c r="AP807" s="4" t="str">
        <f t="shared" si="313"/>
        <v/>
      </c>
      <c r="AQ807" s="4" t="str">
        <f t="shared" si="314"/>
        <v/>
      </c>
      <c r="AR807" s="4" t="str">
        <f t="shared" si="315"/>
        <v/>
      </c>
    </row>
    <row r="808" spans="8:44" s="1" customFormat="1" ht="14.25" x14ac:dyDescent="0.3">
      <c r="H808" s="50"/>
      <c r="J808" s="54"/>
      <c r="L808" s="54"/>
      <c r="R808" s="45"/>
      <c r="S808" s="54"/>
      <c r="T808" s="54"/>
      <c r="U808" s="54"/>
      <c r="V808" s="44"/>
      <c r="W808" s="27"/>
      <c r="Z808" s="27"/>
      <c r="AA808" s="8"/>
      <c r="AB808" s="81" t="str">
        <f t="shared" si="299"/>
        <v/>
      </c>
      <c r="AC808" s="6" t="str">
        <f t="shared" si="300"/>
        <v/>
      </c>
      <c r="AD808" s="1" t="str">
        <f t="shared" ca="1" si="301"/>
        <v/>
      </c>
      <c r="AE808" s="75" t="str">
        <f t="shared" si="302"/>
        <v/>
      </c>
      <c r="AF808" s="75" t="str">
        <f t="shared" si="303"/>
        <v/>
      </c>
      <c r="AG808" s="4" t="str">
        <f t="shared" si="304"/>
        <v/>
      </c>
      <c r="AH808" s="4" t="str">
        <f t="shared" si="305"/>
        <v/>
      </c>
      <c r="AI808" s="4" t="str">
        <f t="shared" si="306"/>
        <v/>
      </c>
      <c r="AJ808" s="4" t="str">
        <f t="shared" si="307"/>
        <v/>
      </c>
      <c r="AK808" s="4" t="str">
        <f t="shared" si="308"/>
        <v/>
      </c>
      <c r="AL808" s="2" t="str">
        <f t="shared" si="309"/>
        <v/>
      </c>
      <c r="AM808" s="6" t="str">
        <f t="shared" si="310"/>
        <v/>
      </c>
      <c r="AN808" s="4" t="str">
        <f t="shared" si="311"/>
        <v/>
      </c>
      <c r="AO808" s="4" t="str">
        <f t="shared" si="312"/>
        <v/>
      </c>
      <c r="AP808" s="4" t="str">
        <f t="shared" si="313"/>
        <v/>
      </c>
      <c r="AQ808" s="4" t="str">
        <f t="shared" si="314"/>
        <v/>
      </c>
      <c r="AR808" s="4" t="str">
        <f t="shared" si="315"/>
        <v/>
      </c>
    </row>
    <row r="809" spans="8:44" s="1" customFormat="1" ht="14.25" x14ac:dyDescent="0.3">
      <c r="H809" s="50"/>
      <c r="J809" s="54"/>
      <c r="L809" s="54"/>
      <c r="R809" s="45"/>
      <c r="S809" s="54"/>
      <c r="T809" s="54"/>
      <c r="U809" s="54"/>
      <c r="V809" s="44"/>
      <c r="W809" s="27"/>
      <c r="Z809" s="27"/>
      <c r="AA809" s="8"/>
      <c r="AB809" s="81" t="str">
        <f t="shared" si="299"/>
        <v/>
      </c>
      <c r="AC809" s="6" t="str">
        <f t="shared" si="300"/>
        <v/>
      </c>
      <c r="AD809" s="1" t="str">
        <f t="shared" ca="1" si="301"/>
        <v/>
      </c>
      <c r="AE809" s="75" t="str">
        <f t="shared" si="302"/>
        <v/>
      </c>
      <c r="AF809" s="75" t="str">
        <f t="shared" si="303"/>
        <v/>
      </c>
      <c r="AG809" s="4" t="str">
        <f t="shared" si="304"/>
        <v/>
      </c>
      <c r="AH809" s="4" t="str">
        <f t="shared" si="305"/>
        <v/>
      </c>
      <c r="AI809" s="4" t="str">
        <f t="shared" si="306"/>
        <v/>
      </c>
      <c r="AJ809" s="4" t="str">
        <f t="shared" si="307"/>
        <v/>
      </c>
      <c r="AK809" s="4" t="str">
        <f t="shared" si="308"/>
        <v/>
      </c>
      <c r="AL809" s="2" t="str">
        <f t="shared" si="309"/>
        <v/>
      </c>
      <c r="AM809" s="6" t="str">
        <f t="shared" si="310"/>
        <v/>
      </c>
      <c r="AN809" s="4" t="str">
        <f t="shared" si="311"/>
        <v/>
      </c>
      <c r="AO809" s="4" t="str">
        <f t="shared" si="312"/>
        <v/>
      </c>
      <c r="AP809" s="4" t="str">
        <f t="shared" si="313"/>
        <v/>
      </c>
      <c r="AQ809" s="4" t="str">
        <f t="shared" si="314"/>
        <v/>
      </c>
      <c r="AR809" s="4" t="str">
        <f t="shared" si="315"/>
        <v/>
      </c>
    </row>
    <row r="810" spans="8:44" s="1" customFormat="1" ht="14.25" x14ac:dyDescent="0.3">
      <c r="H810" s="50"/>
      <c r="J810" s="54"/>
      <c r="L810" s="54"/>
      <c r="R810" s="45"/>
      <c r="S810" s="54"/>
      <c r="T810" s="54"/>
      <c r="U810" s="54"/>
      <c r="V810" s="44"/>
      <c r="W810" s="27"/>
      <c r="Z810" s="27"/>
      <c r="AA810" s="8"/>
      <c r="AB810" s="81" t="str">
        <f t="shared" si="299"/>
        <v/>
      </c>
      <c r="AC810" s="6" t="str">
        <f t="shared" si="300"/>
        <v/>
      </c>
      <c r="AD810" s="1" t="str">
        <f t="shared" ca="1" si="301"/>
        <v/>
      </c>
      <c r="AE810" s="75" t="str">
        <f t="shared" si="302"/>
        <v/>
      </c>
      <c r="AF810" s="75" t="str">
        <f t="shared" si="303"/>
        <v/>
      </c>
      <c r="AG810" s="4" t="str">
        <f t="shared" si="304"/>
        <v/>
      </c>
      <c r="AH810" s="4" t="str">
        <f t="shared" si="305"/>
        <v/>
      </c>
      <c r="AI810" s="4" t="str">
        <f t="shared" si="306"/>
        <v/>
      </c>
      <c r="AJ810" s="4" t="str">
        <f t="shared" si="307"/>
        <v/>
      </c>
      <c r="AK810" s="4" t="str">
        <f t="shared" si="308"/>
        <v/>
      </c>
      <c r="AL810" s="2" t="str">
        <f t="shared" si="309"/>
        <v/>
      </c>
      <c r="AM810" s="6" t="str">
        <f t="shared" si="310"/>
        <v/>
      </c>
      <c r="AN810" s="4" t="str">
        <f t="shared" si="311"/>
        <v/>
      </c>
      <c r="AO810" s="4" t="str">
        <f t="shared" si="312"/>
        <v/>
      </c>
      <c r="AP810" s="4" t="str">
        <f t="shared" si="313"/>
        <v/>
      </c>
      <c r="AQ810" s="4" t="str">
        <f t="shared" si="314"/>
        <v/>
      </c>
      <c r="AR810" s="4" t="str">
        <f t="shared" si="315"/>
        <v/>
      </c>
    </row>
    <row r="811" spans="8:44" s="1" customFormat="1" ht="14.25" x14ac:dyDescent="0.3">
      <c r="H811" s="50"/>
      <c r="J811" s="54"/>
      <c r="L811" s="54"/>
      <c r="R811" s="45"/>
      <c r="S811" s="54"/>
      <c r="T811" s="54"/>
      <c r="U811" s="54"/>
      <c r="V811" s="44"/>
      <c r="W811" s="27"/>
      <c r="Z811" s="27"/>
      <c r="AA811" s="8"/>
      <c r="AB811" s="81" t="str">
        <f t="shared" si="299"/>
        <v/>
      </c>
      <c r="AC811" s="6" t="str">
        <f t="shared" si="300"/>
        <v/>
      </c>
      <c r="AD811" s="1" t="str">
        <f t="shared" ca="1" si="301"/>
        <v/>
      </c>
      <c r="AE811" s="75" t="str">
        <f t="shared" si="302"/>
        <v/>
      </c>
      <c r="AF811" s="75" t="str">
        <f t="shared" si="303"/>
        <v/>
      </c>
      <c r="AG811" s="4" t="str">
        <f t="shared" si="304"/>
        <v/>
      </c>
      <c r="AH811" s="4" t="str">
        <f t="shared" si="305"/>
        <v/>
      </c>
      <c r="AI811" s="4" t="str">
        <f t="shared" si="306"/>
        <v/>
      </c>
      <c r="AJ811" s="4" t="str">
        <f t="shared" si="307"/>
        <v/>
      </c>
      <c r="AK811" s="4" t="str">
        <f t="shared" si="308"/>
        <v/>
      </c>
      <c r="AL811" s="2" t="str">
        <f t="shared" si="309"/>
        <v/>
      </c>
      <c r="AM811" s="6" t="str">
        <f t="shared" si="310"/>
        <v/>
      </c>
      <c r="AN811" s="4" t="str">
        <f t="shared" si="311"/>
        <v/>
      </c>
      <c r="AO811" s="4" t="str">
        <f t="shared" si="312"/>
        <v/>
      </c>
      <c r="AP811" s="4" t="str">
        <f t="shared" si="313"/>
        <v/>
      </c>
      <c r="AQ811" s="4" t="str">
        <f t="shared" si="314"/>
        <v/>
      </c>
      <c r="AR811" s="4" t="str">
        <f t="shared" si="315"/>
        <v/>
      </c>
    </row>
    <row r="812" spans="8:44" s="1" customFormat="1" ht="14.25" x14ac:dyDescent="0.3">
      <c r="H812" s="50"/>
      <c r="J812" s="54"/>
      <c r="L812" s="54"/>
      <c r="R812" s="45"/>
      <c r="S812" s="54"/>
      <c r="T812" s="54"/>
      <c r="U812" s="54"/>
      <c r="V812" s="44"/>
      <c r="W812" s="27"/>
      <c r="Z812" s="27"/>
      <c r="AA812" s="8"/>
      <c r="AB812" s="81" t="str">
        <f t="shared" si="299"/>
        <v/>
      </c>
      <c r="AC812" s="6" t="str">
        <f t="shared" si="300"/>
        <v/>
      </c>
      <c r="AD812" s="1" t="str">
        <f t="shared" ca="1" si="301"/>
        <v/>
      </c>
      <c r="AE812" s="75" t="str">
        <f t="shared" si="302"/>
        <v/>
      </c>
      <c r="AF812" s="75" t="str">
        <f t="shared" si="303"/>
        <v/>
      </c>
      <c r="AG812" s="4" t="str">
        <f t="shared" si="304"/>
        <v/>
      </c>
      <c r="AH812" s="4" t="str">
        <f t="shared" si="305"/>
        <v/>
      </c>
      <c r="AI812" s="4" t="str">
        <f t="shared" si="306"/>
        <v/>
      </c>
      <c r="AJ812" s="4" t="str">
        <f t="shared" si="307"/>
        <v/>
      </c>
      <c r="AK812" s="4" t="str">
        <f t="shared" si="308"/>
        <v/>
      </c>
      <c r="AL812" s="2" t="str">
        <f t="shared" si="309"/>
        <v/>
      </c>
      <c r="AM812" s="6" t="str">
        <f t="shared" si="310"/>
        <v/>
      </c>
      <c r="AN812" s="4" t="str">
        <f t="shared" si="311"/>
        <v/>
      </c>
      <c r="AO812" s="4" t="str">
        <f t="shared" si="312"/>
        <v/>
      </c>
      <c r="AP812" s="4" t="str">
        <f t="shared" si="313"/>
        <v/>
      </c>
      <c r="AQ812" s="4" t="str">
        <f t="shared" si="314"/>
        <v/>
      </c>
      <c r="AR812" s="4" t="str">
        <f t="shared" si="315"/>
        <v/>
      </c>
    </row>
    <row r="813" spans="8:44" s="1" customFormat="1" ht="14.25" x14ac:dyDescent="0.3">
      <c r="H813" s="50"/>
      <c r="J813" s="54"/>
      <c r="L813" s="54"/>
      <c r="R813" s="45"/>
      <c r="S813" s="54"/>
      <c r="T813" s="54"/>
      <c r="U813" s="54"/>
      <c r="V813" s="44"/>
      <c r="W813" s="27"/>
      <c r="Z813" s="27"/>
      <c r="AA813" s="8"/>
      <c r="AB813" s="81" t="str">
        <f t="shared" si="299"/>
        <v/>
      </c>
      <c r="AC813" s="6" t="str">
        <f t="shared" si="300"/>
        <v/>
      </c>
      <c r="AD813" s="1" t="str">
        <f t="shared" ca="1" si="301"/>
        <v/>
      </c>
      <c r="AE813" s="75" t="str">
        <f t="shared" si="302"/>
        <v/>
      </c>
      <c r="AF813" s="75" t="str">
        <f t="shared" si="303"/>
        <v/>
      </c>
      <c r="AG813" s="4" t="str">
        <f t="shared" si="304"/>
        <v/>
      </c>
      <c r="AH813" s="4" t="str">
        <f t="shared" si="305"/>
        <v/>
      </c>
      <c r="AI813" s="4" t="str">
        <f t="shared" si="306"/>
        <v/>
      </c>
      <c r="AJ813" s="4" t="str">
        <f t="shared" si="307"/>
        <v/>
      </c>
      <c r="AK813" s="4" t="str">
        <f t="shared" si="308"/>
        <v/>
      </c>
      <c r="AL813" s="2" t="str">
        <f t="shared" si="309"/>
        <v/>
      </c>
      <c r="AM813" s="6" t="str">
        <f t="shared" si="310"/>
        <v/>
      </c>
      <c r="AN813" s="4" t="str">
        <f t="shared" si="311"/>
        <v/>
      </c>
      <c r="AO813" s="4" t="str">
        <f t="shared" si="312"/>
        <v/>
      </c>
      <c r="AP813" s="4" t="str">
        <f t="shared" si="313"/>
        <v/>
      </c>
      <c r="AQ813" s="4" t="str">
        <f t="shared" si="314"/>
        <v/>
      </c>
      <c r="AR813" s="4" t="str">
        <f t="shared" si="315"/>
        <v/>
      </c>
    </row>
    <row r="814" spans="8:44" s="1" customFormat="1" ht="14.25" x14ac:dyDescent="0.3">
      <c r="H814" s="50"/>
      <c r="J814" s="54"/>
      <c r="L814" s="54"/>
      <c r="R814" s="45"/>
      <c r="S814" s="54"/>
      <c r="T814" s="54"/>
      <c r="U814" s="54"/>
      <c r="V814" s="44"/>
      <c r="W814" s="27"/>
      <c r="Z814" s="27"/>
      <c r="AA814" s="8"/>
      <c r="AB814" s="81" t="str">
        <f t="shared" si="299"/>
        <v/>
      </c>
      <c r="AC814" s="6" t="str">
        <f t="shared" si="300"/>
        <v/>
      </c>
      <c r="AD814" s="1" t="str">
        <f t="shared" ca="1" si="301"/>
        <v/>
      </c>
      <c r="AE814" s="75" t="str">
        <f t="shared" si="302"/>
        <v/>
      </c>
      <c r="AF814" s="75" t="str">
        <f t="shared" si="303"/>
        <v/>
      </c>
      <c r="AG814" s="4" t="str">
        <f t="shared" si="304"/>
        <v/>
      </c>
      <c r="AH814" s="4" t="str">
        <f t="shared" si="305"/>
        <v/>
      </c>
      <c r="AI814" s="4" t="str">
        <f t="shared" si="306"/>
        <v/>
      </c>
      <c r="AJ814" s="4" t="str">
        <f t="shared" si="307"/>
        <v/>
      </c>
      <c r="AK814" s="4" t="str">
        <f t="shared" si="308"/>
        <v/>
      </c>
      <c r="AL814" s="2" t="str">
        <f t="shared" si="309"/>
        <v/>
      </c>
      <c r="AM814" s="6" t="str">
        <f t="shared" si="310"/>
        <v/>
      </c>
      <c r="AN814" s="4" t="str">
        <f t="shared" si="311"/>
        <v/>
      </c>
      <c r="AO814" s="4" t="str">
        <f t="shared" si="312"/>
        <v/>
      </c>
      <c r="AP814" s="4" t="str">
        <f t="shared" si="313"/>
        <v/>
      </c>
      <c r="AQ814" s="4" t="str">
        <f t="shared" si="314"/>
        <v/>
      </c>
      <c r="AR814" s="4" t="str">
        <f t="shared" si="315"/>
        <v/>
      </c>
    </row>
    <row r="815" spans="8:44" s="1" customFormat="1" ht="14.25" x14ac:dyDescent="0.3">
      <c r="H815" s="50"/>
      <c r="J815" s="54"/>
      <c r="L815" s="54"/>
      <c r="R815" s="45"/>
      <c r="S815" s="54"/>
      <c r="T815" s="54"/>
      <c r="U815" s="54"/>
      <c r="V815" s="44"/>
      <c r="W815" s="27"/>
      <c r="Z815" s="27"/>
      <c r="AA815" s="8"/>
      <c r="AB815" s="81" t="str">
        <f t="shared" si="299"/>
        <v/>
      </c>
      <c r="AC815" s="6" t="str">
        <f t="shared" si="300"/>
        <v/>
      </c>
      <c r="AD815" s="1" t="str">
        <f t="shared" ca="1" si="301"/>
        <v/>
      </c>
      <c r="AE815" s="75" t="str">
        <f t="shared" si="302"/>
        <v/>
      </c>
      <c r="AF815" s="75" t="str">
        <f t="shared" si="303"/>
        <v/>
      </c>
      <c r="AG815" s="4" t="str">
        <f t="shared" si="304"/>
        <v/>
      </c>
      <c r="AH815" s="4" t="str">
        <f t="shared" si="305"/>
        <v/>
      </c>
      <c r="AI815" s="4" t="str">
        <f t="shared" si="306"/>
        <v/>
      </c>
      <c r="AJ815" s="4" t="str">
        <f t="shared" si="307"/>
        <v/>
      </c>
      <c r="AK815" s="4" t="str">
        <f t="shared" si="308"/>
        <v/>
      </c>
      <c r="AL815" s="2" t="str">
        <f t="shared" si="309"/>
        <v/>
      </c>
      <c r="AM815" s="6" t="str">
        <f t="shared" si="310"/>
        <v/>
      </c>
      <c r="AN815" s="4" t="str">
        <f t="shared" si="311"/>
        <v/>
      </c>
      <c r="AO815" s="4" t="str">
        <f t="shared" si="312"/>
        <v/>
      </c>
      <c r="AP815" s="4" t="str">
        <f t="shared" si="313"/>
        <v/>
      </c>
      <c r="AQ815" s="4" t="str">
        <f t="shared" si="314"/>
        <v/>
      </c>
      <c r="AR815" s="4" t="str">
        <f t="shared" si="315"/>
        <v/>
      </c>
    </row>
    <row r="816" spans="8:44" s="1" customFormat="1" ht="14.25" x14ac:dyDescent="0.3">
      <c r="H816" s="50"/>
      <c r="J816" s="54"/>
      <c r="L816" s="54"/>
      <c r="R816" s="45"/>
      <c r="S816" s="54"/>
      <c r="T816" s="54"/>
      <c r="U816" s="54"/>
      <c r="V816" s="44"/>
      <c r="W816" s="27"/>
      <c r="Z816" s="27"/>
      <c r="AA816" s="8"/>
      <c r="AB816" s="81" t="str">
        <f t="shared" si="299"/>
        <v/>
      </c>
      <c r="AC816" s="6" t="str">
        <f t="shared" si="300"/>
        <v/>
      </c>
      <c r="AD816" s="1" t="str">
        <f t="shared" ca="1" si="301"/>
        <v/>
      </c>
      <c r="AE816" s="75" t="str">
        <f t="shared" si="302"/>
        <v/>
      </c>
      <c r="AF816" s="75" t="str">
        <f t="shared" si="303"/>
        <v/>
      </c>
      <c r="AG816" s="4" t="str">
        <f t="shared" si="304"/>
        <v/>
      </c>
      <c r="AH816" s="4" t="str">
        <f t="shared" si="305"/>
        <v/>
      </c>
      <c r="AI816" s="4" t="str">
        <f t="shared" si="306"/>
        <v/>
      </c>
      <c r="AJ816" s="4" t="str">
        <f t="shared" si="307"/>
        <v/>
      </c>
      <c r="AK816" s="4" t="str">
        <f t="shared" si="308"/>
        <v/>
      </c>
      <c r="AL816" s="2" t="str">
        <f t="shared" si="309"/>
        <v/>
      </c>
      <c r="AM816" s="6" t="str">
        <f t="shared" si="310"/>
        <v/>
      </c>
      <c r="AN816" s="4" t="str">
        <f t="shared" si="311"/>
        <v/>
      </c>
      <c r="AO816" s="4" t="str">
        <f t="shared" si="312"/>
        <v/>
      </c>
      <c r="AP816" s="4" t="str">
        <f t="shared" si="313"/>
        <v/>
      </c>
      <c r="AQ816" s="4" t="str">
        <f t="shared" si="314"/>
        <v/>
      </c>
      <c r="AR816" s="4" t="str">
        <f t="shared" si="315"/>
        <v/>
      </c>
    </row>
    <row r="817" spans="8:44" s="1" customFormat="1" ht="14.25" x14ac:dyDescent="0.3">
      <c r="H817" s="50"/>
      <c r="J817" s="54"/>
      <c r="L817" s="54"/>
      <c r="R817" s="45"/>
      <c r="S817" s="54"/>
      <c r="T817" s="54"/>
      <c r="U817" s="54"/>
      <c r="V817" s="44"/>
      <c r="W817" s="27"/>
      <c r="Z817" s="27"/>
      <c r="AA817" s="8"/>
      <c r="AB817" s="81" t="str">
        <f t="shared" si="299"/>
        <v/>
      </c>
      <c r="AC817" s="6" t="str">
        <f t="shared" si="300"/>
        <v/>
      </c>
      <c r="AD817" s="1" t="str">
        <f t="shared" ca="1" si="301"/>
        <v/>
      </c>
      <c r="AE817" s="75" t="str">
        <f t="shared" si="302"/>
        <v/>
      </c>
      <c r="AF817" s="75" t="str">
        <f t="shared" si="303"/>
        <v/>
      </c>
      <c r="AG817" s="4" t="str">
        <f t="shared" si="304"/>
        <v/>
      </c>
      <c r="AH817" s="4" t="str">
        <f t="shared" si="305"/>
        <v/>
      </c>
      <c r="AI817" s="4" t="str">
        <f t="shared" si="306"/>
        <v/>
      </c>
      <c r="AJ817" s="4" t="str">
        <f t="shared" si="307"/>
        <v/>
      </c>
      <c r="AK817" s="4" t="str">
        <f t="shared" si="308"/>
        <v/>
      </c>
      <c r="AL817" s="2" t="str">
        <f t="shared" si="309"/>
        <v/>
      </c>
      <c r="AM817" s="6" t="str">
        <f t="shared" si="310"/>
        <v/>
      </c>
      <c r="AN817" s="4" t="str">
        <f t="shared" si="311"/>
        <v/>
      </c>
      <c r="AO817" s="4" t="str">
        <f t="shared" si="312"/>
        <v/>
      </c>
      <c r="AP817" s="4" t="str">
        <f t="shared" si="313"/>
        <v/>
      </c>
      <c r="AQ817" s="4" t="str">
        <f t="shared" si="314"/>
        <v/>
      </c>
      <c r="AR817" s="4" t="str">
        <f t="shared" si="315"/>
        <v/>
      </c>
    </row>
    <row r="818" spans="8:44" s="1" customFormat="1" ht="14.25" x14ac:dyDescent="0.3">
      <c r="H818" s="50"/>
      <c r="J818" s="54"/>
      <c r="L818" s="54"/>
      <c r="R818" s="45"/>
      <c r="S818" s="54"/>
      <c r="T818" s="54"/>
      <c r="U818" s="54"/>
      <c r="V818" s="44"/>
      <c r="W818" s="27"/>
      <c r="Z818" s="27"/>
      <c r="AA818" s="8"/>
      <c r="AB818" s="81" t="str">
        <f t="shared" si="299"/>
        <v/>
      </c>
      <c r="AC818" s="6" t="str">
        <f t="shared" si="300"/>
        <v/>
      </c>
      <c r="AD818" s="1" t="str">
        <f t="shared" ca="1" si="301"/>
        <v/>
      </c>
      <c r="AE818" s="75" t="str">
        <f t="shared" si="302"/>
        <v/>
      </c>
      <c r="AF818" s="75" t="str">
        <f t="shared" si="303"/>
        <v/>
      </c>
      <c r="AG818" s="4" t="str">
        <f t="shared" si="304"/>
        <v/>
      </c>
      <c r="AH818" s="4" t="str">
        <f t="shared" si="305"/>
        <v/>
      </c>
      <c r="AI818" s="4" t="str">
        <f t="shared" si="306"/>
        <v/>
      </c>
      <c r="AJ818" s="4" t="str">
        <f t="shared" si="307"/>
        <v/>
      </c>
      <c r="AK818" s="4" t="str">
        <f t="shared" si="308"/>
        <v/>
      </c>
      <c r="AL818" s="2" t="str">
        <f t="shared" si="309"/>
        <v/>
      </c>
      <c r="AM818" s="6" t="str">
        <f t="shared" si="310"/>
        <v/>
      </c>
      <c r="AN818" s="4" t="str">
        <f t="shared" si="311"/>
        <v/>
      </c>
      <c r="AO818" s="4" t="str">
        <f t="shared" si="312"/>
        <v/>
      </c>
      <c r="AP818" s="4" t="str">
        <f t="shared" si="313"/>
        <v/>
      </c>
      <c r="AQ818" s="4" t="str">
        <f t="shared" si="314"/>
        <v/>
      </c>
      <c r="AR818" s="4" t="str">
        <f t="shared" si="315"/>
        <v/>
      </c>
    </row>
    <row r="819" spans="8:44" s="1" customFormat="1" ht="14.25" x14ac:dyDescent="0.3">
      <c r="H819" s="50"/>
      <c r="J819" s="54"/>
      <c r="L819" s="54"/>
      <c r="R819" s="45"/>
      <c r="S819" s="54"/>
      <c r="T819" s="54"/>
      <c r="U819" s="54"/>
      <c r="V819" s="44"/>
      <c r="W819" s="27"/>
      <c r="Z819" s="27"/>
      <c r="AA819" s="8"/>
      <c r="AB819" s="81" t="str">
        <f t="shared" si="299"/>
        <v/>
      </c>
      <c r="AC819" s="6" t="str">
        <f t="shared" si="300"/>
        <v/>
      </c>
      <c r="AD819" s="1" t="str">
        <f t="shared" ca="1" si="301"/>
        <v/>
      </c>
      <c r="AE819" s="75" t="str">
        <f t="shared" si="302"/>
        <v/>
      </c>
      <c r="AF819" s="75" t="str">
        <f t="shared" si="303"/>
        <v/>
      </c>
      <c r="AG819" s="4" t="str">
        <f t="shared" si="304"/>
        <v/>
      </c>
      <c r="AH819" s="4" t="str">
        <f t="shared" si="305"/>
        <v/>
      </c>
      <c r="AI819" s="4" t="str">
        <f t="shared" si="306"/>
        <v/>
      </c>
      <c r="AJ819" s="4" t="str">
        <f t="shared" si="307"/>
        <v/>
      </c>
      <c r="AK819" s="4" t="str">
        <f t="shared" si="308"/>
        <v/>
      </c>
      <c r="AL819" s="2" t="str">
        <f t="shared" si="309"/>
        <v/>
      </c>
      <c r="AM819" s="6" t="str">
        <f t="shared" si="310"/>
        <v/>
      </c>
      <c r="AN819" s="4" t="str">
        <f t="shared" si="311"/>
        <v/>
      </c>
      <c r="AO819" s="4" t="str">
        <f t="shared" si="312"/>
        <v/>
      </c>
      <c r="AP819" s="4" t="str">
        <f t="shared" si="313"/>
        <v/>
      </c>
      <c r="AQ819" s="4" t="str">
        <f t="shared" si="314"/>
        <v/>
      </c>
      <c r="AR819" s="4" t="str">
        <f t="shared" si="315"/>
        <v/>
      </c>
    </row>
    <row r="820" spans="8:44" s="1" customFormat="1" ht="14.25" x14ac:dyDescent="0.3">
      <c r="H820" s="50"/>
      <c r="J820" s="54"/>
      <c r="L820" s="54"/>
      <c r="R820" s="45"/>
      <c r="S820" s="54"/>
      <c r="T820" s="54"/>
      <c r="U820" s="54"/>
      <c r="V820" s="44"/>
      <c r="W820" s="27"/>
      <c r="Z820" s="27"/>
      <c r="AA820" s="8"/>
      <c r="AB820" s="81" t="str">
        <f t="shared" si="299"/>
        <v/>
      </c>
      <c r="AC820" s="6" t="str">
        <f t="shared" si="300"/>
        <v/>
      </c>
      <c r="AD820" s="1" t="str">
        <f t="shared" ca="1" si="301"/>
        <v/>
      </c>
      <c r="AE820" s="75" t="str">
        <f t="shared" si="302"/>
        <v/>
      </c>
      <c r="AF820" s="75" t="str">
        <f t="shared" si="303"/>
        <v/>
      </c>
      <c r="AG820" s="4" t="str">
        <f t="shared" si="304"/>
        <v/>
      </c>
      <c r="AH820" s="4" t="str">
        <f t="shared" si="305"/>
        <v/>
      </c>
      <c r="AI820" s="4" t="str">
        <f t="shared" si="306"/>
        <v/>
      </c>
      <c r="AJ820" s="4" t="str">
        <f t="shared" si="307"/>
        <v/>
      </c>
      <c r="AK820" s="4" t="str">
        <f t="shared" si="308"/>
        <v/>
      </c>
      <c r="AL820" s="2" t="str">
        <f t="shared" si="309"/>
        <v/>
      </c>
      <c r="AM820" s="6" t="str">
        <f t="shared" si="310"/>
        <v/>
      </c>
      <c r="AN820" s="4" t="str">
        <f t="shared" si="311"/>
        <v/>
      </c>
      <c r="AO820" s="4" t="str">
        <f t="shared" si="312"/>
        <v/>
      </c>
      <c r="AP820" s="4" t="str">
        <f t="shared" si="313"/>
        <v/>
      </c>
      <c r="AQ820" s="4" t="str">
        <f t="shared" si="314"/>
        <v/>
      </c>
      <c r="AR820" s="4" t="str">
        <f t="shared" si="315"/>
        <v/>
      </c>
    </row>
    <row r="821" spans="8:44" s="1" customFormat="1" ht="14.25" x14ac:dyDescent="0.3">
      <c r="H821" s="50"/>
      <c r="J821" s="54"/>
      <c r="L821" s="54"/>
      <c r="R821" s="45"/>
      <c r="S821" s="54"/>
      <c r="T821" s="54"/>
      <c r="U821" s="54"/>
      <c r="V821" s="44"/>
      <c r="W821" s="27"/>
      <c r="Z821" s="27"/>
      <c r="AA821" s="8"/>
      <c r="AB821" s="81" t="str">
        <f t="shared" si="299"/>
        <v/>
      </c>
      <c r="AC821" s="6" t="str">
        <f t="shared" si="300"/>
        <v/>
      </c>
      <c r="AD821" s="1" t="str">
        <f t="shared" ca="1" si="301"/>
        <v/>
      </c>
      <c r="AE821" s="75" t="str">
        <f t="shared" si="302"/>
        <v/>
      </c>
      <c r="AF821" s="75" t="str">
        <f t="shared" si="303"/>
        <v/>
      </c>
      <c r="AG821" s="4" t="str">
        <f t="shared" si="304"/>
        <v/>
      </c>
      <c r="AH821" s="4" t="str">
        <f t="shared" si="305"/>
        <v/>
      </c>
      <c r="AI821" s="4" t="str">
        <f t="shared" si="306"/>
        <v/>
      </c>
      <c r="AJ821" s="4" t="str">
        <f t="shared" si="307"/>
        <v/>
      </c>
      <c r="AK821" s="4" t="str">
        <f t="shared" si="308"/>
        <v/>
      </c>
      <c r="AL821" s="2" t="str">
        <f t="shared" si="309"/>
        <v/>
      </c>
      <c r="AM821" s="6" t="str">
        <f t="shared" si="310"/>
        <v/>
      </c>
      <c r="AN821" s="4" t="str">
        <f t="shared" si="311"/>
        <v/>
      </c>
      <c r="AO821" s="4" t="str">
        <f t="shared" si="312"/>
        <v/>
      </c>
      <c r="AP821" s="4" t="str">
        <f t="shared" si="313"/>
        <v/>
      </c>
      <c r="AQ821" s="4" t="str">
        <f t="shared" si="314"/>
        <v/>
      </c>
      <c r="AR821" s="4" t="str">
        <f t="shared" si="315"/>
        <v/>
      </c>
    </row>
    <row r="822" spans="8:44" s="1" customFormat="1" ht="14.25" x14ac:dyDescent="0.3">
      <c r="H822" s="50"/>
      <c r="J822" s="54"/>
      <c r="L822" s="54"/>
      <c r="R822" s="45"/>
      <c r="S822" s="54"/>
      <c r="T822" s="54"/>
      <c r="U822" s="54"/>
      <c r="V822" s="44"/>
      <c r="W822" s="27"/>
      <c r="Z822" s="27"/>
      <c r="AA822" s="8"/>
      <c r="AB822" s="81" t="str">
        <f t="shared" si="299"/>
        <v/>
      </c>
      <c r="AC822" s="6" t="str">
        <f t="shared" si="300"/>
        <v/>
      </c>
      <c r="AD822" s="1" t="str">
        <f t="shared" ca="1" si="301"/>
        <v/>
      </c>
      <c r="AE822" s="75" t="str">
        <f t="shared" si="302"/>
        <v/>
      </c>
      <c r="AF822" s="75" t="str">
        <f t="shared" si="303"/>
        <v/>
      </c>
      <c r="AG822" s="4" t="str">
        <f t="shared" si="304"/>
        <v/>
      </c>
      <c r="AH822" s="4" t="str">
        <f t="shared" si="305"/>
        <v/>
      </c>
      <c r="AI822" s="4" t="str">
        <f t="shared" si="306"/>
        <v/>
      </c>
      <c r="AJ822" s="4" t="str">
        <f t="shared" si="307"/>
        <v/>
      </c>
      <c r="AK822" s="4" t="str">
        <f t="shared" si="308"/>
        <v/>
      </c>
      <c r="AL822" s="2" t="str">
        <f t="shared" si="309"/>
        <v/>
      </c>
      <c r="AM822" s="6" t="str">
        <f t="shared" si="310"/>
        <v/>
      </c>
      <c r="AN822" s="4" t="str">
        <f t="shared" si="311"/>
        <v/>
      </c>
      <c r="AO822" s="4" t="str">
        <f t="shared" si="312"/>
        <v/>
      </c>
      <c r="AP822" s="4" t="str">
        <f t="shared" si="313"/>
        <v/>
      </c>
      <c r="AQ822" s="4" t="str">
        <f t="shared" si="314"/>
        <v/>
      </c>
      <c r="AR822" s="4" t="str">
        <f t="shared" si="315"/>
        <v/>
      </c>
    </row>
    <row r="823" spans="8:44" s="1" customFormat="1" ht="14.25" x14ac:dyDescent="0.3">
      <c r="H823" s="50"/>
      <c r="J823" s="54"/>
      <c r="L823" s="54"/>
      <c r="R823" s="45"/>
      <c r="S823" s="54"/>
      <c r="T823" s="54"/>
      <c r="U823" s="54"/>
      <c r="V823" s="44"/>
      <c r="W823" s="27"/>
      <c r="Z823" s="27"/>
      <c r="AA823" s="8"/>
      <c r="AB823" s="81" t="str">
        <f t="shared" si="299"/>
        <v/>
      </c>
      <c r="AC823" s="6" t="str">
        <f t="shared" si="300"/>
        <v/>
      </c>
      <c r="AD823" s="1" t="str">
        <f t="shared" ca="1" si="301"/>
        <v/>
      </c>
      <c r="AE823" s="75" t="str">
        <f t="shared" si="302"/>
        <v/>
      </c>
      <c r="AF823" s="75" t="str">
        <f t="shared" si="303"/>
        <v/>
      </c>
      <c r="AG823" s="4" t="str">
        <f t="shared" si="304"/>
        <v/>
      </c>
      <c r="AH823" s="4" t="str">
        <f t="shared" si="305"/>
        <v/>
      </c>
      <c r="AI823" s="4" t="str">
        <f t="shared" si="306"/>
        <v/>
      </c>
      <c r="AJ823" s="4" t="str">
        <f t="shared" si="307"/>
        <v/>
      </c>
      <c r="AK823" s="4" t="str">
        <f t="shared" si="308"/>
        <v/>
      </c>
      <c r="AL823" s="2" t="str">
        <f t="shared" si="309"/>
        <v/>
      </c>
      <c r="AM823" s="6" t="str">
        <f t="shared" si="310"/>
        <v/>
      </c>
      <c r="AN823" s="4" t="str">
        <f t="shared" si="311"/>
        <v/>
      </c>
      <c r="AO823" s="4" t="str">
        <f t="shared" si="312"/>
        <v/>
      </c>
      <c r="AP823" s="4" t="str">
        <f t="shared" si="313"/>
        <v/>
      </c>
      <c r="AQ823" s="4" t="str">
        <f t="shared" si="314"/>
        <v/>
      </c>
      <c r="AR823" s="4" t="str">
        <f t="shared" si="315"/>
        <v/>
      </c>
    </row>
    <row r="824" spans="8:44" s="1" customFormat="1" ht="14.25" x14ac:dyDescent="0.3">
      <c r="H824" s="50"/>
      <c r="J824" s="54"/>
      <c r="L824" s="54"/>
      <c r="R824" s="45"/>
      <c r="S824" s="54"/>
      <c r="T824" s="54"/>
      <c r="U824" s="54"/>
      <c r="V824" s="44"/>
      <c r="W824" s="27"/>
      <c r="Z824" s="27"/>
      <c r="AA824" s="8"/>
      <c r="AB824" s="81" t="str">
        <f t="shared" si="299"/>
        <v/>
      </c>
      <c r="AC824" s="6" t="str">
        <f t="shared" si="300"/>
        <v/>
      </c>
      <c r="AD824" s="1" t="str">
        <f t="shared" ca="1" si="301"/>
        <v/>
      </c>
      <c r="AE824" s="75" t="str">
        <f t="shared" si="302"/>
        <v/>
      </c>
      <c r="AF824" s="75" t="str">
        <f t="shared" si="303"/>
        <v/>
      </c>
      <c r="AG824" s="4" t="str">
        <f t="shared" si="304"/>
        <v/>
      </c>
      <c r="AH824" s="4" t="str">
        <f t="shared" si="305"/>
        <v/>
      </c>
      <c r="AI824" s="4" t="str">
        <f t="shared" si="306"/>
        <v/>
      </c>
      <c r="AJ824" s="4" t="str">
        <f t="shared" si="307"/>
        <v/>
      </c>
      <c r="AK824" s="4" t="str">
        <f t="shared" si="308"/>
        <v/>
      </c>
      <c r="AL824" s="2" t="str">
        <f t="shared" si="309"/>
        <v/>
      </c>
      <c r="AM824" s="6" t="str">
        <f t="shared" si="310"/>
        <v/>
      </c>
      <c r="AN824" s="4" t="str">
        <f t="shared" si="311"/>
        <v/>
      </c>
      <c r="AO824" s="4" t="str">
        <f t="shared" si="312"/>
        <v/>
      </c>
      <c r="AP824" s="4" t="str">
        <f t="shared" si="313"/>
        <v/>
      </c>
      <c r="AQ824" s="4" t="str">
        <f t="shared" si="314"/>
        <v/>
      </c>
      <c r="AR824" s="4" t="str">
        <f t="shared" si="315"/>
        <v/>
      </c>
    </row>
    <row r="825" spans="8:44" s="1" customFormat="1" ht="14.25" x14ac:dyDescent="0.3">
      <c r="H825" s="50"/>
      <c r="J825" s="54"/>
      <c r="L825" s="54"/>
      <c r="R825" s="45"/>
      <c r="S825" s="54"/>
      <c r="T825" s="54"/>
      <c r="U825" s="54"/>
      <c r="V825" s="44"/>
      <c r="W825" s="27"/>
      <c r="Z825" s="27"/>
      <c r="AA825" s="8"/>
      <c r="AB825" s="81" t="str">
        <f t="shared" si="299"/>
        <v/>
      </c>
      <c r="AC825" s="6" t="str">
        <f t="shared" si="300"/>
        <v/>
      </c>
      <c r="AD825" s="1" t="str">
        <f t="shared" ca="1" si="301"/>
        <v/>
      </c>
      <c r="AE825" s="75" t="str">
        <f t="shared" si="302"/>
        <v/>
      </c>
      <c r="AF825" s="75" t="str">
        <f t="shared" si="303"/>
        <v/>
      </c>
      <c r="AG825" s="4" t="str">
        <f t="shared" si="304"/>
        <v/>
      </c>
      <c r="AH825" s="4" t="str">
        <f t="shared" si="305"/>
        <v/>
      </c>
      <c r="AI825" s="4" t="str">
        <f t="shared" si="306"/>
        <v/>
      </c>
      <c r="AJ825" s="4" t="str">
        <f t="shared" si="307"/>
        <v/>
      </c>
      <c r="AK825" s="4" t="str">
        <f t="shared" si="308"/>
        <v/>
      </c>
      <c r="AL825" s="2" t="str">
        <f t="shared" si="309"/>
        <v/>
      </c>
      <c r="AM825" s="6" t="str">
        <f t="shared" si="310"/>
        <v/>
      </c>
      <c r="AN825" s="4" t="str">
        <f t="shared" si="311"/>
        <v/>
      </c>
      <c r="AO825" s="4" t="str">
        <f t="shared" si="312"/>
        <v/>
      </c>
      <c r="AP825" s="4" t="str">
        <f t="shared" si="313"/>
        <v/>
      </c>
      <c r="AQ825" s="4" t="str">
        <f t="shared" si="314"/>
        <v/>
      </c>
      <c r="AR825" s="4" t="str">
        <f t="shared" si="315"/>
        <v/>
      </c>
    </row>
    <row r="826" spans="8:44" s="1" customFormat="1" ht="14.25" x14ac:dyDescent="0.3">
      <c r="H826" s="50"/>
      <c r="J826" s="54"/>
      <c r="L826" s="54"/>
      <c r="R826" s="45"/>
      <c r="S826" s="54"/>
      <c r="T826" s="54"/>
      <c r="U826" s="54"/>
      <c r="V826" s="44"/>
      <c r="W826" s="27"/>
      <c r="Z826" s="27"/>
      <c r="AA826" s="8"/>
      <c r="AB826" s="81" t="str">
        <f t="shared" si="299"/>
        <v/>
      </c>
      <c r="AC826" s="6" t="str">
        <f t="shared" si="300"/>
        <v/>
      </c>
      <c r="AD826" s="1" t="str">
        <f t="shared" ca="1" si="301"/>
        <v/>
      </c>
      <c r="AE826" s="75" t="str">
        <f t="shared" si="302"/>
        <v/>
      </c>
      <c r="AF826" s="75" t="str">
        <f t="shared" si="303"/>
        <v/>
      </c>
      <c r="AG826" s="4" t="str">
        <f t="shared" si="304"/>
        <v/>
      </c>
      <c r="AH826" s="4" t="str">
        <f t="shared" si="305"/>
        <v/>
      </c>
      <c r="AI826" s="4" t="str">
        <f t="shared" si="306"/>
        <v/>
      </c>
      <c r="AJ826" s="4" t="str">
        <f t="shared" si="307"/>
        <v/>
      </c>
      <c r="AK826" s="4" t="str">
        <f t="shared" si="308"/>
        <v/>
      </c>
      <c r="AL826" s="2" t="str">
        <f t="shared" si="309"/>
        <v/>
      </c>
      <c r="AM826" s="6" t="str">
        <f t="shared" si="310"/>
        <v/>
      </c>
      <c r="AN826" s="4" t="str">
        <f t="shared" si="311"/>
        <v/>
      </c>
      <c r="AO826" s="4" t="str">
        <f t="shared" si="312"/>
        <v/>
      </c>
      <c r="AP826" s="4" t="str">
        <f t="shared" si="313"/>
        <v/>
      </c>
      <c r="AQ826" s="4" t="str">
        <f t="shared" si="314"/>
        <v/>
      </c>
      <c r="AR826" s="4" t="str">
        <f t="shared" si="315"/>
        <v/>
      </c>
    </row>
    <row r="827" spans="8:44" s="1" customFormat="1" ht="14.25" x14ac:dyDescent="0.3">
      <c r="H827" s="50"/>
      <c r="J827" s="54"/>
      <c r="L827" s="54"/>
      <c r="R827" s="45"/>
      <c r="S827" s="54"/>
      <c r="T827" s="54"/>
      <c r="U827" s="54"/>
      <c r="V827" s="44"/>
      <c r="W827" s="27"/>
      <c r="Z827" s="27"/>
      <c r="AA827" s="8"/>
      <c r="AB827" s="81" t="str">
        <f t="shared" si="299"/>
        <v/>
      </c>
      <c r="AC827" s="6" t="str">
        <f t="shared" si="300"/>
        <v/>
      </c>
      <c r="AD827" s="1" t="str">
        <f t="shared" ca="1" si="301"/>
        <v/>
      </c>
      <c r="AE827" s="75" t="str">
        <f t="shared" si="302"/>
        <v/>
      </c>
      <c r="AF827" s="75" t="str">
        <f t="shared" si="303"/>
        <v/>
      </c>
      <c r="AG827" s="4" t="str">
        <f t="shared" si="304"/>
        <v/>
      </c>
      <c r="AH827" s="4" t="str">
        <f t="shared" si="305"/>
        <v/>
      </c>
      <c r="AI827" s="4" t="str">
        <f t="shared" si="306"/>
        <v/>
      </c>
      <c r="AJ827" s="4" t="str">
        <f t="shared" si="307"/>
        <v/>
      </c>
      <c r="AK827" s="4" t="str">
        <f t="shared" si="308"/>
        <v/>
      </c>
      <c r="AL827" s="2" t="str">
        <f t="shared" si="309"/>
        <v/>
      </c>
      <c r="AM827" s="6" t="str">
        <f t="shared" si="310"/>
        <v/>
      </c>
      <c r="AN827" s="4" t="str">
        <f t="shared" si="311"/>
        <v/>
      </c>
      <c r="AO827" s="4" t="str">
        <f t="shared" si="312"/>
        <v/>
      </c>
      <c r="AP827" s="4" t="str">
        <f t="shared" si="313"/>
        <v/>
      </c>
      <c r="AQ827" s="4" t="str">
        <f t="shared" si="314"/>
        <v/>
      </c>
      <c r="AR827" s="4" t="str">
        <f t="shared" si="315"/>
        <v/>
      </c>
    </row>
    <row r="828" spans="8:44" s="1" customFormat="1" ht="14.25" x14ac:dyDescent="0.3">
      <c r="H828" s="50"/>
      <c r="J828" s="54"/>
      <c r="L828" s="54"/>
      <c r="R828" s="45"/>
      <c r="S828" s="54"/>
      <c r="T828" s="54"/>
      <c r="U828" s="54"/>
      <c r="V828" s="44"/>
      <c r="W828" s="27"/>
      <c r="Z828" s="27"/>
      <c r="AA828" s="8"/>
      <c r="AB828" s="81" t="str">
        <f t="shared" si="299"/>
        <v/>
      </c>
      <c r="AC828" s="6" t="str">
        <f t="shared" si="300"/>
        <v/>
      </c>
      <c r="AD828" s="1" t="str">
        <f t="shared" ca="1" si="301"/>
        <v/>
      </c>
      <c r="AE828" s="75" t="str">
        <f t="shared" si="302"/>
        <v/>
      </c>
      <c r="AF828" s="75" t="str">
        <f t="shared" si="303"/>
        <v/>
      </c>
      <c r="AG828" s="4" t="str">
        <f t="shared" si="304"/>
        <v/>
      </c>
      <c r="AH828" s="4" t="str">
        <f t="shared" si="305"/>
        <v/>
      </c>
      <c r="AI828" s="4" t="str">
        <f t="shared" si="306"/>
        <v/>
      </c>
      <c r="AJ828" s="4" t="str">
        <f t="shared" si="307"/>
        <v/>
      </c>
      <c r="AK828" s="4" t="str">
        <f t="shared" si="308"/>
        <v/>
      </c>
      <c r="AL828" s="2" t="str">
        <f t="shared" si="309"/>
        <v/>
      </c>
      <c r="AM828" s="6" t="str">
        <f t="shared" si="310"/>
        <v/>
      </c>
      <c r="AN828" s="4" t="str">
        <f t="shared" si="311"/>
        <v/>
      </c>
      <c r="AO828" s="4" t="str">
        <f t="shared" si="312"/>
        <v/>
      </c>
      <c r="AP828" s="4" t="str">
        <f t="shared" si="313"/>
        <v/>
      </c>
      <c r="AQ828" s="4" t="str">
        <f t="shared" si="314"/>
        <v/>
      </c>
      <c r="AR828" s="4" t="str">
        <f t="shared" si="315"/>
        <v/>
      </c>
    </row>
    <row r="829" spans="8:44" s="1" customFormat="1" ht="14.25" x14ac:dyDescent="0.3">
      <c r="H829" s="50"/>
      <c r="J829" s="54"/>
      <c r="L829" s="54"/>
      <c r="R829" s="45"/>
      <c r="S829" s="54"/>
      <c r="T829" s="54"/>
      <c r="U829" s="54"/>
      <c r="V829" s="44"/>
      <c r="W829" s="27"/>
      <c r="Z829" s="27"/>
      <c r="AA829" s="8"/>
      <c r="AB829" s="81" t="str">
        <f t="shared" ref="AB829:AB892" si="316">IF(X829="","",(AH829-AG829)/AG829)</f>
        <v/>
      </c>
      <c r="AC829" s="6" t="str">
        <f t="shared" ref="AC829:AC892" si="317">IF(X829="","",AH829-AG829)</f>
        <v/>
      </c>
      <c r="AD829" s="1" t="str">
        <f t="shared" ref="AD829:AD892" ca="1" si="318">IF(X829="","",IF(W829="","",IF(Z829="",TODAY()-W829,Z829-W829)))</f>
        <v/>
      </c>
      <c r="AE829" s="75" t="str">
        <f t="shared" ref="AE829:AE892" si="319">IF(X829="","",IF(AE828="",IF(AM829="","",AM829),IF(AM829="",AE828,AE828+AM829)))</f>
        <v/>
      </c>
      <c r="AF829" s="75" t="str">
        <f t="shared" ref="AF829:AF892" si="320">IF(X829="","",IF(AF828="",IF(AN829="","",AN829),IF(AN829="",AF828,AF828+AN829)))</f>
        <v/>
      </c>
      <c r="AG829" s="4" t="str">
        <f t="shared" ref="AG829:AG892" si="321">IF(X829="","",X829*Y829*100+AO829+AP829)</f>
        <v/>
      </c>
      <c r="AH829" s="4" t="str">
        <f t="shared" ref="AH829:AH892" si="322">IF(X829="","",IF(AA829="",C829*Y829*100-AO829-AQ829-AR829,AA829*Y829*100-AO829-AQ829-AR829))</f>
        <v/>
      </c>
      <c r="AI829" s="4" t="str">
        <f t="shared" ref="AI829:AI892" si="323">IF(X829="","",AI828+AC829)</f>
        <v/>
      </c>
      <c r="AJ829" s="4" t="str">
        <f t="shared" ref="AJ829:AJ892" si="324">IF(X829="","",AO829+AP829+AO829+AQ829+AR829)</f>
        <v/>
      </c>
      <c r="AK829" s="4" t="str">
        <f t="shared" ref="AK829:AK892" si="325">IF(X829="","",AK828+AJ829)</f>
        <v/>
      </c>
      <c r="AL829" s="2" t="str">
        <f t="shared" ref="AL829:AL892" si="326">IF(X829="","",0.18%)</f>
        <v/>
      </c>
      <c r="AM829" s="6" t="str">
        <f t="shared" ref="AM829:AM892" si="327">IF(X829="","",IF(Z829="",AC829,""))</f>
        <v/>
      </c>
      <c r="AN829" s="4" t="str">
        <f t="shared" ref="AN829:AN892" si="328">IF(X829="","",IF(Z829="",AH829,""))</f>
        <v/>
      </c>
      <c r="AO829" s="4" t="str">
        <f t="shared" ref="AO829:AO892" si="329">IF(X829="","",IF(LEFT(A829,2)="sh",IF(Y829*100/1000&lt;=1,1,Y829*100/1000),0))</f>
        <v/>
      </c>
      <c r="AP829" s="4" t="str">
        <f t="shared" ref="AP829:AP892" si="330">IF(X829="","",IF(X829*Y829*100*AL829&lt;=5,5,X829*Y829*100*AL829))</f>
        <v/>
      </c>
      <c r="AQ829" s="4" t="str">
        <f t="shared" ref="AQ829:AQ892" si="331">IF(X829="","",IF(AA829="",IF(C829*Y829*100*AL829&lt;=5,5,C829*Y829*100*AL829),IF(AA829*Y829*100*AL829&lt;=5,5,AA829*Y829*100*AL829)))</f>
        <v/>
      </c>
      <c r="AR829" s="4" t="str">
        <f t="shared" ref="AR829:AR892" si="332">IF(X829="","",IF(AA829="",C829*Y829*100*0.001,AA829*Y829*100*0.001))</f>
        <v/>
      </c>
    </row>
    <row r="830" spans="8:44" s="1" customFormat="1" ht="14.25" x14ac:dyDescent="0.3">
      <c r="H830" s="50"/>
      <c r="J830" s="54"/>
      <c r="L830" s="54"/>
      <c r="R830" s="45"/>
      <c r="S830" s="54"/>
      <c r="T830" s="54"/>
      <c r="U830" s="54"/>
      <c r="V830" s="44"/>
      <c r="W830" s="27"/>
      <c r="Z830" s="27"/>
      <c r="AA830" s="8"/>
      <c r="AB830" s="81" t="str">
        <f t="shared" si="316"/>
        <v/>
      </c>
      <c r="AC830" s="6" t="str">
        <f t="shared" si="317"/>
        <v/>
      </c>
      <c r="AD830" s="1" t="str">
        <f t="shared" ca="1" si="318"/>
        <v/>
      </c>
      <c r="AE830" s="75" t="str">
        <f t="shared" si="319"/>
        <v/>
      </c>
      <c r="AF830" s="75" t="str">
        <f t="shared" si="320"/>
        <v/>
      </c>
      <c r="AG830" s="4" t="str">
        <f t="shared" si="321"/>
        <v/>
      </c>
      <c r="AH830" s="4" t="str">
        <f t="shared" si="322"/>
        <v/>
      </c>
      <c r="AI830" s="4" t="str">
        <f t="shared" si="323"/>
        <v/>
      </c>
      <c r="AJ830" s="4" t="str">
        <f t="shared" si="324"/>
        <v/>
      </c>
      <c r="AK830" s="4" t="str">
        <f t="shared" si="325"/>
        <v/>
      </c>
      <c r="AL830" s="2" t="str">
        <f t="shared" si="326"/>
        <v/>
      </c>
      <c r="AM830" s="6" t="str">
        <f t="shared" si="327"/>
        <v/>
      </c>
      <c r="AN830" s="4" t="str">
        <f t="shared" si="328"/>
        <v/>
      </c>
      <c r="AO830" s="4" t="str">
        <f t="shared" si="329"/>
        <v/>
      </c>
      <c r="AP830" s="4" t="str">
        <f t="shared" si="330"/>
        <v/>
      </c>
      <c r="AQ830" s="4" t="str">
        <f t="shared" si="331"/>
        <v/>
      </c>
      <c r="AR830" s="4" t="str">
        <f t="shared" si="332"/>
        <v/>
      </c>
    </row>
    <row r="831" spans="8:44" s="1" customFormat="1" ht="14.25" x14ac:dyDescent="0.3">
      <c r="H831" s="50"/>
      <c r="J831" s="54"/>
      <c r="L831" s="54"/>
      <c r="R831" s="45"/>
      <c r="S831" s="54"/>
      <c r="T831" s="54"/>
      <c r="U831" s="54"/>
      <c r="V831" s="44"/>
      <c r="W831" s="27"/>
      <c r="Z831" s="27"/>
      <c r="AA831" s="8"/>
      <c r="AB831" s="81" t="str">
        <f t="shared" si="316"/>
        <v/>
      </c>
      <c r="AC831" s="6" t="str">
        <f t="shared" si="317"/>
        <v/>
      </c>
      <c r="AD831" s="1" t="str">
        <f t="shared" ca="1" si="318"/>
        <v/>
      </c>
      <c r="AE831" s="75" t="str">
        <f t="shared" si="319"/>
        <v/>
      </c>
      <c r="AF831" s="75" t="str">
        <f t="shared" si="320"/>
        <v/>
      </c>
      <c r="AG831" s="4" t="str">
        <f t="shared" si="321"/>
        <v/>
      </c>
      <c r="AH831" s="4" t="str">
        <f t="shared" si="322"/>
        <v/>
      </c>
      <c r="AI831" s="4" t="str">
        <f t="shared" si="323"/>
        <v/>
      </c>
      <c r="AJ831" s="4" t="str">
        <f t="shared" si="324"/>
        <v/>
      </c>
      <c r="AK831" s="4" t="str">
        <f t="shared" si="325"/>
        <v/>
      </c>
      <c r="AL831" s="2" t="str">
        <f t="shared" si="326"/>
        <v/>
      </c>
      <c r="AM831" s="6" t="str">
        <f t="shared" si="327"/>
        <v/>
      </c>
      <c r="AN831" s="4" t="str">
        <f t="shared" si="328"/>
        <v/>
      </c>
      <c r="AO831" s="4" t="str">
        <f t="shared" si="329"/>
        <v/>
      </c>
      <c r="AP831" s="4" t="str">
        <f t="shared" si="330"/>
        <v/>
      </c>
      <c r="AQ831" s="4" t="str">
        <f t="shared" si="331"/>
        <v/>
      </c>
      <c r="AR831" s="4" t="str">
        <f t="shared" si="332"/>
        <v/>
      </c>
    </row>
    <row r="832" spans="8:44" s="1" customFormat="1" ht="14.25" x14ac:dyDescent="0.3">
      <c r="H832" s="50"/>
      <c r="J832" s="54"/>
      <c r="L832" s="54"/>
      <c r="R832" s="45"/>
      <c r="S832" s="54"/>
      <c r="T832" s="54"/>
      <c r="U832" s="54"/>
      <c r="V832" s="44"/>
      <c r="W832" s="27"/>
      <c r="Z832" s="27"/>
      <c r="AA832" s="8"/>
      <c r="AB832" s="81" t="str">
        <f t="shared" si="316"/>
        <v/>
      </c>
      <c r="AC832" s="6" t="str">
        <f t="shared" si="317"/>
        <v/>
      </c>
      <c r="AD832" s="1" t="str">
        <f t="shared" ca="1" si="318"/>
        <v/>
      </c>
      <c r="AE832" s="75" t="str">
        <f t="shared" si="319"/>
        <v/>
      </c>
      <c r="AF832" s="75" t="str">
        <f t="shared" si="320"/>
        <v/>
      </c>
      <c r="AG832" s="4" t="str">
        <f t="shared" si="321"/>
        <v/>
      </c>
      <c r="AH832" s="4" t="str">
        <f t="shared" si="322"/>
        <v/>
      </c>
      <c r="AI832" s="4" t="str">
        <f t="shared" si="323"/>
        <v/>
      </c>
      <c r="AJ832" s="4" t="str">
        <f t="shared" si="324"/>
        <v/>
      </c>
      <c r="AK832" s="4" t="str">
        <f t="shared" si="325"/>
        <v/>
      </c>
      <c r="AL832" s="2" t="str">
        <f t="shared" si="326"/>
        <v/>
      </c>
      <c r="AM832" s="6" t="str">
        <f t="shared" si="327"/>
        <v/>
      </c>
      <c r="AN832" s="4" t="str">
        <f t="shared" si="328"/>
        <v/>
      </c>
      <c r="AO832" s="4" t="str">
        <f t="shared" si="329"/>
        <v/>
      </c>
      <c r="AP832" s="4" t="str">
        <f t="shared" si="330"/>
        <v/>
      </c>
      <c r="AQ832" s="4" t="str">
        <f t="shared" si="331"/>
        <v/>
      </c>
      <c r="AR832" s="4" t="str">
        <f t="shared" si="332"/>
        <v/>
      </c>
    </row>
    <row r="833" spans="8:44" s="1" customFormat="1" ht="14.25" x14ac:dyDescent="0.3">
      <c r="H833" s="50"/>
      <c r="J833" s="54"/>
      <c r="L833" s="54"/>
      <c r="R833" s="45"/>
      <c r="S833" s="54"/>
      <c r="T833" s="54"/>
      <c r="U833" s="54"/>
      <c r="V833" s="44"/>
      <c r="W833" s="27"/>
      <c r="Z833" s="27"/>
      <c r="AA833" s="8"/>
      <c r="AB833" s="81" t="str">
        <f t="shared" si="316"/>
        <v/>
      </c>
      <c r="AC833" s="6" t="str">
        <f t="shared" si="317"/>
        <v/>
      </c>
      <c r="AD833" s="1" t="str">
        <f t="shared" ca="1" si="318"/>
        <v/>
      </c>
      <c r="AE833" s="75" t="str">
        <f t="shared" si="319"/>
        <v/>
      </c>
      <c r="AF833" s="75" t="str">
        <f t="shared" si="320"/>
        <v/>
      </c>
      <c r="AG833" s="4" t="str">
        <f t="shared" si="321"/>
        <v/>
      </c>
      <c r="AH833" s="4" t="str">
        <f t="shared" si="322"/>
        <v/>
      </c>
      <c r="AI833" s="4" t="str">
        <f t="shared" si="323"/>
        <v/>
      </c>
      <c r="AJ833" s="4" t="str">
        <f t="shared" si="324"/>
        <v/>
      </c>
      <c r="AK833" s="4" t="str">
        <f t="shared" si="325"/>
        <v/>
      </c>
      <c r="AL833" s="2" t="str">
        <f t="shared" si="326"/>
        <v/>
      </c>
      <c r="AM833" s="6" t="str">
        <f t="shared" si="327"/>
        <v/>
      </c>
      <c r="AN833" s="4" t="str">
        <f t="shared" si="328"/>
        <v/>
      </c>
      <c r="AO833" s="4" t="str">
        <f t="shared" si="329"/>
        <v/>
      </c>
      <c r="AP833" s="4" t="str">
        <f t="shared" si="330"/>
        <v/>
      </c>
      <c r="AQ833" s="4" t="str">
        <f t="shared" si="331"/>
        <v/>
      </c>
      <c r="AR833" s="4" t="str">
        <f t="shared" si="332"/>
        <v/>
      </c>
    </row>
    <row r="834" spans="8:44" s="1" customFormat="1" ht="14.25" x14ac:dyDescent="0.3">
      <c r="H834" s="50"/>
      <c r="J834" s="54"/>
      <c r="L834" s="54"/>
      <c r="R834" s="45"/>
      <c r="S834" s="54"/>
      <c r="T834" s="54"/>
      <c r="U834" s="54"/>
      <c r="V834" s="44"/>
      <c r="W834" s="27"/>
      <c r="Z834" s="27"/>
      <c r="AA834" s="8"/>
      <c r="AB834" s="81" t="str">
        <f t="shared" si="316"/>
        <v/>
      </c>
      <c r="AC834" s="6" t="str">
        <f t="shared" si="317"/>
        <v/>
      </c>
      <c r="AD834" s="1" t="str">
        <f t="shared" ca="1" si="318"/>
        <v/>
      </c>
      <c r="AE834" s="75" t="str">
        <f t="shared" si="319"/>
        <v/>
      </c>
      <c r="AF834" s="75" t="str">
        <f t="shared" si="320"/>
        <v/>
      </c>
      <c r="AG834" s="4" t="str">
        <f t="shared" si="321"/>
        <v/>
      </c>
      <c r="AH834" s="4" t="str">
        <f t="shared" si="322"/>
        <v/>
      </c>
      <c r="AI834" s="4" t="str">
        <f t="shared" si="323"/>
        <v/>
      </c>
      <c r="AJ834" s="4" t="str">
        <f t="shared" si="324"/>
        <v/>
      </c>
      <c r="AK834" s="4" t="str">
        <f t="shared" si="325"/>
        <v/>
      </c>
      <c r="AL834" s="2" t="str">
        <f t="shared" si="326"/>
        <v/>
      </c>
      <c r="AM834" s="6" t="str">
        <f t="shared" si="327"/>
        <v/>
      </c>
      <c r="AN834" s="4" t="str">
        <f t="shared" si="328"/>
        <v/>
      </c>
      <c r="AO834" s="4" t="str">
        <f t="shared" si="329"/>
        <v/>
      </c>
      <c r="AP834" s="4" t="str">
        <f t="shared" si="330"/>
        <v/>
      </c>
      <c r="AQ834" s="4" t="str">
        <f t="shared" si="331"/>
        <v/>
      </c>
      <c r="AR834" s="4" t="str">
        <f t="shared" si="332"/>
        <v/>
      </c>
    </row>
    <row r="835" spans="8:44" s="1" customFormat="1" ht="14.25" x14ac:dyDescent="0.3">
      <c r="H835" s="50"/>
      <c r="J835" s="54"/>
      <c r="L835" s="54"/>
      <c r="R835" s="45"/>
      <c r="S835" s="54"/>
      <c r="T835" s="54"/>
      <c r="U835" s="54"/>
      <c r="V835" s="44"/>
      <c r="W835" s="27"/>
      <c r="Z835" s="27"/>
      <c r="AA835" s="8"/>
      <c r="AB835" s="81" t="str">
        <f t="shared" si="316"/>
        <v/>
      </c>
      <c r="AC835" s="6" t="str">
        <f t="shared" si="317"/>
        <v/>
      </c>
      <c r="AD835" s="1" t="str">
        <f t="shared" ca="1" si="318"/>
        <v/>
      </c>
      <c r="AE835" s="75" t="str">
        <f t="shared" si="319"/>
        <v/>
      </c>
      <c r="AF835" s="75" t="str">
        <f t="shared" si="320"/>
        <v/>
      </c>
      <c r="AG835" s="4" t="str">
        <f t="shared" si="321"/>
        <v/>
      </c>
      <c r="AH835" s="4" t="str">
        <f t="shared" si="322"/>
        <v/>
      </c>
      <c r="AI835" s="4" t="str">
        <f t="shared" si="323"/>
        <v/>
      </c>
      <c r="AJ835" s="4" t="str">
        <f t="shared" si="324"/>
        <v/>
      </c>
      <c r="AK835" s="4" t="str">
        <f t="shared" si="325"/>
        <v/>
      </c>
      <c r="AL835" s="2" t="str">
        <f t="shared" si="326"/>
        <v/>
      </c>
      <c r="AM835" s="6" t="str">
        <f t="shared" si="327"/>
        <v/>
      </c>
      <c r="AN835" s="4" t="str">
        <f t="shared" si="328"/>
        <v/>
      </c>
      <c r="AO835" s="4" t="str">
        <f t="shared" si="329"/>
        <v/>
      </c>
      <c r="AP835" s="4" t="str">
        <f t="shared" si="330"/>
        <v/>
      </c>
      <c r="AQ835" s="4" t="str">
        <f t="shared" si="331"/>
        <v/>
      </c>
      <c r="AR835" s="4" t="str">
        <f t="shared" si="332"/>
        <v/>
      </c>
    </row>
    <row r="836" spans="8:44" s="1" customFormat="1" ht="14.25" x14ac:dyDescent="0.3">
      <c r="H836" s="50"/>
      <c r="J836" s="54"/>
      <c r="L836" s="54"/>
      <c r="R836" s="45"/>
      <c r="S836" s="54"/>
      <c r="T836" s="54"/>
      <c r="U836" s="54"/>
      <c r="V836" s="44"/>
      <c r="W836" s="27"/>
      <c r="Z836" s="27"/>
      <c r="AA836" s="8"/>
      <c r="AB836" s="81" t="str">
        <f t="shared" si="316"/>
        <v/>
      </c>
      <c r="AC836" s="6" t="str">
        <f t="shared" si="317"/>
        <v/>
      </c>
      <c r="AD836" s="1" t="str">
        <f t="shared" ca="1" si="318"/>
        <v/>
      </c>
      <c r="AE836" s="75" t="str">
        <f t="shared" si="319"/>
        <v/>
      </c>
      <c r="AF836" s="75" t="str">
        <f t="shared" si="320"/>
        <v/>
      </c>
      <c r="AG836" s="4" t="str">
        <f t="shared" si="321"/>
        <v/>
      </c>
      <c r="AH836" s="4" t="str">
        <f t="shared" si="322"/>
        <v/>
      </c>
      <c r="AI836" s="4" t="str">
        <f t="shared" si="323"/>
        <v/>
      </c>
      <c r="AJ836" s="4" t="str">
        <f t="shared" si="324"/>
        <v/>
      </c>
      <c r="AK836" s="4" t="str">
        <f t="shared" si="325"/>
        <v/>
      </c>
      <c r="AL836" s="2" t="str">
        <f t="shared" si="326"/>
        <v/>
      </c>
      <c r="AM836" s="6" t="str">
        <f t="shared" si="327"/>
        <v/>
      </c>
      <c r="AN836" s="4" t="str">
        <f t="shared" si="328"/>
        <v/>
      </c>
      <c r="AO836" s="4" t="str">
        <f t="shared" si="329"/>
        <v/>
      </c>
      <c r="AP836" s="4" t="str">
        <f t="shared" si="330"/>
        <v/>
      </c>
      <c r="AQ836" s="4" t="str">
        <f t="shared" si="331"/>
        <v/>
      </c>
      <c r="AR836" s="4" t="str">
        <f t="shared" si="332"/>
        <v/>
      </c>
    </row>
    <row r="837" spans="8:44" s="1" customFormat="1" ht="14.25" x14ac:dyDescent="0.3">
      <c r="H837" s="50"/>
      <c r="J837" s="54"/>
      <c r="L837" s="54"/>
      <c r="R837" s="45"/>
      <c r="S837" s="54"/>
      <c r="T837" s="54"/>
      <c r="U837" s="54"/>
      <c r="V837" s="44"/>
      <c r="W837" s="27"/>
      <c r="Z837" s="27"/>
      <c r="AA837" s="8"/>
      <c r="AB837" s="81" t="str">
        <f t="shared" si="316"/>
        <v/>
      </c>
      <c r="AC837" s="6" t="str">
        <f t="shared" si="317"/>
        <v/>
      </c>
      <c r="AD837" s="1" t="str">
        <f t="shared" ca="1" si="318"/>
        <v/>
      </c>
      <c r="AE837" s="75" t="str">
        <f t="shared" si="319"/>
        <v/>
      </c>
      <c r="AF837" s="75" t="str">
        <f t="shared" si="320"/>
        <v/>
      </c>
      <c r="AG837" s="4" t="str">
        <f t="shared" si="321"/>
        <v/>
      </c>
      <c r="AH837" s="4" t="str">
        <f t="shared" si="322"/>
        <v/>
      </c>
      <c r="AI837" s="4" t="str">
        <f t="shared" si="323"/>
        <v/>
      </c>
      <c r="AJ837" s="4" t="str">
        <f t="shared" si="324"/>
        <v/>
      </c>
      <c r="AK837" s="4" t="str">
        <f t="shared" si="325"/>
        <v/>
      </c>
      <c r="AL837" s="2" t="str">
        <f t="shared" si="326"/>
        <v/>
      </c>
      <c r="AM837" s="6" t="str">
        <f t="shared" si="327"/>
        <v/>
      </c>
      <c r="AN837" s="4" t="str">
        <f t="shared" si="328"/>
        <v/>
      </c>
      <c r="AO837" s="4" t="str">
        <f t="shared" si="329"/>
        <v/>
      </c>
      <c r="AP837" s="4" t="str">
        <f t="shared" si="330"/>
        <v/>
      </c>
      <c r="AQ837" s="4" t="str">
        <f t="shared" si="331"/>
        <v/>
      </c>
      <c r="AR837" s="4" t="str">
        <f t="shared" si="332"/>
        <v/>
      </c>
    </row>
    <row r="838" spans="8:44" s="1" customFormat="1" ht="14.25" x14ac:dyDescent="0.3">
      <c r="H838" s="50"/>
      <c r="J838" s="54"/>
      <c r="L838" s="54"/>
      <c r="R838" s="45"/>
      <c r="S838" s="54"/>
      <c r="T838" s="54"/>
      <c r="U838" s="54"/>
      <c r="V838" s="44"/>
      <c r="W838" s="27"/>
      <c r="Z838" s="27"/>
      <c r="AA838" s="8"/>
      <c r="AB838" s="81" t="str">
        <f t="shared" si="316"/>
        <v/>
      </c>
      <c r="AC838" s="6" t="str">
        <f t="shared" si="317"/>
        <v/>
      </c>
      <c r="AD838" s="1" t="str">
        <f t="shared" ca="1" si="318"/>
        <v/>
      </c>
      <c r="AE838" s="75" t="str">
        <f t="shared" si="319"/>
        <v/>
      </c>
      <c r="AF838" s="75" t="str">
        <f t="shared" si="320"/>
        <v/>
      </c>
      <c r="AG838" s="4" t="str">
        <f t="shared" si="321"/>
        <v/>
      </c>
      <c r="AH838" s="4" t="str">
        <f t="shared" si="322"/>
        <v/>
      </c>
      <c r="AI838" s="4" t="str">
        <f t="shared" si="323"/>
        <v/>
      </c>
      <c r="AJ838" s="4" t="str">
        <f t="shared" si="324"/>
        <v/>
      </c>
      <c r="AK838" s="4" t="str">
        <f t="shared" si="325"/>
        <v/>
      </c>
      <c r="AL838" s="2" t="str">
        <f t="shared" si="326"/>
        <v/>
      </c>
      <c r="AM838" s="6" t="str">
        <f t="shared" si="327"/>
        <v/>
      </c>
      <c r="AN838" s="4" t="str">
        <f t="shared" si="328"/>
        <v/>
      </c>
      <c r="AO838" s="4" t="str">
        <f t="shared" si="329"/>
        <v/>
      </c>
      <c r="AP838" s="4" t="str">
        <f t="shared" si="330"/>
        <v/>
      </c>
      <c r="AQ838" s="4" t="str">
        <f t="shared" si="331"/>
        <v/>
      </c>
      <c r="AR838" s="4" t="str">
        <f t="shared" si="332"/>
        <v/>
      </c>
    </row>
    <row r="839" spans="8:44" s="1" customFormat="1" ht="14.25" x14ac:dyDescent="0.3">
      <c r="H839" s="50"/>
      <c r="J839" s="54"/>
      <c r="L839" s="54"/>
      <c r="R839" s="45"/>
      <c r="S839" s="54"/>
      <c r="T839" s="54"/>
      <c r="U839" s="54"/>
      <c r="V839" s="44"/>
      <c r="W839" s="27"/>
      <c r="Z839" s="27"/>
      <c r="AA839" s="8"/>
      <c r="AB839" s="81" t="str">
        <f t="shared" si="316"/>
        <v/>
      </c>
      <c r="AC839" s="6" t="str">
        <f t="shared" si="317"/>
        <v/>
      </c>
      <c r="AD839" s="1" t="str">
        <f t="shared" ca="1" si="318"/>
        <v/>
      </c>
      <c r="AE839" s="75" t="str">
        <f t="shared" si="319"/>
        <v/>
      </c>
      <c r="AF839" s="75" t="str">
        <f t="shared" si="320"/>
        <v/>
      </c>
      <c r="AG839" s="4" t="str">
        <f t="shared" si="321"/>
        <v/>
      </c>
      <c r="AH839" s="4" t="str">
        <f t="shared" si="322"/>
        <v/>
      </c>
      <c r="AI839" s="4" t="str">
        <f t="shared" si="323"/>
        <v/>
      </c>
      <c r="AJ839" s="4" t="str">
        <f t="shared" si="324"/>
        <v/>
      </c>
      <c r="AK839" s="4" t="str">
        <f t="shared" si="325"/>
        <v/>
      </c>
      <c r="AL839" s="2" t="str">
        <f t="shared" si="326"/>
        <v/>
      </c>
      <c r="AM839" s="6" t="str">
        <f t="shared" si="327"/>
        <v/>
      </c>
      <c r="AN839" s="4" t="str">
        <f t="shared" si="328"/>
        <v/>
      </c>
      <c r="AO839" s="4" t="str">
        <f t="shared" si="329"/>
        <v/>
      </c>
      <c r="AP839" s="4" t="str">
        <f t="shared" si="330"/>
        <v/>
      </c>
      <c r="AQ839" s="4" t="str">
        <f t="shared" si="331"/>
        <v/>
      </c>
      <c r="AR839" s="4" t="str">
        <f t="shared" si="332"/>
        <v/>
      </c>
    </row>
    <row r="840" spans="8:44" s="1" customFormat="1" ht="14.25" x14ac:dyDescent="0.3">
      <c r="H840" s="50"/>
      <c r="J840" s="54"/>
      <c r="L840" s="54"/>
      <c r="R840" s="45"/>
      <c r="S840" s="54"/>
      <c r="T840" s="54"/>
      <c r="U840" s="54"/>
      <c r="V840" s="44"/>
      <c r="W840" s="27"/>
      <c r="Z840" s="27"/>
      <c r="AA840" s="8"/>
      <c r="AB840" s="81" t="str">
        <f t="shared" si="316"/>
        <v/>
      </c>
      <c r="AC840" s="6" t="str">
        <f t="shared" si="317"/>
        <v/>
      </c>
      <c r="AD840" s="1" t="str">
        <f t="shared" ca="1" si="318"/>
        <v/>
      </c>
      <c r="AE840" s="75" t="str">
        <f t="shared" si="319"/>
        <v/>
      </c>
      <c r="AF840" s="75" t="str">
        <f t="shared" si="320"/>
        <v/>
      </c>
      <c r="AG840" s="4" t="str">
        <f t="shared" si="321"/>
        <v/>
      </c>
      <c r="AH840" s="4" t="str">
        <f t="shared" si="322"/>
        <v/>
      </c>
      <c r="AI840" s="4" t="str">
        <f t="shared" si="323"/>
        <v/>
      </c>
      <c r="AJ840" s="4" t="str">
        <f t="shared" si="324"/>
        <v/>
      </c>
      <c r="AK840" s="4" t="str">
        <f t="shared" si="325"/>
        <v/>
      </c>
      <c r="AL840" s="2" t="str">
        <f t="shared" si="326"/>
        <v/>
      </c>
      <c r="AM840" s="6" t="str">
        <f t="shared" si="327"/>
        <v/>
      </c>
      <c r="AN840" s="4" t="str">
        <f t="shared" si="328"/>
        <v/>
      </c>
      <c r="AO840" s="4" t="str">
        <f t="shared" si="329"/>
        <v/>
      </c>
      <c r="AP840" s="4" t="str">
        <f t="shared" si="330"/>
        <v/>
      </c>
      <c r="AQ840" s="4" t="str">
        <f t="shared" si="331"/>
        <v/>
      </c>
      <c r="AR840" s="4" t="str">
        <f t="shared" si="332"/>
        <v/>
      </c>
    </row>
    <row r="841" spans="8:44" s="1" customFormat="1" ht="14.25" x14ac:dyDescent="0.3">
      <c r="H841" s="50"/>
      <c r="J841" s="54"/>
      <c r="L841" s="54"/>
      <c r="R841" s="45"/>
      <c r="S841" s="54"/>
      <c r="T841" s="54"/>
      <c r="U841" s="54"/>
      <c r="V841" s="44"/>
      <c r="W841" s="27"/>
      <c r="Z841" s="27"/>
      <c r="AA841" s="8"/>
      <c r="AB841" s="81" t="str">
        <f t="shared" si="316"/>
        <v/>
      </c>
      <c r="AC841" s="6" t="str">
        <f t="shared" si="317"/>
        <v/>
      </c>
      <c r="AD841" s="1" t="str">
        <f t="shared" ca="1" si="318"/>
        <v/>
      </c>
      <c r="AE841" s="75" t="str">
        <f t="shared" si="319"/>
        <v/>
      </c>
      <c r="AF841" s="75" t="str">
        <f t="shared" si="320"/>
        <v/>
      </c>
      <c r="AG841" s="4" t="str">
        <f t="shared" si="321"/>
        <v/>
      </c>
      <c r="AH841" s="4" t="str">
        <f t="shared" si="322"/>
        <v/>
      </c>
      <c r="AI841" s="4" t="str">
        <f t="shared" si="323"/>
        <v/>
      </c>
      <c r="AJ841" s="4" t="str">
        <f t="shared" si="324"/>
        <v/>
      </c>
      <c r="AK841" s="4" t="str">
        <f t="shared" si="325"/>
        <v/>
      </c>
      <c r="AL841" s="2" t="str">
        <f t="shared" si="326"/>
        <v/>
      </c>
      <c r="AM841" s="6" t="str">
        <f t="shared" si="327"/>
        <v/>
      </c>
      <c r="AN841" s="4" t="str">
        <f t="shared" si="328"/>
        <v/>
      </c>
      <c r="AO841" s="4" t="str">
        <f t="shared" si="329"/>
        <v/>
      </c>
      <c r="AP841" s="4" t="str">
        <f t="shared" si="330"/>
        <v/>
      </c>
      <c r="AQ841" s="4" t="str">
        <f t="shared" si="331"/>
        <v/>
      </c>
      <c r="AR841" s="4" t="str">
        <f t="shared" si="332"/>
        <v/>
      </c>
    </row>
    <row r="842" spans="8:44" s="1" customFormat="1" ht="14.25" x14ac:dyDescent="0.3">
      <c r="H842" s="50"/>
      <c r="J842" s="54"/>
      <c r="L842" s="54"/>
      <c r="R842" s="45"/>
      <c r="S842" s="54"/>
      <c r="T842" s="54"/>
      <c r="U842" s="54"/>
      <c r="V842" s="44"/>
      <c r="W842" s="27"/>
      <c r="Z842" s="27"/>
      <c r="AA842" s="8"/>
      <c r="AB842" s="81" t="str">
        <f t="shared" si="316"/>
        <v/>
      </c>
      <c r="AC842" s="6" t="str">
        <f t="shared" si="317"/>
        <v/>
      </c>
      <c r="AD842" s="1" t="str">
        <f t="shared" ca="1" si="318"/>
        <v/>
      </c>
      <c r="AE842" s="75" t="str">
        <f t="shared" si="319"/>
        <v/>
      </c>
      <c r="AF842" s="75" t="str">
        <f t="shared" si="320"/>
        <v/>
      </c>
      <c r="AG842" s="4" t="str">
        <f t="shared" si="321"/>
        <v/>
      </c>
      <c r="AH842" s="4" t="str">
        <f t="shared" si="322"/>
        <v/>
      </c>
      <c r="AI842" s="4" t="str">
        <f t="shared" si="323"/>
        <v/>
      </c>
      <c r="AJ842" s="4" t="str">
        <f t="shared" si="324"/>
        <v/>
      </c>
      <c r="AK842" s="4" t="str">
        <f t="shared" si="325"/>
        <v/>
      </c>
      <c r="AL842" s="2" t="str">
        <f t="shared" si="326"/>
        <v/>
      </c>
      <c r="AM842" s="6" t="str">
        <f t="shared" si="327"/>
        <v/>
      </c>
      <c r="AN842" s="4" t="str">
        <f t="shared" si="328"/>
        <v/>
      </c>
      <c r="AO842" s="4" t="str">
        <f t="shared" si="329"/>
        <v/>
      </c>
      <c r="AP842" s="4" t="str">
        <f t="shared" si="330"/>
        <v/>
      </c>
      <c r="AQ842" s="4" t="str">
        <f t="shared" si="331"/>
        <v/>
      </c>
      <c r="AR842" s="4" t="str">
        <f t="shared" si="332"/>
        <v/>
      </c>
    </row>
    <row r="843" spans="8:44" s="1" customFormat="1" ht="14.25" x14ac:dyDescent="0.3">
      <c r="H843" s="50"/>
      <c r="J843" s="54"/>
      <c r="L843" s="54"/>
      <c r="R843" s="45"/>
      <c r="S843" s="54"/>
      <c r="T843" s="54"/>
      <c r="U843" s="54"/>
      <c r="V843" s="44"/>
      <c r="W843" s="27"/>
      <c r="Z843" s="27"/>
      <c r="AA843" s="8"/>
      <c r="AB843" s="81" t="str">
        <f t="shared" si="316"/>
        <v/>
      </c>
      <c r="AC843" s="6" t="str">
        <f t="shared" si="317"/>
        <v/>
      </c>
      <c r="AD843" s="1" t="str">
        <f t="shared" ca="1" si="318"/>
        <v/>
      </c>
      <c r="AE843" s="75" t="str">
        <f t="shared" si="319"/>
        <v/>
      </c>
      <c r="AF843" s="75" t="str">
        <f t="shared" si="320"/>
        <v/>
      </c>
      <c r="AG843" s="4" t="str">
        <f t="shared" si="321"/>
        <v/>
      </c>
      <c r="AH843" s="4" t="str">
        <f t="shared" si="322"/>
        <v/>
      </c>
      <c r="AI843" s="4" t="str">
        <f t="shared" si="323"/>
        <v/>
      </c>
      <c r="AJ843" s="4" t="str">
        <f t="shared" si="324"/>
        <v/>
      </c>
      <c r="AK843" s="4" t="str">
        <f t="shared" si="325"/>
        <v/>
      </c>
      <c r="AL843" s="2" t="str">
        <f t="shared" si="326"/>
        <v/>
      </c>
      <c r="AM843" s="6" t="str">
        <f t="shared" si="327"/>
        <v/>
      </c>
      <c r="AN843" s="4" t="str">
        <f t="shared" si="328"/>
        <v/>
      </c>
      <c r="AO843" s="4" t="str">
        <f t="shared" si="329"/>
        <v/>
      </c>
      <c r="AP843" s="4" t="str">
        <f t="shared" si="330"/>
        <v/>
      </c>
      <c r="AQ843" s="4" t="str">
        <f t="shared" si="331"/>
        <v/>
      </c>
      <c r="AR843" s="4" t="str">
        <f t="shared" si="332"/>
        <v/>
      </c>
    </row>
    <row r="844" spans="8:44" s="1" customFormat="1" ht="14.25" x14ac:dyDescent="0.3">
      <c r="H844" s="50"/>
      <c r="J844" s="54"/>
      <c r="L844" s="54"/>
      <c r="R844" s="45"/>
      <c r="S844" s="54"/>
      <c r="T844" s="54"/>
      <c r="U844" s="54"/>
      <c r="V844" s="44"/>
      <c r="W844" s="27"/>
      <c r="Z844" s="27"/>
      <c r="AA844" s="8"/>
      <c r="AB844" s="81" t="str">
        <f t="shared" si="316"/>
        <v/>
      </c>
      <c r="AC844" s="6" t="str">
        <f t="shared" si="317"/>
        <v/>
      </c>
      <c r="AD844" s="1" t="str">
        <f t="shared" ca="1" si="318"/>
        <v/>
      </c>
      <c r="AE844" s="75" t="str">
        <f t="shared" si="319"/>
        <v/>
      </c>
      <c r="AF844" s="75" t="str">
        <f t="shared" si="320"/>
        <v/>
      </c>
      <c r="AG844" s="4" t="str">
        <f t="shared" si="321"/>
        <v/>
      </c>
      <c r="AH844" s="4" t="str">
        <f t="shared" si="322"/>
        <v/>
      </c>
      <c r="AI844" s="4" t="str">
        <f t="shared" si="323"/>
        <v/>
      </c>
      <c r="AJ844" s="4" t="str">
        <f t="shared" si="324"/>
        <v/>
      </c>
      <c r="AK844" s="4" t="str">
        <f t="shared" si="325"/>
        <v/>
      </c>
      <c r="AL844" s="2" t="str">
        <f t="shared" si="326"/>
        <v/>
      </c>
      <c r="AM844" s="6" t="str">
        <f t="shared" si="327"/>
        <v/>
      </c>
      <c r="AN844" s="4" t="str">
        <f t="shared" si="328"/>
        <v/>
      </c>
      <c r="AO844" s="4" t="str">
        <f t="shared" si="329"/>
        <v/>
      </c>
      <c r="AP844" s="4" t="str">
        <f t="shared" si="330"/>
        <v/>
      </c>
      <c r="AQ844" s="4" t="str">
        <f t="shared" si="331"/>
        <v/>
      </c>
      <c r="AR844" s="4" t="str">
        <f t="shared" si="332"/>
        <v/>
      </c>
    </row>
    <row r="845" spans="8:44" s="1" customFormat="1" ht="14.25" x14ac:dyDescent="0.3">
      <c r="H845" s="50"/>
      <c r="J845" s="54"/>
      <c r="L845" s="54"/>
      <c r="R845" s="45"/>
      <c r="S845" s="54"/>
      <c r="T845" s="54"/>
      <c r="U845" s="54"/>
      <c r="V845" s="44"/>
      <c r="W845" s="27"/>
      <c r="Z845" s="27"/>
      <c r="AA845" s="8"/>
      <c r="AB845" s="81" t="str">
        <f t="shared" si="316"/>
        <v/>
      </c>
      <c r="AC845" s="6" t="str">
        <f t="shared" si="317"/>
        <v/>
      </c>
      <c r="AD845" s="1" t="str">
        <f t="shared" ca="1" si="318"/>
        <v/>
      </c>
      <c r="AE845" s="75" t="str">
        <f t="shared" si="319"/>
        <v/>
      </c>
      <c r="AF845" s="75" t="str">
        <f t="shared" si="320"/>
        <v/>
      </c>
      <c r="AG845" s="4" t="str">
        <f t="shared" si="321"/>
        <v/>
      </c>
      <c r="AH845" s="4" t="str">
        <f t="shared" si="322"/>
        <v/>
      </c>
      <c r="AI845" s="4" t="str">
        <f t="shared" si="323"/>
        <v/>
      </c>
      <c r="AJ845" s="4" t="str">
        <f t="shared" si="324"/>
        <v/>
      </c>
      <c r="AK845" s="4" t="str">
        <f t="shared" si="325"/>
        <v/>
      </c>
      <c r="AL845" s="2" t="str">
        <f t="shared" si="326"/>
        <v/>
      </c>
      <c r="AM845" s="6" t="str">
        <f t="shared" si="327"/>
        <v/>
      </c>
      <c r="AN845" s="4" t="str">
        <f t="shared" si="328"/>
        <v/>
      </c>
      <c r="AO845" s="4" t="str">
        <f t="shared" si="329"/>
        <v/>
      </c>
      <c r="AP845" s="4" t="str">
        <f t="shared" si="330"/>
        <v/>
      </c>
      <c r="AQ845" s="4" t="str">
        <f t="shared" si="331"/>
        <v/>
      </c>
      <c r="AR845" s="4" t="str">
        <f t="shared" si="332"/>
        <v/>
      </c>
    </row>
    <row r="846" spans="8:44" s="1" customFormat="1" ht="14.25" x14ac:dyDescent="0.3">
      <c r="H846" s="50"/>
      <c r="J846" s="54"/>
      <c r="L846" s="54"/>
      <c r="R846" s="45"/>
      <c r="S846" s="54"/>
      <c r="T846" s="54"/>
      <c r="U846" s="54"/>
      <c r="V846" s="44"/>
      <c r="W846" s="27"/>
      <c r="Z846" s="27"/>
      <c r="AA846" s="8"/>
      <c r="AB846" s="81" t="str">
        <f t="shared" si="316"/>
        <v/>
      </c>
      <c r="AC846" s="6" t="str">
        <f t="shared" si="317"/>
        <v/>
      </c>
      <c r="AD846" s="1" t="str">
        <f t="shared" ca="1" si="318"/>
        <v/>
      </c>
      <c r="AE846" s="75" t="str">
        <f t="shared" si="319"/>
        <v/>
      </c>
      <c r="AF846" s="75" t="str">
        <f t="shared" si="320"/>
        <v/>
      </c>
      <c r="AG846" s="4" t="str">
        <f t="shared" si="321"/>
        <v/>
      </c>
      <c r="AH846" s="4" t="str">
        <f t="shared" si="322"/>
        <v/>
      </c>
      <c r="AI846" s="4" t="str">
        <f t="shared" si="323"/>
        <v/>
      </c>
      <c r="AJ846" s="4" t="str">
        <f t="shared" si="324"/>
        <v/>
      </c>
      <c r="AK846" s="4" t="str">
        <f t="shared" si="325"/>
        <v/>
      </c>
      <c r="AL846" s="2" t="str">
        <f t="shared" si="326"/>
        <v/>
      </c>
      <c r="AM846" s="6" t="str">
        <f t="shared" si="327"/>
        <v/>
      </c>
      <c r="AN846" s="4" t="str">
        <f t="shared" si="328"/>
        <v/>
      </c>
      <c r="AO846" s="4" t="str">
        <f t="shared" si="329"/>
        <v/>
      </c>
      <c r="AP846" s="4" t="str">
        <f t="shared" si="330"/>
        <v/>
      </c>
      <c r="AQ846" s="4" t="str">
        <f t="shared" si="331"/>
        <v/>
      </c>
      <c r="AR846" s="4" t="str">
        <f t="shared" si="332"/>
        <v/>
      </c>
    </row>
    <row r="847" spans="8:44" s="1" customFormat="1" ht="14.25" x14ac:dyDescent="0.3">
      <c r="H847" s="50"/>
      <c r="J847" s="54"/>
      <c r="L847" s="54"/>
      <c r="R847" s="45"/>
      <c r="S847" s="54"/>
      <c r="T847" s="54"/>
      <c r="U847" s="54"/>
      <c r="V847" s="44"/>
      <c r="W847" s="27"/>
      <c r="Z847" s="27"/>
      <c r="AA847" s="8"/>
      <c r="AB847" s="81" t="str">
        <f t="shared" si="316"/>
        <v/>
      </c>
      <c r="AC847" s="6" t="str">
        <f t="shared" si="317"/>
        <v/>
      </c>
      <c r="AD847" s="1" t="str">
        <f t="shared" ca="1" si="318"/>
        <v/>
      </c>
      <c r="AE847" s="75" t="str">
        <f t="shared" si="319"/>
        <v/>
      </c>
      <c r="AF847" s="75" t="str">
        <f t="shared" si="320"/>
        <v/>
      </c>
      <c r="AG847" s="4" t="str">
        <f t="shared" si="321"/>
        <v/>
      </c>
      <c r="AH847" s="4" t="str">
        <f t="shared" si="322"/>
        <v/>
      </c>
      <c r="AI847" s="4" t="str">
        <f t="shared" si="323"/>
        <v/>
      </c>
      <c r="AJ847" s="4" t="str">
        <f t="shared" si="324"/>
        <v/>
      </c>
      <c r="AK847" s="4" t="str">
        <f t="shared" si="325"/>
        <v/>
      </c>
      <c r="AL847" s="2" t="str">
        <f t="shared" si="326"/>
        <v/>
      </c>
      <c r="AM847" s="6" t="str">
        <f t="shared" si="327"/>
        <v/>
      </c>
      <c r="AN847" s="4" t="str">
        <f t="shared" si="328"/>
        <v/>
      </c>
      <c r="AO847" s="4" t="str">
        <f t="shared" si="329"/>
        <v/>
      </c>
      <c r="AP847" s="4" t="str">
        <f t="shared" si="330"/>
        <v/>
      </c>
      <c r="AQ847" s="4" t="str">
        <f t="shared" si="331"/>
        <v/>
      </c>
      <c r="AR847" s="4" t="str">
        <f t="shared" si="332"/>
        <v/>
      </c>
    </row>
    <row r="848" spans="8:44" s="1" customFormat="1" ht="14.25" x14ac:dyDescent="0.3">
      <c r="H848" s="50"/>
      <c r="J848" s="54"/>
      <c r="L848" s="54"/>
      <c r="R848" s="45"/>
      <c r="S848" s="54"/>
      <c r="T848" s="54"/>
      <c r="U848" s="54"/>
      <c r="V848" s="44"/>
      <c r="W848" s="27"/>
      <c r="Z848" s="27"/>
      <c r="AA848" s="8"/>
      <c r="AB848" s="81" t="str">
        <f t="shared" si="316"/>
        <v/>
      </c>
      <c r="AC848" s="6" t="str">
        <f t="shared" si="317"/>
        <v/>
      </c>
      <c r="AD848" s="1" t="str">
        <f t="shared" ca="1" si="318"/>
        <v/>
      </c>
      <c r="AE848" s="75" t="str">
        <f t="shared" si="319"/>
        <v/>
      </c>
      <c r="AF848" s="75" t="str">
        <f t="shared" si="320"/>
        <v/>
      </c>
      <c r="AG848" s="4" t="str">
        <f t="shared" si="321"/>
        <v/>
      </c>
      <c r="AH848" s="4" t="str">
        <f t="shared" si="322"/>
        <v/>
      </c>
      <c r="AI848" s="4" t="str">
        <f t="shared" si="323"/>
        <v/>
      </c>
      <c r="AJ848" s="4" t="str">
        <f t="shared" si="324"/>
        <v/>
      </c>
      <c r="AK848" s="4" t="str">
        <f t="shared" si="325"/>
        <v/>
      </c>
      <c r="AL848" s="2" t="str">
        <f t="shared" si="326"/>
        <v/>
      </c>
      <c r="AM848" s="6" t="str">
        <f t="shared" si="327"/>
        <v/>
      </c>
      <c r="AN848" s="4" t="str">
        <f t="shared" si="328"/>
        <v/>
      </c>
      <c r="AO848" s="4" t="str">
        <f t="shared" si="329"/>
        <v/>
      </c>
      <c r="AP848" s="4" t="str">
        <f t="shared" si="330"/>
        <v/>
      </c>
      <c r="AQ848" s="4" t="str">
        <f t="shared" si="331"/>
        <v/>
      </c>
      <c r="AR848" s="4" t="str">
        <f t="shared" si="332"/>
        <v/>
      </c>
    </row>
    <row r="849" spans="8:44" s="1" customFormat="1" ht="14.25" x14ac:dyDescent="0.3">
      <c r="H849" s="50"/>
      <c r="J849" s="54"/>
      <c r="L849" s="54"/>
      <c r="R849" s="45"/>
      <c r="S849" s="54"/>
      <c r="T849" s="54"/>
      <c r="U849" s="54"/>
      <c r="V849" s="44"/>
      <c r="W849" s="27"/>
      <c r="Z849" s="27"/>
      <c r="AA849" s="8"/>
      <c r="AB849" s="81" t="str">
        <f t="shared" si="316"/>
        <v/>
      </c>
      <c r="AC849" s="6" t="str">
        <f t="shared" si="317"/>
        <v/>
      </c>
      <c r="AD849" s="1" t="str">
        <f t="shared" ca="1" si="318"/>
        <v/>
      </c>
      <c r="AE849" s="75" t="str">
        <f t="shared" si="319"/>
        <v/>
      </c>
      <c r="AF849" s="75" t="str">
        <f t="shared" si="320"/>
        <v/>
      </c>
      <c r="AG849" s="4" t="str">
        <f t="shared" si="321"/>
        <v/>
      </c>
      <c r="AH849" s="4" t="str">
        <f t="shared" si="322"/>
        <v/>
      </c>
      <c r="AI849" s="4" t="str">
        <f t="shared" si="323"/>
        <v/>
      </c>
      <c r="AJ849" s="4" t="str">
        <f t="shared" si="324"/>
        <v/>
      </c>
      <c r="AK849" s="4" t="str">
        <f t="shared" si="325"/>
        <v/>
      </c>
      <c r="AL849" s="2" t="str">
        <f t="shared" si="326"/>
        <v/>
      </c>
      <c r="AM849" s="6" t="str">
        <f t="shared" si="327"/>
        <v/>
      </c>
      <c r="AN849" s="4" t="str">
        <f t="shared" si="328"/>
        <v/>
      </c>
      <c r="AO849" s="4" t="str">
        <f t="shared" si="329"/>
        <v/>
      </c>
      <c r="AP849" s="4" t="str">
        <f t="shared" si="330"/>
        <v/>
      </c>
      <c r="AQ849" s="4" t="str">
        <f t="shared" si="331"/>
        <v/>
      </c>
      <c r="AR849" s="4" t="str">
        <f t="shared" si="332"/>
        <v/>
      </c>
    </row>
    <row r="850" spans="8:44" s="1" customFormat="1" ht="14.25" x14ac:dyDescent="0.3">
      <c r="H850" s="50"/>
      <c r="J850" s="54"/>
      <c r="L850" s="54"/>
      <c r="R850" s="45"/>
      <c r="S850" s="54"/>
      <c r="T850" s="54"/>
      <c r="U850" s="54"/>
      <c r="V850" s="44"/>
      <c r="W850" s="27"/>
      <c r="Z850" s="27"/>
      <c r="AA850" s="8"/>
      <c r="AB850" s="81" t="str">
        <f t="shared" si="316"/>
        <v/>
      </c>
      <c r="AC850" s="6" t="str">
        <f t="shared" si="317"/>
        <v/>
      </c>
      <c r="AD850" s="1" t="str">
        <f t="shared" ca="1" si="318"/>
        <v/>
      </c>
      <c r="AE850" s="75" t="str">
        <f t="shared" si="319"/>
        <v/>
      </c>
      <c r="AF850" s="75" t="str">
        <f t="shared" si="320"/>
        <v/>
      </c>
      <c r="AG850" s="4" t="str">
        <f t="shared" si="321"/>
        <v/>
      </c>
      <c r="AH850" s="4" t="str">
        <f t="shared" si="322"/>
        <v/>
      </c>
      <c r="AI850" s="4" t="str">
        <f t="shared" si="323"/>
        <v/>
      </c>
      <c r="AJ850" s="4" t="str">
        <f t="shared" si="324"/>
        <v/>
      </c>
      <c r="AK850" s="4" t="str">
        <f t="shared" si="325"/>
        <v/>
      </c>
      <c r="AL850" s="2" t="str">
        <f t="shared" si="326"/>
        <v/>
      </c>
      <c r="AM850" s="6" t="str">
        <f t="shared" si="327"/>
        <v/>
      </c>
      <c r="AN850" s="4" t="str">
        <f t="shared" si="328"/>
        <v/>
      </c>
      <c r="AO850" s="4" t="str">
        <f t="shared" si="329"/>
        <v/>
      </c>
      <c r="AP850" s="4" t="str">
        <f t="shared" si="330"/>
        <v/>
      </c>
      <c r="AQ850" s="4" t="str">
        <f t="shared" si="331"/>
        <v/>
      </c>
      <c r="AR850" s="4" t="str">
        <f t="shared" si="332"/>
        <v/>
      </c>
    </row>
    <row r="851" spans="8:44" s="1" customFormat="1" ht="14.25" x14ac:dyDescent="0.3">
      <c r="H851" s="50"/>
      <c r="J851" s="54"/>
      <c r="L851" s="54"/>
      <c r="R851" s="45"/>
      <c r="S851" s="54"/>
      <c r="T851" s="54"/>
      <c r="U851" s="54"/>
      <c r="V851" s="44"/>
      <c r="W851" s="27"/>
      <c r="Z851" s="27"/>
      <c r="AA851" s="8"/>
      <c r="AB851" s="81" t="str">
        <f t="shared" si="316"/>
        <v/>
      </c>
      <c r="AC851" s="6" t="str">
        <f t="shared" si="317"/>
        <v/>
      </c>
      <c r="AD851" s="1" t="str">
        <f t="shared" ca="1" si="318"/>
        <v/>
      </c>
      <c r="AE851" s="75" t="str">
        <f t="shared" si="319"/>
        <v/>
      </c>
      <c r="AF851" s="75" t="str">
        <f t="shared" si="320"/>
        <v/>
      </c>
      <c r="AG851" s="4" t="str">
        <f t="shared" si="321"/>
        <v/>
      </c>
      <c r="AH851" s="4" t="str">
        <f t="shared" si="322"/>
        <v/>
      </c>
      <c r="AI851" s="4" t="str">
        <f t="shared" si="323"/>
        <v/>
      </c>
      <c r="AJ851" s="4" t="str">
        <f t="shared" si="324"/>
        <v/>
      </c>
      <c r="AK851" s="4" t="str">
        <f t="shared" si="325"/>
        <v/>
      </c>
      <c r="AL851" s="2" t="str">
        <f t="shared" si="326"/>
        <v/>
      </c>
      <c r="AM851" s="6" t="str">
        <f t="shared" si="327"/>
        <v/>
      </c>
      <c r="AN851" s="4" t="str">
        <f t="shared" si="328"/>
        <v/>
      </c>
      <c r="AO851" s="4" t="str">
        <f t="shared" si="329"/>
        <v/>
      </c>
      <c r="AP851" s="4" t="str">
        <f t="shared" si="330"/>
        <v/>
      </c>
      <c r="AQ851" s="4" t="str">
        <f t="shared" si="331"/>
        <v/>
      </c>
      <c r="AR851" s="4" t="str">
        <f t="shared" si="332"/>
        <v/>
      </c>
    </row>
    <row r="852" spans="8:44" s="1" customFormat="1" ht="14.25" x14ac:dyDescent="0.3">
      <c r="H852" s="50"/>
      <c r="J852" s="54"/>
      <c r="L852" s="54"/>
      <c r="R852" s="45"/>
      <c r="S852" s="54"/>
      <c r="T852" s="54"/>
      <c r="U852" s="54"/>
      <c r="V852" s="44"/>
      <c r="W852" s="27"/>
      <c r="Z852" s="27"/>
      <c r="AA852" s="8"/>
      <c r="AB852" s="81" t="str">
        <f t="shared" si="316"/>
        <v/>
      </c>
      <c r="AC852" s="6" t="str">
        <f t="shared" si="317"/>
        <v/>
      </c>
      <c r="AD852" s="1" t="str">
        <f t="shared" ca="1" si="318"/>
        <v/>
      </c>
      <c r="AE852" s="75" t="str">
        <f t="shared" si="319"/>
        <v/>
      </c>
      <c r="AF852" s="75" t="str">
        <f t="shared" si="320"/>
        <v/>
      </c>
      <c r="AG852" s="4" t="str">
        <f t="shared" si="321"/>
        <v/>
      </c>
      <c r="AH852" s="4" t="str">
        <f t="shared" si="322"/>
        <v/>
      </c>
      <c r="AI852" s="4" t="str">
        <f t="shared" si="323"/>
        <v/>
      </c>
      <c r="AJ852" s="4" t="str">
        <f t="shared" si="324"/>
        <v/>
      </c>
      <c r="AK852" s="4" t="str">
        <f t="shared" si="325"/>
        <v/>
      </c>
      <c r="AL852" s="2" t="str">
        <f t="shared" si="326"/>
        <v/>
      </c>
      <c r="AM852" s="6" t="str">
        <f t="shared" si="327"/>
        <v/>
      </c>
      <c r="AN852" s="4" t="str">
        <f t="shared" si="328"/>
        <v/>
      </c>
      <c r="AO852" s="4" t="str">
        <f t="shared" si="329"/>
        <v/>
      </c>
      <c r="AP852" s="4" t="str">
        <f t="shared" si="330"/>
        <v/>
      </c>
      <c r="AQ852" s="4" t="str">
        <f t="shared" si="331"/>
        <v/>
      </c>
      <c r="AR852" s="4" t="str">
        <f t="shared" si="332"/>
        <v/>
      </c>
    </row>
    <row r="853" spans="8:44" s="1" customFormat="1" ht="14.25" x14ac:dyDescent="0.3">
      <c r="H853" s="50"/>
      <c r="J853" s="54"/>
      <c r="L853" s="54"/>
      <c r="R853" s="45"/>
      <c r="S853" s="54"/>
      <c r="T853" s="54"/>
      <c r="U853" s="54"/>
      <c r="V853" s="44"/>
      <c r="W853" s="27"/>
      <c r="Z853" s="27"/>
      <c r="AA853" s="8"/>
      <c r="AB853" s="81" t="str">
        <f t="shared" si="316"/>
        <v/>
      </c>
      <c r="AC853" s="6" t="str">
        <f t="shared" si="317"/>
        <v/>
      </c>
      <c r="AD853" s="1" t="str">
        <f t="shared" ca="1" si="318"/>
        <v/>
      </c>
      <c r="AE853" s="75" t="str">
        <f t="shared" si="319"/>
        <v/>
      </c>
      <c r="AF853" s="75" t="str">
        <f t="shared" si="320"/>
        <v/>
      </c>
      <c r="AG853" s="4" t="str">
        <f t="shared" si="321"/>
        <v/>
      </c>
      <c r="AH853" s="4" t="str">
        <f t="shared" si="322"/>
        <v/>
      </c>
      <c r="AI853" s="4" t="str">
        <f t="shared" si="323"/>
        <v/>
      </c>
      <c r="AJ853" s="4" t="str">
        <f t="shared" si="324"/>
        <v/>
      </c>
      <c r="AK853" s="4" t="str">
        <f t="shared" si="325"/>
        <v/>
      </c>
      <c r="AL853" s="2" t="str">
        <f t="shared" si="326"/>
        <v/>
      </c>
      <c r="AM853" s="6" t="str">
        <f t="shared" si="327"/>
        <v/>
      </c>
      <c r="AN853" s="4" t="str">
        <f t="shared" si="328"/>
        <v/>
      </c>
      <c r="AO853" s="4" t="str">
        <f t="shared" si="329"/>
        <v/>
      </c>
      <c r="AP853" s="4" t="str">
        <f t="shared" si="330"/>
        <v/>
      </c>
      <c r="AQ853" s="4" t="str">
        <f t="shared" si="331"/>
        <v/>
      </c>
      <c r="AR853" s="4" t="str">
        <f t="shared" si="332"/>
        <v/>
      </c>
    </row>
    <row r="854" spans="8:44" s="1" customFormat="1" ht="14.25" x14ac:dyDescent="0.3">
      <c r="H854" s="50"/>
      <c r="J854" s="54"/>
      <c r="L854" s="54"/>
      <c r="R854" s="45"/>
      <c r="S854" s="54"/>
      <c r="T854" s="54"/>
      <c r="U854" s="54"/>
      <c r="V854" s="44"/>
      <c r="W854" s="27"/>
      <c r="Z854" s="27"/>
      <c r="AA854" s="8"/>
      <c r="AB854" s="81" t="str">
        <f t="shared" si="316"/>
        <v/>
      </c>
      <c r="AC854" s="6" t="str">
        <f t="shared" si="317"/>
        <v/>
      </c>
      <c r="AD854" s="1" t="str">
        <f t="shared" ca="1" si="318"/>
        <v/>
      </c>
      <c r="AE854" s="75" t="str">
        <f t="shared" si="319"/>
        <v/>
      </c>
      <c r="AF854" s="75" t="str">
        <f t="shared" si="320"/>
        <v/>
      </c>
      <c r="AG854" s="4" t="str">
        <f t="shared" si="321"/>
        <v/>
      </c>
      <c r="AH854" s="4" t="str">
        <f t="shared" si="322"/>
        <v/>
      </c>
      <c r="AI854" s="4" t="str">
        <f t="shared" si="323"/>
        <v/>
      </c>
      <c r="AJ854" s="4" t="str">
        <f t="shared" si="324"/>
        <v/>
      </c>
      <c r="AK854" s="4" t="str">
        <f t="shared" si="325"/>
        <v/>
      </c>
      <c r="AL854" s="2" t="str">
        <f t="shared" si="326"/>
        <v/>
      </c>
      <c r="AM854" s="6" t="str">
        <f t="shared" si="327"/>
        <v/>
      </c>
      <c r="AN854" s="4" t="str">
        <f t="shared" si="328"/>
        <v/>
      </c>
      <c r="AO854" s="4" t="str">
        <f t="shared" si="329"/>
        <v/>
      </c>
      <c r="AP854" s="4" t="str">
        <f t="shared" si="330"/>
        <v/>
      </c>
      <c r="AQ854" s="4" t="str">
        <f t="shared" si="331"/>
        <v/>
      </c>
      <c r="AR854" s="4" t="str">
        <f t="shared" si="332"/>
        <v/>
      </c>
    </row>
    <row r="855" spans="8:44" s="1" customFormat="1" ht="14.25" x14ac:dyDescent="0.3">
      <c r="H855" s="50"/>
      <c r="J855" s="54"/>
      <c r="L855" s="54"/>
      <c r="R855" s="45"/>
      <c r="S855" s="54"/>
      <c r="T855" s="54"/>
      <c r="U855" s="54"/>
      <c r="V855" s="44"/>
      <c r="W855" s="27"/>
      <c r="Z855" s="27"/>
      <c r="AA855" s="8"/>
      <c r="AB855" s="81" t="str">
        <f t="shared" si="316"/>
        <v/>
      </c>
      <c r="AC855" s="6" t="str">
        <f t="shared" si="317"/>
        <v/>
      </c>
      <c r="AD855" s="1" t="str">
        <f t="shared" ca="1" si="318"/>
        <v/>
      </c>
      <c r="AE855" s="75" t="str">
        <f t="shared" si="319"/>
        <v/>
      </c>
      <c r="AF855" s="75" t="str">
        <f t="shared" si="320"/>
        <v/>
      </c>
      <c r="AG855" s="4" t="str">
        <f t="shared" si="321"/>
        <v/>
      </c>
      <c r="AH855" s="4" t="str">
        <f t="shared" si="322"/>
        <v/>
      </c>
      <c r="AI855" s="4" t="str">
        <f t="shared" si="323"/>
        <v/>
      </c>
      <c r="AJ855" s="4" t="str">
        <f t="shared" si="324"/>
        <v/>
      </c>
      <c r="AK855" s="4" t="str">
        <f t="shared" si="325"/>
        <v/>
      </c>
      <c r="AL855" s="2" t="str">
        <f t="shared" si="326"/>
        <v/>
      </c>
      <c r="AM855" s="6" t="str">
        <f t="shared" si="327"/>
        <v/>
      </c>
      <c r="AN855" s="4" t="str">
        <f t="shared" si="328"/>
        <v/>
      </c>
      <c r="AO855" s="4" t="str">
        <f t="shared" si="329"/>
        <v/>
      </c>
      <c r="AP855" s="4" t="str">
        <f t="shared" si="330"/>
        <v/>
      </c>
      <c r="AQ855" s="4" t="str">
        <f t="shared" si="331"/>
        <v/>
      </c>
      <c r="AR855" s="4" t="str">
        <f t="shared" si="332"/>
        <v/>
      </c>
    </row>
    <row r="856" spans="8:44" s="1" customFormat="1" ht="14.25" x14ac:dyDescent="0.3">
      <c r="H856" s="50"/>
      <c r="J856" s="54"/>
      <c r="L856" s="54"/>
      <c r="R856" s="45"/>
      <c r="S856" s="54"/>
      <c r="T856" s="54"/>
      <c r="U856" s="54"/>
      <c r="V856" s="44"/>
      <c r="W856" s="27"/>
      <c r="Z856" s="27"/>
      <c r="AA856" s="8"/>
      <c r="AB856" s="81" t="str">
        <f t="shared" si="316"/>
        <v/>
      </c>
      <c r="AC856" s="6" t="str">
        <f t="shared" si="317"/>
        <v/>
      </c>
      <c r="AD856" s="1" t="str">
        <f t="shared" ca="1" si="318"/>
        <v/>
      </c>
      <c r="AE856" s="75" t="str">
        <f t="shared" si="319"/>
        <v/>
      </c>
      <c r="AF856" s="75" t="str">
        <f t="shared" si="320"/>
        <v/>
      </c>
      <c r="AG856" s="4" t="str">
        <f t="shared" si="321"/>
        <v/>
      </c>
      <c r="AH856" s="4" t="str">
        <f t="shared" si="322"/>
        <v/>
      </c>
      <c r="AI856" s="4" t="str">
        <f t="shared" si="323"/>
        <v/>
      </c>
      <c r="AJ856" s="4" t="str">
        <f t="shared" si="324"/>
        <v/>
      </c>
      <c r="AK856" s="4" t="str">
        <f t="shared" si="325"/>
        <v/>
      </c>
      <c r="AL856" s="2" t="str">
        <f t="shared" si="326"/>
        <v/>
      </c>
      <c r="AM856" s="6" t="str">
        <f t="shared" si="327"/>
        <v/>
      </c>
      <c r="AN856" s="4" t="str">
        <f t="shared" si="328"/>
        <v/>
      </c>
      <c r="AO856" s="4" t="str">
        <f t="shared" si="329"/>
        <v/>
      </c>
      <c r="AP856" s="4" t="str">
        <f t="shared" si="330"/>
        <v/>
      </c>
      <c r="AQ856" s="4" t="str">
        <f t="shared" si="331"/>
        <v/>
      </c>
      <c r="AR856" s="4" t="str">
        <f t="shared" si="332"/>
        <v/>
      </c>
    </row>
    <row r="857" spans="8:44" s="1" customFormat="1" ht="14.25" x14ac:dyDescent="0.3">
      <c r="H857" s="50"/>
      <c r="J857" s="54"/>
      <c r="L857" s="54"/>
      <c r="R857" s="45"/>
      <c r="S857" s="54"/>
      <c r="T857" s="54"/>
      <c r="U857" s="54"/>
      <c r="V857" s="44"/>
      <c r="W857" s="27"/>
      <c r="Z857" s="27"/>
      <c r="AA857" s="8"/>
      <c r="AB857" s="81" t="str">
        <f t="shared" si="316"/>
        <v/>
      </c>
      <c r="AC857" s="6" t="str">
        <f t="shared" si="317"/>
        <v/>
      </c>
      <c r="AD857" s="1" t="str">
        <f t="shared" ca="1" si="318"/>
        <v/>
      </c>
      <c r="AE857" s="75" t="str">
        <f t="shared" si="319"/>
        <v/>
      </c>
      <c r="AF857" s="75" t="str">
        <f t="shared" si="320"/>
        <v/>
      </c>
      <c r="AG857" s="4" t="str">
        <f t="shared" si="321"/>
        <v/>
      </c>
      <c r="AH857" s="4" t="str">
        <f t="shared" si="322"/>
        <v/>
      </c>
      <c r="AI857" s="4" t="str">
        <f t="shared" si="323"/>
        <v/>
      </c>
      <c r="AJ857" s="4" t="str">
        <f t="shared" si="324"/>
        <v/>
      </c>
      <c r="AK857" s="4" t="str">
        <f t="shared" si="325"/>
        <v/>
      </c>
      <c r="AL857" s="2" t="str">
        <f t="shared" si="326"/>
        <v/>
      </c>
      <c r="AM857" s="6" t="str">
        <f t="shared" si="327"/>
        <v/>
      </c>
      <c r="AN857" s="4" t="str">
        <f t="shared" si="328"/>
        <v/>
      </c>
      <c r="AO857" s="4" t="str">
        <f t="shared" si="329"/>
        <v/>
      </c>
      <c r="AP857" s="4" t="str">
        <f t="shared" si="330"/>
        <v/>
      </c>
      <c r="AQ857" s="4" t="str">
        <f t="shared" si="331"/>
        <v/>
      </c>
      <c r="AR857" s="4" t="str">
        <f t="shared" si="332"/>
        <v/>
      </c>
    </row>
    <row r="858" spans="8:44" s="1" customFormat="1" ht="14.25" x14ac:dyDescent="0.3">
      <c r="H858" s="50"/>
      <c r="J858" s="54"/>
      <c r="L858" s="54"/>
      <c r="R858" s="45"/>
      <c r="S858" s="54"/>
      <c r="T858" s="54"/>
      <c r="U858" s="54"/>
      <c r="V858" s="44"/>
      <c r="W858" s="27"/>
      <c r="Z858" s="27"/>
      <c r="AA858" s="8"/>
      <c r="AB858" s="81" t="str">
        <f t="shared" si="316"/>
        <v/>
      </c>
      <c r="AC858" s="6" t="str">
        <f t="shared" si="317"/>
        <v/>
      </c>
      <c r="AD858" s="1" t="str">
        <f t="shared" ca="1" si="318"/>
        <v/>
      </c>
      <c r="AE858" s="75" t="str">
        <f t="shared" si="319"/>
        <v/>
      </c>
      <c r="AF858" s="75" t="str">
        <f t="shared" si="320"/>
        <v/>
      </c>
      <c r="AG858" s="4" t="str">
        <f t="shared" si="321"/>
        <v/>
      </c>
      <c r="AH858" s="4" t="str">
        <f t="shared" si="322"/>
        <v/>
      </c>
      <c r="AI858" s="4" t="str">
        <f t="shared" si="323"/>
        <v/>
      </c>
      <c r="AJ858" s="4" t="str">
        <f t="shared" si="324"/>
        <v/>
      </c>
      <c r="AK858" s="4" t="str">
        <f t="shared" si="325"/>
        <v/>
      </c>
      <c r="AL858" s="2" t="str">
        <f t="shared" si="326"/>
        <v/>
      </c>
      <c r="AM858" s="6" t="str">
        <f t="shared" si="327"/>
        <v/>
      </c>
      <c r="AN858" s="4" t="str">
        <f t="shared" si="328"/>
        <v/>
      </c>
      <c r="AO858" s="4" t="str">
        <f t="shared" si="329"/>
        <v/>
      </c>
      <c r="AP858" s="4" t="str">
        <f t="shared" si="330"/>
        <v/>
      </c>
      <c r="AQ858" s="4" t="str">
        <f t="shared" si="331"/>
        <v/>
      </c>
      <c r="AR858" s="4" t="str">
        <f t="shared" si="332"/>
        <v/>
      </c>
    </row>
    <row r="859" spans="8:44" s="1" customFormat="1" ht="14.25" x14ac:dyDescent="0.3">
      <c r="H859" s="50"/>
      <c r="J859" s="54"/>
      <c r="L859" s="54"/>
      <c r="R859" s="45"/>
      <c r="S859" s="54"/>
      <c r="T859" s="54"/>
      <c r="U859" s="54"/>
      <c r="V859" s="44"/>
      <c r="W859" s="27"/>
      <c r="Z859" s="27"/>
      <c r="AA859" s="8"/>
      <c r="AB859" s="81" t="str">
        <f t="shared" si="316"/>
        <v/>
      </c>
      <c r="AC859" s="6" t="str">
        <f t="shared" si="317"/>
        <v/>
      </c>
      <c r="AD859" s="1" t="str">
        <f t="shared" ca="1" si="318"/>
        <v/>
      </c>
      <c r="AE859" s="75" t="str">
        <f t="shared" si="319"/>
        <v/>
      </c>
      <c r="AF859" s="75" t="str">
        <f t="shared" si="320"/>
        <v/>
      </c>
      <c r="AG859" s="4" t="str">
        <f t="shared" si="321"/>
        <v/>
      </c>
      <c r="AH859" s="4" t="str">
        <f t="shared" si="322"/>
        <v/>
      </c>
      <c r="AI859" s="4" t="str">
        <f t="shared" si="323"/>
        <v/>
      </c>
      <c r="AJ859" s="4" t="str">
        <f t="shared" si="324"/>
        <v/>
      </c>
      <c r="AK859" s="4" t="str">
        <f t="shared" si="325"/>
        <v/>
      </c>
      <c r="AL859" s="2" t="str">
        <f t="shared" si="326"/>
        <v/>
      </c>
      <c r="AM859" s="6" t="str">
        <f t="shared" si="327"/>
        <v/>
      </c>
      <c r="AN859" s="4" t="str">
        <f t="shared" si="328"/>
        <v/>
      </c>
      <c r="AO859" s="4" t="str">
        <f t="shared" si="329"/>
        <v/>
      </c>
      <c r="AP859" s="4" t="str">
        <f t="shared" si="330"/>
        <v/>
      </c>
      <c r="AQ859" s="4" t="str">
        <f t="shared" si="331"/>
        <v/>
      </c>
      <c r="AR859" s="4" t="str">
        <f t="shared" si="332"/>
        <v/>
      </c>
    </row>
    <row r="860" spans="8:44" s="1" customFormat="1" ht="14.25" x14ac:dyDescent="0.3">
      <c r="H860" s="50"/>
      <c r="J860" s="54"/>
      <c r="L860" s="54"/>
      <c r="R860" s="45"/>
      <c r="S860" s="54"/>
      <c r="T860" s="54"/>
      <c r="U860" s="54"/>
      <c r="V860" s="44"/>
      <c r="W860" s="27"/>
      <c r="Z860" s="27"/>
      <c r="AA860" s="8"/>
      <c r="AB860" s="81" t="str">
        <f t="shared" si="316"/>
        <v/>
      </c>
      <c r="AC860" s="6" t="str">
        <f t="shared" si="317"/>
        <v/>
      </c>
      <c r="AD860" s="1" t="str">
        <f t="shared" ca="1" si="318"/>
        <v/>
      </c>
      <c r="AE860" s="75" t="str">
        <f t="shared" si="319"/>
        <v/>
      </c>
      <c r="AF860" s="75" t="str">
        <f t="shared" si="320"/>
        <v/>
      </c>
      <c r="AG860" s="4" t="str">
        <f t="shared" si="321"/>
        <v/>
      </c>
      <c r="AH860" s="4" t="str">
        <f t="shared" si="322"/>
        <v/>
      </c>
      <c r="AI860" s="4" t="str">
        <f t="shared" si="323"/>
        <v/>
      </c>
      <c r="AJ860" s="4" t="str">
        <f t="shared" si="324"/>
        <v/>
      </c>
      <c r="AK860" s="4" t="str">
        <f t="shared" si="325"/>
        <v/>
      </c>
      <c r="AL860" s="2" t="str">
        <f t="shared" si="326"/>
        <v/>
      </c>
      <c r="AM860" s="6" t="str">
        <f t="shared" si="327"/>
        <v/>
      </c>
      <c r="AN860" s="4" t="str">
        <f t="shared" si="328"/>
        <v/>
      </c>
      <c r="AO860" s="4" t="str">
        <f t="shared" si="329"/>
        <v/>
      </c>
      <c r="AP860" s="4" t="str">
        <f t="shared" si="330"/>
        <v/>
      </c>
      <c r="AQ860" s="4" t="str">
        <f t="shared" si="331"/>
        <v/>
      </c>
      <c r="AR860" s="4" t="str">
        <f t="shared" si="332"/>
        <v/>
      </c>
    </row>
    <row r="861" spans="8:44" s="1" customFormat="1" ht="14.25" x14ac:dyDescent="0.3">
      <c r="H861" s="50"/>
      <c r="J861" s="54"/>
      <c r="L861" s="54"/>
      <c r="R861" s="45"/>
      <c r="S861" s="54"/>
      <c r="T861" s="54"/>
      <c r="U861" s="54"/>
      <c r="V861" s="44"/>
      <c r="W861" s="27"/>
      <c r="Z861" s="27"/>
      <c r="AA861" s="8"/>
      <c r="AB861" s="81" t="str">
        <f t="shared" si="316"/>
        <v/>
      </c>
      <c r="AC861" s="6" t="str">
        <f t="shared" si="317"/>
        <v/>
      </c>
      <c r="AD861" s="1" t="str">
        <f t="shared" ca="1" si="318"/>
        <v/>
      </c>
      <c r="AE861" s="75" t="str">
        <f t="shared" si="319"/>
        <v/>
      </c>
      <c r="AF861" s="75" t="str">
        <f t="shared" si="320"/>
        <v/>
      </c>
      <c r="AG861" s="4" t="str">
        <f t="shared" si="321"/>
        <v/>
      </c>
      <c r="AH861" s="4" t="str">
        <f t="shared" si="322"/>
        <v/>
      </c>
      <c r="AI861" s="4" t="str">
        <f t="shared" si="323"/>
        <v/>
      </c>
      <c r="AJ861" s="4" t="str">
        <f t="shared" si="324"/>
        <v/>
      </c>
      <c r="AK861" s="4" t="str">
        <f t="shared" si="325"/>
        <v/>
      </c>
      <c r="AL861" s="2" t="str">
        <f t="shared" si="326"/>
        <v/>
      </c>
      <c r="AM861" s="6" t="str">
        <f t="shared" si="327"/>
        <v/>
      </c>
      <c r="AN861" s="4" t="str">
        <f t="shared" si="328"/>
        <v/>
      </c>
      <c r="AO861" s="4" t="str">
        <f t="shared" si="329"/>
        <v/>
      </c>
      <c r="AP861" s="4" t="str">
        <f t="shared" si="330"/>
        <v/>
      </c>
      <c r="AQ861" s="4" t="str">
        <f t="shared" si="331"/>
        <v/>
      </c>
      <c r="AR861" s="4" t="str">
        <f t="shared" si="332"/>
        <v/>
      </c>
    </row>
    <row r="862" spans="8:44" s="1" customFormat="1" ht="14.25" x14ac:dyDescent="0.3">
      <c r="H862" s="50"/>
      <c r="J862" s="54"/>
      <c r="L862" s="54"/>
      <c r="R862" s="45"/>
      <c r="S862" s="54"/>
      <c r="T862" s="54"/>
      <c r="U862" s="54"/>
      <c r="V862" s="44"/>
      <c r="W862" s="27"/>
      <c r="Z862" s="27"/>
      <c r="AA862" s="8"/>
      <c r="AB862" s="81" t="str">
        <f t="shared" si="316"/>
        <v/>
      </c>
      <c r="AC862" s="6" t="str">
        <f t="shared" si="317"/>
        <v/>
      </c>
      <c r="AD862" s="1" t="str">
        <f t="shared" ca="1" si="318"/>
        <v/>
      </c>
      <c r="AE862" s="75" t="str">
        <f t="shared" si="319"/>
        <v/>
      </c>
      <c r="AF862" s="75" t="str">
        <f t="shared" si="320"/>
        <v/>
      </c>
      <c r="AG862" s="4" t="str">
        <f t="shared" si="321"/>
        <v/>
      </c>
      <c r="AH862" s="4" t="str">
        <f t="shared" si="322"/>
        <v/>
      </c>
      <c r="AI862" s="4" t="str">
        <f t="shared" si="323"/>
        <v/>
      </c>
      <c r="AJ862" s="4" t="str">
        <f t="shared" si="324"/>
        <v/>
      </c>
      <c r="AK862" s="4" t="str">
        <f t="shared" si="325"/>
        <v/>
      </c>
      <c r="AL862" s="2" t="str">
        <f t="shared" si="326"/>
        <v/>
      </c>
      <c r="AM862" s="6" t="str">
        <f t="shared" si="327"/>
        <v/>
      </c>
      <c r="AN862" s="4" t="str">
        <f t="shared" si="328"/>
        <v/>
      </c>
      <c r="AO862" s="4" t="str">
        <f t="shared" si="329"/>
        <v/>
      </c>
      <c r="AP862" s="4" t="str">
        <f t="shared" si="330"/>
        <v/>
      </c>
      <c r="AQ862" s="4" t="str">
        <f t="shared" si="331"/>
        <v/>
      </c>
      <c r="AR862" s="4" t="str">
        <f t="shared" si="332"/>
        <v/>
      </c>
    </row>
    <row r="863" spans="8:44" s="1" customFormat="1" ht="14.25" x14ac:dyDescent="0.3">
      <c r="H863" s="50"/>
      <c r="J863" s="54"/>
      <c r="L863" s="54"/>
      <c r="R863" s="45"/>
      <c r="S863" s="54"/>
      <c r="T863" s="54"/>
      <c r="U863" s="54"/>
      <c r="V863" s="44"/>
      <c r="W863" s="27"/>
      <c r="Z863" s="27"/>
      <c r="AA863" s="8"/>
      <c r="AB863" s="81" t="str">
        <f t="shared" si="316"/>
        <v/>
      </c>
      <c r="AC863" s="6" t="str">
        <f t="shared" si="317"/>
        <v/>
      </c>
      <c r="AD863" s="1" t="str">
        <f t="shared" ca="1" si="318"/>
        <v/>
      </c>
      <c r="AE863" s="75" t="str">
        <f t="shared" si="319"/>
        <v/>
      </c>
      <c r="AF863" s="75" t="str">
        <f t="shared" si="320"/>
        <v/>
      </c>
      <c r="AG863" s="4" t="str">
        <f t="shared" si="321"/>
        <v/>
      </c>
      <c r="AH863" s="4" t="str">
        <f t="shared" si="322"/>
        <v/>
      </c>
      <c r="AI863" s="4" t="str">
        <f t="shared" si="323"/>
        <v/>
      </c>
      <c r="AJ863" s="4" t="str">
        <f t="shared" si="324"/>
        <v/>
      </c>
      <c r="AK863" s="4" t="str">
        <f t="shared" si="325"/>
        <v/>
      </c>
      <c r="AL863" s="2" t="str">
        <f t="shared" si="326"/>
        <v/>
      </c>
      <c r="AM863" s="6" t="str">
        <f t="shared" si="327"/>
        <v/>
      </c>
      <c r="AN863" s="4" t="str">
        <f t="shared" si="328"/>
        <v/>
      </c>
      <c r="AO863" s="4" t="str">
        <f t="shared" si="329"/>
        <v/>
      </c>
      <c r="AP863" s="4" t="str">
        <f t="shared" si="330"/>
        <v/>
      </c>
      <c r="AQ863" s="4" t="str">
        <f t="shared" si="331"/>
        <v/>
      </c>
      <c r="AR863" s="4" t="str">
        <f t="shared" si="332"/>
        <v/>
      </c>
    </row>
    <row r="864" spans="8:44" s="1" customFormat="1" ht="14.25" x14ac:dyDescent="0.3">
      <c r="H864" s="50"/>
      <c r="J864" s="54"/>
      <c r="L864" s="54"/>
      <c r="R864" s="45"/>
      <c r="S864" s="54"/>
      <c r="T864" s="54"/>
      <c r="U864" s="54"/>
      <c r="V864" s="44"/>
      <c r="W864" s="27"/>
      <c r="Z864" s="27"/>
      <c r="AA864" s="8"/>
      <c r="AB864" s="81" t="str">
        <f t="shared" si="316"/>
        <v/>
      </c>
      <c r="AC864" s="6" t="str">
        <f t="shared" si="317"/>
        <v/>
      </c>
      <c r="AD864" s="1" t="str">
        <f t="shared" ca="1" si="318"/>
        <v/>
      </c>
      <c r="AE864" s="75" t="str">
        <f t="shared" si="319"/>
        <v/>
      </c>
      <c r="AF864" s="75" t="str">
        <f t="shared" si="320"/>
        <v/>
      </c>
      <c r="AG864" s="4" t="str">
        <f t="shared" si="321"/>
        <v/>
      </c>
      <c r="AH864" s="4" t="str">
        <f t="shared" si="322"/>
        <v/>
      </c>
      <c r="AI864" s="4" t="str">
        <f t="shared" si="323"/>
        <v/>
      </c>
      <c r="AJ864" s="4" t="str">
        <f t="shared" si="324"/>
        <v/>
      </c>
      <c r="AK864" s="4" t="str">
        <f t="shared" si="325"/>
        <v/>
      </c>
      <c r="AL864" s="2" t="str">
        <f t="shared" si="326"/>
        <v/>
      </c>
      <c r="AM864" s="6" t="str">
        <f t="shared" si="327"/>
        <v/>
      </c>
      <c r="AN864" s="4" t="str">
        <f t="shared" si="328"/>
        <v/>
      </c>
      <c r="AO864" s="4" t="str">
        <f t="shared" si="329"/>
        <v/>
      </c>
      <c r="AP864" s="4" t="str">
        <f t="shared" si="330"/>
        <v/>
      </c>
      <c r="AQ864" s="4" t="str">
        <f t="shared" si="331"/>
        <v/>
      </c>
      <c r="AR864" s="4" t="str">
        <f t="shared" si="332"/>
        <v/>
      </c>
    </row>
    <row r="865" spans="8:44" s="1" customFormat="1" ht="14.25" x14ac:dyDescent="0.3">
      <c r="H865" s="50"/>
      <c r="J865" s="54"/>
      <c r="L865" s="54"/>
      <c r="R865" s="45"/>
      <c r="S865" s="54"/>
      <c r="T865" s="54"/>
      <c r="U865" s="54"/>
      <c r="V865" s="44"/>
      <c r="W865" s="27"/>
      <c r="Z865" s="27"/>
      <c r="AA865" s="8"/>
      <c r="AB865" s="81" t="str">
        <f t="shared" si="316"/>
        <v/>
      </c>
      <c r="AC865" s="6" t="str">
        <f t="shared" si="317"/>
        <v/>
      </c>
      <c r="AD865" s="1" t="str">
        <f t="shared" ca="1" si="318"/>
        <v/>
      </c>
      <c r="AE865" s="75" t="str">
        <f t="shared" si="319"/>
        <v/>
      </c>
      <c r="AF865" s="75" t="str">
        <f t="shared" si="320"/>
        <v/>
      </c>
      <c r="AG865" s="4" t="str">
        <f t="shared" si="321"/>
        <v/>
      </c>
      <c r="AH865" s="4" t="str">
        <f t="shared" si="322"/>
        <v/>
      </c>
      <c r="AI865" s="4" t="str">
        <f t="shared" si="323"/>
        <v/>
      </c>
      <c r="AJ865" s="4" t="str">
        <f t="shared" si="324"/>
        <v/>
      </c>
      <c r="AK865" s="4" t="str">
        <f t="shared" si="325"/>
        <v/>
      </c>
      <c r="AL865" s="2" t="str">
        <f t="shared" si="326"/>
        <v/>
      </c>
      <c r="AM865" s="6" t="str">
        <f t="shared" si="327"/>
        <v/>
      </c>
      <c r="AN865" s="4" t="str">
        <f t="shared" si="328"/>
        <v/>
      </c>
      <c r="AO865" s="4" t="str">
        <f t="shared" si="329"/>
        <v/>
      </c>
      <c r="AP865" s="4" t="str">
        <f t="shared" si="330"/>
        <v/>
      </c>
      <c r="AQ865" s="4" t="str">
        <f t="shared" si="331"/>
        <v/>
      </c>
      <c r="AR865" s="4" t="str">
        <f t="shared" si="332"/>
        <v/>
      </c>
    </row>
    <row r="866" spans="8:44" s="1" customFormat="1" ht="14.25" x14ac:dyDescent="0.3">
      <c r="H866" s="50"/>
      <c r="J866" s="54"/>
      <c r="L866" s="54"/>
      <c r="R866" s="45"/>
      <c r="S866" s="54"/>
      <c r="T866" s="54"/>
      <c r="U866" s="54"/>
      <c r="V866" s="44"/>
      <c r="W866" s="27"/>
      <c r="Z866" s="27"/>
      <c r="AA866" s="8"/>
      <c r="AB866" s="81" t="str">
        <f t="shared" si="316"/>
        <v/>
      </c>
      <c r="AC866" s="6" t="str">
        <f t="shared" si="317"/>
        <v/>
      </c>
      <c r="AD866" s="1" t="str">
        <f t="shared" ca="1" si="318"/>
        <v/>
      </c>
      <c r="AE866" s="75" t="str">
        <f t="shared" si="319"/>
        <v/>
      </c>
      <c r="AF866" s="75" t="str">
        <f t="shared" si="320"/>
        <v/>
      </c>
      <c r="AG866" s="4" t="str">
        <f t="shared" si="321"/>
        <v/>
      </c>
      <c r="AH866" s="4" t="str">
        <f t="shared" si="322"/>
        <v/>
      </c>
      <c r="AI866" s="4" t="str">
        <f t="shared" si="323"/>
        <v/>
      </c>
      <c r="AJ866" s="4" t="str">
        <f t="shared" si="324"/>
        <v/>
      </c>
      <c r="AK866" s="4" t="str">
        <f t="shared" si="325"/>
        <v/>
      </c>
      <c r="AL866" s="2" t="str">
        <f t="shared" si="326"/>
        <v/>
      </c>
      <c r="AM866" s="6" t="str">
        <f t="shared" si="327"/>
        <v/>
      </c>
      <c r="AN866" s="4" t="str">
        <f t="shared" si="328"/>
        <v/>
      </c>
      <c r="AO866" s="4" t="str">
        <f t="shared" si="329"/>
        <v/>
      </c>
      <c r="AP866" s="4" t="str">
        <f t="shared" si="330"/>
        <v/>
      </c>
      <c r="AQ866" s="4" t="str">
        <f t="shared" si="331"/>
        <v/>
      </c>
      <c r="AR866" s="4" t="str">
        <f t="shared" si="332"/>
        <v/>
      </c>
    </row>
    <row r="867" spans="8:44" s="1" customFormat="1" ht="14.25" x14ac:dyDescent="0.3">
      <c r="H867" s="50"/>
      <c r="J867" s="54"/>
      <c r="L867" s="54"/>
      <c r="R867" s="45"/>
      <c r="S867" s="54"/>
      <c r="T867" s="54"/>
      <c r="U867" s="54"/>
      <c r="V867" s="44"/>
      <c r="W867" s="27"/>
      <c r="Z867" s="27"/>
      <c r="AA867" s="8"/>
      <c r="AB867" s="81" t="str">
        <f t="shared" si="316"/>
        <v/>
      </c>
      <c r="AC867" s="6" t="str">
        <f t="shared" si="317"/>
        <v/>
      </c>
      <c r="AD867" s="1" t="str">
        <f t="shared" ca="1" si="318"/>
        <v/>
      </c>
      <c r="AE867" s="75" t="str">
        <f t="shared" si="319"/>
        <v/>
      </c>
      <c r="AF867" s="75" t="str">
        <f t="shared" si="320"/>
        <v/>
      </c>
      <c r="AG867" s="4" t="str">
        <f t="shared" si="321"/>
        <v/>
      </c>
      <c r="AH867" s="4" t="str">
        <f t="shared" si="322"/>
        <v/>
      </c>
      <c r="AI867" s="4" t="str">
        <f t="shared" si="323"/>
        <v/>
      </c>
      <c r="AJ867" s="4" t="str">
        <f t="shared" si="324"/>
        <v/>
      </c>
      <c r="AK867" s="4" t="str">
        <f t="shared" si="325"/>
        <v/>
      </c>
      <c r="AL867" s="2" t="str">
        <f t="shared" si="326"/>
        <v/>
      </c>
      <c r="AM867" s="6" t="str">
        <f t="shared" si="327"/>
        <v/>
      </c>
      <c r="AN867" s="4" t="str">
        <f t="shared" si="328"/>
        <v/>
      </c>
      <c r="AO867" s="4" t="str">
        <f t="shared" si="329"/>
        <v/>
      </c>
      <c r="AP867" s="4" t="str">
        <f t="shared" si="330"/>
        <v/>
      </c>
      <c r="AQ867" s="4" t="str">
        <f t="shared" si="331"/>
        <v/>
      </c>
      <c r="AR867" s="4" t="str">
        <f t="shared" si="332"/>
        <v/>
      </c>
    </row>
    <row r="868" spans="8:44" s="1" customFormat="1" ht="14.25" x14ac:dyDescent="0.3">
      <c r="H868" s="50"/>
      <c r="J868" s="54"/>
      <c r="L868" s="54"/>
      <c r="R868" s="45"/>
      <c r="S868" s="54"/>
      <c r="T868" s="54"/>
      <c r="U868" s="54"/>
      <c r="V868" s="44"/>
      <c r="W868" s="27"/>
      <c r="Z868" s="27"/>
      <c r="AA868" s="8"/>
      <c r="AB868" s="81" t="str">
        <f t="shared" si="316"/>
        <v/>
      </c>
      <c r="AC868" s="6" t="str">
        <f t="shared" si="317"/>
        <v/>
      </c>
      <c r="AD868" s="1" t="str">
        <f t="shared" ca="1" si="318"/>
        <v/>
      </c>
      <c r="AE868" s="75" t="str">
        <f t="shared" si="319"/>
        <v/>
      </c>
      <c r="AF868" s="75" t="str">
        <f t="shared" si="320"/>
        <v/>
      </c>
      <c r="AG868" s="4" t="str">
        <f t="shared" si="321"/>
        <v/>
      </c>
      <c r="AH868" s="4" t="str">
        <f t="shared" si="322"/>
        <v/>
      </c>
      <c r="AI868" s="4" t="str">
        <f t="shared" si="323"/>
        <v/>
      </c>
      <c r="AJ868" s="4" t="str">
        <f t="shared" si="324"/>
        <v/>
      </c>
      <c r="AK868" s="4" t="str">
        <f t="shared" si="325"/>
        <v/>
      </c>
      <c r="AL868" s="2" t="str">
        <f t="shared" si="326"/>
        <v/>
      </c>
      <c r="AM868" s="6" t="str">
        <f t="shared" si="327"/>
        <v/>
      </c>
      <c r="AN868" s="4" t="str">
        <f t="shared" si="328"/>
        <v/>
      </c>
      <c r="AO868" s="4" t="str">
        <f t="shared" si="329"/>
        <v/>
      </c>
      <c r="AP868" s="4" t="str">
        <f t="shared" si="330"/>
        <v/>
      </c>
      <c r="AQ868" s="4" t="str">
        <f t="shared" si="331"/>
        <v/>
      </c>
      <c r="AR868" s="4" t="str">
        <f t="shared" si="332"/>
        <v/>
      </c>
    </row>
    <row r="869" spans="8:44" s="1" customFormat="1" ht="14.25" x14ac:dyDescent="0.3">
      <c r="H869" s="50"/>
      <c r="J869" s="54"/>
      <c r="L869" s="54"/>
      <c r="R869" s="45"/>
      <c r="S869" s="54"/>
      <c r="T869" s="54"/>
      <c r="U869" s="54"/>
      <c r="V869" s="44"/>
      <c r="W869" s="27"/>
      <c r="Z869" s="27"/>
      <c r="AA869" s="8"/>
      <c r="AB869" s="81" t="str">
        <f t="shared" si="316"/>
        <v/>
      </c>
      <c r="AC869" s="6" t="str">
        <f t="shared" si="317"/>
        <v/>
      </c>
      <c r="AD869" s="1" t="str">
        <f t="shared" ca="1" si="318"/>
        <v/>
      </c>
      <c r="AE869" s="75" t="str">
        <f t="shared" si="319"/>
        <v/>
      </c>
      <c r="AF869" s="75" t="str">
        <f t="shared" si="320"/>
        <v/>
      </c>
      <c r="AG869" s="4" t="str">
        <f t="shared" si="321"/>
        <v/>
      </c>
      <c r="AH869" s="4" t="str">
        <f t="shared" si="322"/>
        <v/>
      </c>
      <c r="AI869" s="4" t="str">
        <f t="shared" si="323"/>
        <v/>
      </c>
      <c r="AJ869" s="4" t="str">
        <f t="shared" si="324"/>
        <v/>
      </c>
      <c r="AK869" s="4" t="str">
        <f t="shared" si="325"/>
        <v/>
      </c>
      <c r="AL869" s="2" t="str">
        <f t="shared" si="326"/>
        <v/>
      </c>
      <c r="AM869" s="6" t="str">
        <f t="shared" si="327"/>
        <v/>
      </c>
      <c r="AN869" s="4" t="str">
        <f t="shared" si="328"/>
        <v/>
      </c>
      <c r="AO869" s="4" t="str">
        <f t="shared" si="329"/>
        <v/>
      </c>
      <c r="AP869" s="4" t="str">
        <f t="shared" si="330"/>
        <v/>
      </c>
      <c r="AQ869" s="4" t="str">
        <f t="shared" si="331"/>
        <v/>
      </c>
      <c r="AR869" s="4" t="str">
        <f t="shared" si="332"/>
        <v/>
      </c>
    </row>
    <row r="870" spans="8:44" s="1" customFormat="1" ht="14.25" x14ac:dyDescent="0.3">
      <c r="H870" s="50"/>
      <c r="J870" s="54"/>
      <c r="L870" s="54"/>
      <c r="R870" s="45"/>
      <c r="S870" s="54"/>
      <c r="T870" s="54"/>
      <c r="U870" s="54"/>
      <c r="V870" s="44"/>
      <c r="W870" s="27"/>
      <c r="Z870" s="27"/>
      <c r="AA870" s="8"/>
      <c r="AB870" s="81" t="str">
        <f t="shared" si="316"/>
        <v/>
      </c>
      <c r="AC870" s="6" t="str">
        <f t="shared" si="317"/>
        <v/>
      </c>
      <c r="AD870" s="1" t="str">
        <f t="shared" ca="1" si="318"/>
        <v/>
      </c>
      <c r="AE870" s="75" t="str">
        <f t="shared" si="319"/>
        <v/>
      </c>
      <c r="AF870" s="75" t="str">
        <f t="shared" si="320"/>
        <v/>
      </c>
      <c r="AG870" s="4" t="str">
        <f t="shared" si="321"/>
        <v/>
      </c>
      <c r="AH870" s="4" t="str">
        <f t="shared" si="322"/>
        <v/>
      </c>
      <c r="AI870" s="4" t="str">
        <f t="shared" si="323"/>
        <v/>
      </c>
      <c r="AJ870" s="4" t="str">
        <f t="shared" si="324"/>
        <v/>
      </c>
      <c r="AK870" s="4" t="str">
        <f t="shared" si="325"/>
        <v/>
      </c>
      <c r="AL870" s="2" t="str">
        <f t="shared" si="326"/>
        <v/>
      </c>
      <c r="AM870" s="6" t="str">
        <f t="shared" si="327"/>
        <v/>
      </c>
      <c r="AN870" s="4" t="str">
        <f t="shared" si="328"/>
        <v/>
      </c>
      <c r="AO870" s="4" t="str">
        <f t="shared" si="329"/>
        <v/>
      </c>
      <c r="AP870" s="4" t="str">
        <f t="shared" si="330"/>
        <v/>
      </c>
      <c r="AQ870" s="4" t="str">
        <f t="shared" si="331"/>
        <v/>
      </c>
      <c r="AR870" s="4" t="str">
        <f t="shared" si="332"/>
        <v/>
      </c>
    </row>
    <row r="871" spans="8:44" s="1" customFormat="1" ht="14.25" x14ac:dyDescent="0.3">
      <c r="H871" s="50"/>
      <c r="J871" s="54"/>
      <c r="L871" s="54"/>
      <c r="R871" s="45"/>
      <c r="S871" s="54"/>
      <c r="T871" s="54"/>
      <c r="U871" s="54"/>
      <c r="V871" s="44"/>
      <c r="W871" s="27"/>
      <c r="Z871" s="27"/>
      <c r="AA871" s="8"/>
      <c r="AB871" s="81" t="str">
        <f t="shared" si="316"/>
        <v/>
      </c>
      <c r="AC871" s="6" t="str">
        <f t="shared" si="317"/>
        <v/>
      </c>
      <c r="AD871" s="1" t="str">
        <f t="shared" ca="1" si="318"/>
        <v/>
      </c>
      <c r="AE871" s="75" t="str">
        <f t="shared" si="319"/>
        <v/>
      </c>
      <c r="AF871" s="75" t="str">
        <f t="shared" si="320"/>
        <v/>
      </c>
      <c r="AG871" s="4" t="str">
        <f t="shared" si="321"/>
        <v/>
      </c>
      <c r="AH871" s="4" t="str">
        <f t="shared" si="322"/>
        <v/>
      </c>
      <c r="AI871" s="4" t="str">
        <f t="shared" si="323"/>
        <v/>
      </c>
      <c r="AJ871" s="4" t="str">
        <f t="shared" si="324"/>
        <v/>
      </c>
      <c r="AK871" s="4" t="str">
        <f t="shared" si="325"/>
        <v/>
      </c>
      <c r="AL871" s="2" t="str">
        <f t="shared" si="326"/>
        <v/>
      </c>
      <c r="AM871" s="6" t="str">
        <f t="shared" si="327"/>
        <v/>
      </c>
      <c r="AN871" s="4" t="str">
        <f t="shared" si="328"/>
        <v/>
      </c>
      <c r="AO871" s="4" t="str">
        <f t="shared" si="329"/>
        <v/>
      </c>
      <c r="AP871" s="4" t="str">
        <f t="shared" si="330"/>
        <v/>
      </c>
      <c r="AQ871" s="4" t="str">
        <f t="shared" si="331"/>
        <v/>
      </c>
      <c r="AR871" s="4" t="str">
        <f t="shared" si="332"/>
        <v/>
      </c>
    </row>
    <row r="872" spans="8:44" s="1" customFormat="1" ht="14.25" x14ac:dyDescent="0.3">
      <c r="H872" s="50"/>
      <c r="J872" s="54"/>
      <c r="L872" s="54"/>
      <c r="R872" s="45"/>
      <c r="S872" s="54"/>
      <c r="T872" s="54"/>
      <c r="U872" s="54"/>
      <c r="V872" s="44"/>
      <c r="W872" s="27"/>
      <c r="Z872" s="27"/>
      <c r="AA872" s="8"/>
      <c r="AB872" s="81" t="str">
        <f t="shared" si="316"/>
        <v/>
      </c>
      <c r="AC872" s="6" t="str">
        <f t="shared" si="317"/>
        <v/>
      </c>
      <c r="AD872" s="1" t="str">
        <f t="shared" ca="1" si="318"/>
        <v/>
      </c>
      <c r="AE872" s="75" t="str">
        <f t="shared" si="319"/>
        <v/>
      </c>
      <c r="AF872" s="75" t="str">
        <f t="shared" si="320"/>
        <v/>
      </c>
      <c r="AG872" s="4" t="str">
        <f t="shared" si="321"/>
        <v/>
      </c>
      <c r="AH872" s="4" t="str">
        <f t="shared" si="322"/>
        <v/>
      </c>
      <c r="AI872" s="4" t="str">
        <f t="shared" si="323"/>
        <v/>
      </c>
      <c r="AJ872" s="4" t="str">
        <f t="shared" si="324"/>
        <v/>
      </c>
      <c r="AK872" s="4" t="str">
        <f t="shared" si="325"/>
        <v/>
      </c>
      <c r="AL872" s="2" t="str">
        <f t="shared" si="326"/>
        <v/>
      </c>
      <c r="AM872" s="6" t="str">
        <f t="shared" si="327"/>
        <v/>
      </c>
      <c r="AN872" s="4" t="str">
        <f t="shared" si="328"/>
        <v/>
      </c>
      <c r="AO872" s="4" t="str">
        <f t="shared" si="329"/>
        <v/>
      </c>
      <c r="AP872" s="4" t="str">
        <f t="shared" si="330"/>
        <v/>
      </c>
      <c r="AQ872" s="4" t="str">
        <f t="shared" si="331"/>
        <v/>
      </c>
      <c r="AR872" s="4" t="str">
        <f t="shared" si="332"/>
        <v/>
      </c>
    </row>
    <row r="873" spans="8:44" s="1" customFormat="1" ht="14.25" x14ac:dyDescent="0.3">
      <c r="H873" s="50"/>
      <c r="J873" s="54"/>
      <c r="L873" s="54"/>
      <c r="R873" s="45"/>
      <c r="S873" s="54"/>
      <c r="T873" s="54"/>
      <c r="U873" s="54"/>
      <c r="V873" s="44"/>
      <c r="W873" s="27"/>
      <c r="Z873" s="27"/>
      <c r="AA873" s="8"/>
      <c r="AB873" s="81" t="str">
        <f t="shared" si="316"/>
        <v/>
      </c>
      <c r="AC873" s="6" t="str">
        <f t="shared" si="317"/>
        <v/>
      </c>
      <c r="AD873" s="1" t="str">
        <f t="shared" ca="1" si="318"/>
        <v/>
      </c>
      <c r="AE873" s="75" t="str">
        <f t="shared" si="319"/>
        <v/>
      </c>
      <c r="AF873" s="75" t="str">
        <f t="shared" si="320"/>
        <v/>
      </c>
      <c r="AG873" s="4" t="str">
        <f t="shared" si="321"/>
        <v/>
      </c>
      <c r="AH873" s="4" t="str">
        <f t="shared" si="322"/>
        <v/>
      </c>
      <c r="AI873" s="4" t="str">
        <f t="shared" si="323"/>
        <v/>
      </c>
      <c r="AJ873" s="4" t="str">
        <f t="shared" si="324"/>
        <v/>
      </c>
      <c r="AK873" s="4" t="str">
        <f t="shared" si="325"/>
        <v/>
      </c>
      <c r="AL873" s="2" t="str">
        <f t="shared" si="326"/>
        <v/>
      </c>
      <c r="AM873" s="6" t="str">
        <f t="shared" si="327"/>
        <v/>
      </c>
      <c r="AN873" s="4" t="str">
        <f t="shared" si="328"/>
        <v/>
      </c>
      <c r="AO873" s="4" t="str">
        <f t="shared" si="329"/>
        <v/>
      </c>
      <c r="AP873" s="4" t="str">
        <f t="shared" si="330"/>
        <v/>
      </c>
      <c r="AQ873" s="4" t="str">
        <f t="shared" si="331"/>
        <v/>
      </c>
      <c r="AR873" s="4" t="str">
        <f t="shared" si="332"/>
        <v/>
      </c>
    </row>
    <row r="874" spans="8:44" s="1" customFormat="1" ht="14.25" x14ac:dyDescent="0.3">
      <c r="H874" s="50"/>
      <c r="J874" s="54"/>
      <c r="L874" s="54"/>
      <c r="R874" s="45"/>
      <c r="S874" s="54"/>
      <c r="T874" s="54"/>
      <c r="U874" s="54"/>
      <c r="V874" s="44"/>
      <c r="W874" s="27"/>
      <c r="Z874" s="27"/>
      <c r="AA874" s="8"/>
      <c r="AB874" s="81" t="str">
        <f t="shared" si="316"/>
        <v/>
      </c>
      <c r="AC874" s="6" t="str">
        <f t="shared" si="317"/>
        <v/>
      </c>
      <c r="AD874" s="1" t="str">
        <f t="shared" ca="1" si="318"/>
        <v/>
      </c>
      <c r="AE874" s="75" t="str">
        <f t="shared" si="319"/>
        <v/>
      </c>
      <c r="AF874" s="75" t="str">
        <f t="shared" si="320"/>
        <v/>
      </c>
      <c r="AG874" s="4" t="str">
        <f t="shared" si="321"/>
        <v/>
      </c>
      <c r="AH874" s="4" t="str">
        <f t="shared" si="322"/>
        <v/>
      </c>
      <c r="AI874" s="4" t="str">
        <f t="shared" si="323"/>
        <v/>
      </c>
      <c r="AJ874" s="4" t="str">
        <f t="shared" si="324"/>
        <v/>
      </c>
      <c r="AK874" s="4" t="str">
        <f t="shared" si="325"/>
        <v/>
      </c>
      <c r="AL874" s="2" t="str">
        <f t="shared" si="326"/>
        <v/>
      </c>
      <c r="AM874" s="6" t="str">
        <f t="shared" si="327"/>
        <v/>
      </c>
      <c r="AN874" s="4" t="str">
        <f t="shared" si="328"/>
        <v/>
      </c>
      <c r="AO874" s="4" t="str">
        <f t="shared" si="329"/>
        <v/>
      </c>
      <c r="AP874" s="4" t="str">
        <f t="shared" si="330"/>
        <v/>
      </c>
      <c r="AQ874" s="4" t="str">
        <f t="shared" si="331"/>
        <v/>
      </c>
      <c r="AR874" s="4" t="str">
        <f t="shared" si="332"/>
        <v/>
      </c>
    </row>
    <row r="875" spans="8:44" s="1" customFormat="1" ht="14.25" x14ac:dyDescent="0.3">
      <c r="H875" s="50"/>
      <c r="J875" s="54"/>
      <c r="L875" s="54"/>
      <c r="R875" s="45"/>
      <c r="S875" s="54"/>
      <c r="T875" s="54"/>
      <c r="U875" s="54"/>
      <c r="V875" s="44"/>
      <c r="W875" s="27"/>
      <c r="Z875" s="27"/>
      <c r="AA875" s="8"/>
      <c r="AB875" s="81" t="str">
        <f t="shared" si="316"/>
        <v/>
      </c>
      <c r="AC875" s="6" t="str">
        <f t="shared" si="317"/>
        <v/>
      </c>
      <c r="AD875" s="1" t="str">
        <f t="shared" ca="1" si="318"/>
        <v/>
      </c>
      <c r="AE875" s="75" t="str">
        <f t="shared" si="319"/>
        <v/>
      </c>
      <c r="AF875" s="75" t="str">
        <f t="shared" si="320"/>
        <v/>
      </c>
      <c r="AG875" s="4" t="str">
        <f t="shared" si="321"/>
        <v/>
      </c>
      <c r="AH875" s="4" t="str">
        <f t="shared" si="322"/>
        <v/>
      </c>
      <c r="AI875" s="4" t="str">
        <f t="shared" si="323"/>
        <v/>
      </c>
      <c r="AJ875" s="4" t="str">
        <f t="shared" si="324"/>
        <v/>
      </c>
      <c r="AK875" s="4" t="str">
        <f t="shared" si="325"/>
        <v/>
      </c>
      <c r="AL875" s="2" t="str">
        <f t="shared" si="326"/>
        <v/>
      </c>
      <c r="AM875" s="6" t="str">
        <f t="shared" si="327"/>
        <v/>
      </c>
      <c r="AN875" s="4" t="str">
        <f t="shared" si="328"/>
        <v/>
      </c>
      <c r="AO875" s="4" t="str">
        <f t="shared" si="329"/>
        <v/>
      </c>
      <c r="AP875" s="4" t="str">
        <f t="shared" si="330"/>
        <v/>
      </c>
      <c r="AQ875" s="4" t="str">
        <f t="shared" si="331"/>
        <v/>
      </c>
      <c r="AR875" s="4" t="str">
        <f t="shared" si="332"/>
        <v/>
      </c>
    </row>
    <row r="876" spans="8:44" s="1" customFormat="1" ht="14.25" x14ac:dyDescent="0.3">
      <c r="H876" s="50"/>
      <c r="J876" s="54"/>
      <c r="L876" s="54"/>
      <c r="R876" s="45"/>
      <c r="S876" s="54"/>
      <c r="T876" s="54"/>
      <c r="U876" s="54"/>
      <c r="V876" s="44"/>
      <c r="W876" s="27"/>
      <c r="Z876" s="27"/>
      <c r="AA876" s="8"/>
      <c r="AB876" s="81" t="str">
        <f t="shared" si="316"/>
        <v/>
      </c>
      <c r="AC876" s="6" t="str">
        <f t="shared" si="317"/>
        <v/>
      </c>
      <c r="AD876" s="1" t="str">
        <f t="shared" ca="1" si="318"/>
        <v/>
      </c>
      <c r="AE876" s="75" t="str">
        <f t="shared" si="319"/>
        <v/>
      </c>
      <c r="AF876" s="75" t="str">
        <f t="shared" si="320"/>
        <v/>
      </c>
      <c r="AG876" s="4" t="str">
        <f t="shared" si="321"/>
        <v/>
      </c>
      <c r="AH876" s="4" t="str">
        <f t="shared" si="322"/>
        <v/>
      </c>
      <c r="AI876" s="4" t="str">
        <f t="shared" si="323"/>
        <v/>
      </c>
      <c r="AJ876" s="4" t="str">
        <f t="shared" si="324"/>
        <v/>
      </c>
      <c r="AK876" s="4" t="str">
        <f t="shared" si="325"/>
        <v/>
      </c>
      <c r="AL876" s="2" t="str">
        <f t="shared" si="326"/>
        <v/>
      </c>
      <c r="AM876" s="6" t="str">
        <f t="shared" si="327"/>
        <v/>
      </c>
      <c r="AN876" s="4" t="str">
        <f t="shared" si="328"/>
        <v/>
      </c>
      <c r="AO876" s="4" t="str">
        <f t="shared" si="329"/>
        <v/>
      </c>
      <c r="AP876" s="4" t="str">
        <f t="shared" si="330"/>
        <v/>
      </c>
      <c r="AQ876" s="4" t="str">
        <f t="shared" si="331"/>
        <v/>
      </c>
      <c r="AR876" s="4" t="str">
        <f t="shared" si="332"/>
        <v/>
      </c>
    </row>
    <row r="877" spans="8:44" s="1" customFormat="1" ht="14.25" x14ac:dyDescent="0.3">
      <c r="H877" s="50"/>
      <c r="J877" s="54"/>
      <c r="L877" s="54"/>
      <c r="R877" s="45"/>
      <c r="S877" s="54"/>
      <c r="T877" s="54"/>
      <c r="U877" s="54"/>
      <c r="V877" s="44"/>
      <c r="W877" s="27"/>
      <c r="Z877" s="27"/>
      <c r="AA877" s="8"/>
      <c r="AB877" s="81" t="str">
        <f t="shared" si="316"/>
        <v/>
      </c>
      <c r="AC877" s="6" t="str">
        <f t="shared" si="317"/>
        <v/>
      </c>
      <c r="AD877" s="1" t="str">
        <f t="shared" ca="1" si="318"/>
        <v/>
      </c>
      <c r="AE877" s="75" t="str">
        <f t="shared" si="319"/>
        <v/>
      </c>
      <c r="AF877" s="75" t="str">
        <f t="shared" si="320"/>
        <v/>
      </c>
      <c r="AG877" s="4" t="str">
        <f t="shared" si="321"/>
        <v/>
      </c>
      <c r="AH877" s="4" t="str">
        <f t="shared" si="322"/>
        <v/>
      </c>
      <c r="AI877" s="4" t="str">
        <f t="shared" si="323"/>
        <v/>
      </c>
      <c r="AJ877" s="4" t="str">
        <f t="shared" si="324"/>
        <v/>
      </c>
      <c r="AK877" s="4" t="str">
        <f t="shared" si="325"/>
        <v/>
      </c>
      <c r="AL877" s="2" t="str">
        <f t="shared" si="326"/>
        <v/>
      </c>
      <c r="AM877" s="6" t="str">
        <f t="shared" si="327"/>
        <v/>
      </c>
      <c r="AN877" s="4" t="str">
        <f t="shared" si="328"/>
        <v/>
      </c>
      <c r="AO877" s="4" t="str">
        <f t="shared" si="329"/>
        <v/>
      </c>
      <c r="AP877" s="4" t="str">
        <f t="shared" si="330"/>
        <v/>
      </c>
      <c r="AQ877" s="4" t="str">
        <f t="shared" si="331"/>
        <v/>
      </c>
      <c r="AR877" s="4" t="str">
        <f t="shared" si="332"/>
        <v/>
      </c>
    </row>
    <row r="878" spans="8:44" s="1" customFormat="1" ht="14.25" x14ac:dyDescent="0.3">
      <c r="H878" s="50"/>
      <c r="J878" s="54"/>
      <c r="L878" s="54"/>
      <c r="R878" s="45"/>
      <c r="S878" s="54"/>
      <c r="T878" s="54"/>
      <c r="U878" s="54"/>
      <c r="V878" s="44"/>
      <c r="W878" s="27"/>
      <c r="Z878" s="27"/>
      <c r="AA878" s="8"/>
      <c r="AB878" s="81" t="str">
        <f t="shared" si="316"/>
        <v/>
      </c>
      <c r="AC878" s="6" t="str">
        <f t="shared" si="317"/>
        <v/>
      </c>
      <c r="AD878" s="1" t="str">
        <f t="shared" ca="1" si="318"/>
        <v/>
      </c>
      <c r="AE878" s="75" t="str">
        <f t="shared" si="319"/>
        <v/>
      </c>
      <c r="AF878" s="75" t="str">
        <f t="shared" si="320"/>
        <v/>
      </c>
      <c r="AG878" s="4" t="str">
        <f t="shared" si="321"/>
        <v/>
      </c>
      <c r="AH878" s="4" t="str">
        <f t="shared" si="322"/>
        <v/>
      </c>
      <c r="AI878" s="4" t="str">
        <f t="shared" si="323"/>
        <v/>
      </c>
      <c r="AJ878" s="4" t="str">
        <f t="shared" si="324"/>
        <v/>
      </c>
      <c r="AK878" s="4" t="str">
        <f t="shared" si="325"/>
        <v/>
      </c>
      <c r="AL878" s="2" t="str">
        <f t="shared" si="326"/>
        <v/>
      </c>
      <c r="AM878" s="6" t="str">
        <f t="shared" si="327"/>
        <v/>
      </c>
      <c r="AN878" s="4" t="str">
        <f t="shared" si="328"/>
        <v/>
      </c>
      <c r="AO878" s="4" t="str">
        <f t="shared" si="329"/>
        <v/>
      </c>
      <c r="AP878" s="4" t="str">
        <f t="shared" si="330"/>
        <v/>
      </c>
      <c r="AQ878" s="4" t="str">
        <f t="shared" si="331"/>
        <v/>
      </c>
      <c r="AR878" s="4" t="str">
        <f t="shared" si="332"/>
        <v/>
      </c>
    </row>
    <row r="879" spans="8:44" s="1" customFormat="1" ht="14.25" x14ac:dyDescent="0.3">
      <c r="H879" s="50"/>
      <c r="J879" s="54"/>
      <c r="L879" s="54"/>
      <c r="R879" s="45"/>
      <c r="S879" s="54"/>
      <c r="T879" s="54"/>
      <c r="U879" s="54"/>
      <c r="V879" s="44"/>
      <c r="W879" s="27"/>
      <c r="Z879" s="27"/>
      <c r="AA879" s="8"/>
      <c r="AB879" s="81" t="str">
        <f t="shared" si="316"/>
        <v/>
      </c>
      <c r="AC879" s="6" t="str">
        <f t="shared" si="317"/>
        <v/>
      </c>
      <c r="AD879" s="1" t="str">
        <f t="shared" ca="1" si="318"/>
        <v/>
      </c>
      <c r="AE879" s="75" t="str">
        <f t="shared" si="319"/>
        <v/>
      </c>
      <c r="AF879" s="75" t="str">
        <f t="shared" si="320"/>
        <v/>
      </c>
      <c r="AG879" s="4" t="str">
        <f t="shared" si="321"/>
        <v/>
      </c>
      <c r="AH879" s="4" t="str">
        <f t="shared" si="322"/>
        <v/>
      </c>
      <c r="AI879" s="4" t="str">
        <f t="shared" si="323"/>
        <v/>
      </c>
      <c r="AJ879" s="4" t="str">
        <f t="shared" si="324"/>
        <v/>
      </c>
      <c r="AK879" s="4" t="str">
        <f t="shared" si="325"/>
        <v/>
      </c>
      <c r="AL879" s="2" t="str">
        <f t="shared" si="326"/>
        <v/>
      </c>
      <c r="AM879" s="6" t="str">
        <f t="shared" si="327"/>
        <v/>
      </c>
      <c r="AN879" s="4" t="str">
        <f t="shared" si="328"/>
        <v/>
      </c>
      <c r="AO879" s="4" t="str">
        <f t="shared" si="329"/>
        <v/>
      </c>
      <c r="AP879" s="4" t="str">
        <f t="shared" si="330"/>
        <v/>
      </c>
      <c r="AQ879" s="4" t="str">
        <f t="shared" si="331"/>
        <v/>
      </c>
      <c r="AR879" s="4" t="str">
        <f t="shared" si="332"/>
        <v/>
      </c>
    </row>
    <row r="880" spans="8:44" s="1" customFormat="1" ht="14.25" x14ac:dyDescent="0.3">
      <c r="H880" s="50"/>
      <c r="J880" s="54"/>
      <c r="L880" s="54"/>
      <c r="R880" s="45"/>
      <c r="S880" s="54"/>
      <c r="T880" s="54"/>
      <c r="U880" s="54"/>
      <c r="V880" s="44"/>
      <c r="W880" s="27"/>
      <c r="Z880" s="27"/>
      <c r="AA880" s="8"/>
      <c r="AB880" s="81" t="str">
        <f t="shared" si="316"/>
        <v/>
      </c>
      <c r="AC880" s="6" t="str">
        <f t="shared" si="317"/>
        <v/>
      </c>
      <c r="AD880" s="1" t="str">
        <f t="shared" ca="1" si="318"/>
        <v/>
      </c>
      <c r="AE880" s="75" t="str">
        <f t="shared" si="319"/>
        <v/>
      </c>
      <c r="AF880" s="75" t="str">
        <f t="shared" si="320"/>
        <v/>
      </c>
      <c r="AG880" s="4" t="str">
        <f t="shared" si="321"/>
        <v/>
      </c>
      <c r="AH880" s="4" t="str">
        <f t="shared" si="322"/>
        <v/>
      </c>
      <c r="AI880" s="4" t="str">
        <f t="shared" si="323"/>
        <v/>
      </c>
      <c r="AJ880" s="4" t="str">
        <f t="shared" si="324"/>
        <v/>
      </c>
      <c r="AK880" s="4" t="str">
        <f t="shared" si="325"/>
        <v/>
      </c>
      <c r="AL880" s="2" t="str">
        <f t="shared" si="326"/>
        <v/>
      </c>
      <c r="AM880" s="6" t="str">
        <f t="shared" si="327"/>
        <v/>
      </c>
      <c r="AN880" s="4" t="str">
        <f t="shared" si="328"/>
        <v/>
      </c>
      <c r="AO880" s="4" t="str">
        <f t="shared" si="329"/>
        <v/>
      </c>
      <c r="AP880" s="4" t="str">
        <f t="shared" si="330"/>
        <v/>
      </c>
      <c r="AQ880" s="4" t="str">
        <f t="shared" si="331"/>
        <v/>
      </c>
      <c r="AR880" s="4" t="str">
        <f t="shared" si="332"/>
        <v/>
      </c>
    </row>
    <row r="881" spans="8:44" s="1" customFormat="1" ht="14.25" x14ac:dyDescent="0.3">
      <c r="H881" s="50"/>
      <c r="J881" s="54"/>
      <c r="L881" s="54"/>
      <c r="R881" s="45"/>
      <c r="S881" s="54"/>
      <c r="T881" s="54"/>
      <c r="U881" s="54"/>
      <c r="V881" s="44"/>
      <c r="W881" s="27"/>
      <c r="Z881" s="27"/>
      <c r="AA881" s="8"/>
      <c r="AB881" s="81" t="str">
        <f t="shared" si="316"/>
        <v/>
      </c>
      <c r="AC881" s="6" t="str">
        <f t="shared" si="317"/>
        <v/>
      </c>
      <c r="AD881" s="1" t="str">
        <f t="shared" ca="1" si="318"/>
        <v/>
      </c>
      <c r="AE881" s="75" t="str">
        <f t="shared" si="319"/>
        <v/>
      </c>
      <c r="AF881" s="75" t="str">
        <f t="shared" si="320"/>
        <v/>
      </c>
      <c r="AG881" s="4" t="str">
        <f t="shared" si="321"/>
        <v/>
      </c>
      <c r="AH881" s="4" t="str">
        <f t="shared" si="322"/>
        <v/>
      </c>
      <c r="AI881" s="4" t="str">
        <f t="shared" si="323"/>
        <v/>
      </c>
      <c r="AJ881" s="4" t="str">
        <f t="shared" si="324"/>
        <v/>
      </c>
      <c r="AK881" s="4" t="str">
        <f t="shared" si="325"/>
        <v/>
      </c>
      <c r="AL881" s="2" t="str">
        <f t="shared" si="326"/>
        <v/>
      </c>
      <c r="AM881" s="6" t="str">
        <f t="shared" si="327"/>
        <v/>
      </c>
      <c r="AN881" s="4" t="str">
        <f t="shared" si="328"/>
        <v/>
      </c>
      <c r="AO881" s="4" t="str">
        <f t="shared" si="329"/>
        <v/>
      </c>
      <c r="AP881" s="4" t="str">
        <f t="shared" si="330"/>
        <v/>
      </c>
      <c r="AQ881" s="4" t="str">
        <f t="shared" si="331"/>
        <v/>
      </c>
      <c r="AR881" s="4" t="str">
        <f t="shared" si="332"/>
        <v/>
      </c>
    </row>
    <row r="882" spans="8:44" s="1" customFormat="1" ht="14.25" x14ac:dyDescent="0.3">
      <c r="H882" s="50"/>
      <c r="J882" s="54"/>
      <c r="L882" s="54"/>
      <c r="R882" s="45"/>
      <c r="S882" s="54"/>
      <c r="T882" s="54"/>
      <c r="U882" s="54"/>
      <c r="V882" s="44"/>
      <c r="W882" s="27"/>
      <c r="Z882" s="27"/>
      <c r="AA882" s="8"/>
      <c r="AB882" s="81" t="str">
        <f t="shared" si="316"/>
        <v/>
      </c>
      <c r="AC882" s="6" t="str">
        <f t="shared" si="317"/>
        <v/>
      </c>
      <c r="AD882" s="1" t="str">
        <f t="shared" ca="1" si="318"/>
        <v/>
      </c>
      <c r="AE882" s="75" t="str">
        <f t="shared" si="319"/>
        <v/>
      </c>
      <c r="AF882" s="75" t="str">
        <f t="shared" si="320"/>
        <v/>
      </c>
      <c r="AG882" s="4" t="str">
        <f t="shared" si="321"/>
        <v/>
      </c>
      <c r="AH882" s="4" t="str">
        <f t="shared" si="322"/>
        <v/>
      </c>
      <c r="AI882" s="4" t="str">
        <f t="shared" si="323"/>
        <v/>
      </c>
      <c r="AJ882" s="4" t="str">
        <f t="shared" si="324"/>
        <v/>
      </c>
      <c r="AK882" s="4" t="str">
        <f t="shared" si="325"/>
        <v/>
      </c>
      <c r="AL882" s="2" t="str">
        <f t="shared" si="326"/>
        <v/>
      </c>
      <c r="AM882" s="6" t="str">
        <f t="shared" si="327"/>
        <v/>
      </c>
      <c r="AN882" s="4" t="str">
        <f t="shared" si="328"/>
        <v/>
      </c>
      <c r="AO882" s="4" t="str">
        <f t="shared" si="329"/>
        <v/>
      </c>
      <c r="AP882" s="4" t="str">
        <f t="shared" si="330"/>
        <v/>
      </c>
      <c r="AQ882" s="4" t="str">
        <f t="shared" si="331"/>
        <v/>
      </c>
      <c r="AR882" s="4" t="str">
        <f t="shared" si="332"/>
        <v/>
      </c>
    </row>
    <row r="883" spans="8:44" s="1" customFormat="1" ht="14.25" x14ac:dyDescent="0.3">
      <c r="H883" s="50"/>
      <c r="J883" s="54"/>
      <c r="L883" s="54"/>
      <c r="R883" s="45"/>
      <c r="S883" s="54"/>
      <c r="T883" s="54"/>
      <c r="U883" s="54"/>
      <c r="V883" s="44"/>
      <c r="W883" s="27"/>
      <c r="Z883" s="27"/>
      <c r="AA883" s="8"/>
      <c r="AB883" s="81" t="str">
        <f t="shared" si="316"/>
        <v/>
      </c>
      <c r="AC883" s="6" t="str">
        <f t="shared" si="317"/>
        <v/>
      </c>
      <c r="AD883" s="1" t="str">
        <f t="shared" ca="1" si="318"/>
        <v/>
      </c>
      <c r="AE883" s="75" t="str">
        <f t="shared" si="319"/>
        <v/>
      </c>
      <c r="AF883" s="75" t="str">
        <f t="shared" si="320"/>
        <v/>
      </c>
      <c r="AG883" s="4" t="str">
        <f t="shared" si="321"/>
        <v/>
      </c>
      <c r="AH883" s="4" t="str">
        <f t="shared" si="322"/>
        <v/>
      </c>
      <c r="AI883" s="4" t="str">
        <f t="shared" si="323"/>
        <v/>
      </c>
      <c r="AJ883" s="4" t="str">
        <f t="shared" si="324"/>
        <v/>
      </c>
      <c r="AK883" s="4" t="str">
        <f t="shared" si="325"/>
        <v/>
      </c>
      <c r="AL883" s="2" t="str">
        <f t="shared" si="326"/>
        <v/>
      </c>
      <c r="AM883" s="6" t="str">
        <f t="shared" si="327"/>
        <v/>
      </c>
      <c r="AN883" s="4" t="str">
        <f t="shared" si="328"/>
        <v/>
      </c>
      <c r="AO883" s="4" t="str">
        <f t="shared" si="329"/>
        <v/>
      </c>
      <c r="AP883" s="4" t="str">
        <f t="shared" si="330"/>
        <v/>
      </c>
      <c r="AQ883" s="4" t="str">
        <f t="shared" si="331"/>
        <v/>
      </c>
      <c r="AR883" s="4" t="str">
        <f t="shared" si="332"/>
        <v/>
      </c>
    </row>
    <row r="884" spans="8:44" s="1" customFormat="1" ht="14.25" x14ac:dyDescent="0.3">
      <c r="H884" s="50"/>
      <c r="J884" s="54"/>
      <c r="L884" s="54"/>
      <c r="R884" s="45"/>
      <c r="S884" s="54"/>
      <c r="T884" s="54"/>
      <c r="U884" s="54"/>
      <c r="V884" s="44"/>
      <c r="W884" s="27"/>
      <c r="Z884" s="27"/>
      <c r="AA884" s="8"/>
      <c r="AB884" s="81" t="str">
        <f t="shared" si="316"/>
        <v/>
      </c>
      <c r="AC884" s="6" t="str">
        <f t="shared" si="317"/>
        <v/>
      </c>
      <c r="AD884" s="1" t="str">
        <f t="shared" ca="1" si="318"/>
        <v/>
      </c>
      <c r="AE884" s="75" t="str">
        <f t="shared" si="319"/>
        <v/>
      </c>
      <c r="AF884" s="75" t="str">
        <f t="shared" si="320"/>
        <v/>
      </c>
      <c r="AG884" s="4" t="str">
        <f t="shared" si="321"/>
        <v/>
      </c>
      <c r="AH884" s="4" t="str">
        <f t="shared" si="322"/>
        <v/>
      </c>
      <c r="AI884" s="4" t="str">
        <f t="shared" si="323"/>
        <v/>
      </c>
      <c r="AJ884" s="4" t="str">
        <f t="shared" si="324"/>
        <v/>
      </c>
      <c r="AK884" s="4" t="str">
        <f t="shared" si="325"/>
        <v/>
      </c>
      <c r="AL884" s="2" t="str">
        <f t="shared" si="326"/>
        <v/>
      </c>
      <c r="AM884" s="6" t="str">
        <f t="shared" si="327"/>
        <v/>
      </c>
      <c r="AN884" s="4" t="str">
        <f t="shared" si="328"/>
        <v/>
      </c>
      <c r="AO884" s="4" t="str">
        <f t="shared" si="329"/>
        <v/>
      </c>
      <c r="AP884" s="4" t="str">
        <f t="shared" si="330"/>
        <v/>
      </c>
      <c r="AQ884" s="4" t="str">
        <f t="shared" si="331"/>
        <v/>
      </c>
      <c r="AR884" s="4" t="str">
        <f t="shared" si="332"/>
        <v/>
      </c>
    </row>
    <row r="885" spans="8:44" s="1" customFormat="1" ht="14.25" x14ac:dyDescent="0.3">
      <c r="H885" s="50"/>
      <c r="J885" s="54"/>
      <c r="L885" s="54"/>
      <c r="R885" s="45"/>
      <c r="S885" s="54"/>
      <c r="T885" s="54"/>
      <c r="U885" s="54"/>
      <c r="V885" s="44"/>
      <c r="W885" s="27"/>
      <c r="Z885" s="27"/>
      <c r="AA885" s="8"/>
      <c r="AB885" s="81" t="str">
        <f t="shared" si="316"/>
        <v/>
      </c>
      <c r="AC885" s="6" t="str">
        <f t="shared" si="317"/>
        <v/>
      </c>
      <c r="AD885" s="1" t="str">
        <f t="shared" ca="1" si="318"/>
        <v/>
      </c>
      <c r="AE885" s="75" t="str">
        <f t="shared" si="319"/>
        <v/>
      </c>
      <c r="AF885" s="75" t="str">
        <f t="shared" si="320"/>
        <v/>
      </c>
      <c r="AG885" s="4" t="str">
        <f t="shared" si="321"/>
        <v/>
      </c>
      <c r="AH885" s="4" t="str">
        <f t="shared" si="322"/>
        <v/>
      </c>
      <c r="AI885" s="4" t="str">
        <f t="shared" si="323"/>
        <v/>
      </c>
      <c r="AJ885" s="4" t="str">
        <f t="shared" si="324"/>
        <v/>
      </c>
      <c r="AK885" s="4" t="str">
        <f t="shared" si="325"/>
        <v/>
      </c>
      <c r="AL885" s="2" t="str">
        <f t="shared" si="326"/>
        <v/>
      </c>
      <c r="AM885" s="6" t="str">
        <f t="shared" si="327"/>
        <v/>
      </c>
      <c r="AN885" s="4" t="str">
        <f t="shared" si="328"/>
        <v/>
      </c>
      <c r="AO885" s="4" t="str">
        <f t="shared" si="329"/>
        <v/>
      </c>
      <c r="AP885" s="4" t="str">
        <f t="shared" si="330"/>
        <v/>
      </c>
      <c r="AQ885" s="4" t="str">
        <f t="shared" si="331"/>
        <v/>
      </c>
      <c r="AR885" s="4" t="str">
        <f t="shared" si="332"/>
        <v/>
      </c>
    </row>
    <row r="886" spans="8:44" s="1" customFormat="1" ht="14.25" x14ac:dyDescent="0.3">
      <c r="H886" s="50"/>
      <c r="J886" s="54"/>
      <c r="L886" s="54"/>
      <c r="R886" s="45"/>
      <c r="S886" s="54"/>
      <c r="T886" s="54"/>
      <c r="U886" s="54"/>
      <c r="V886" s="44"/>
      <c r="W886" s="27"/>
      <c r="Z886" s="27"/>
      <c r="AA886" s="8"/>
      <c r="AB886" s="81" t="str">
        <f t="shared" si="316"/>
        <v/>
      </c>
      <c r="AC886" s="6" t="str">
        <f t="shared" si="317"/>
        <v/>
      </c>
      <c r="AD886" s="1" t="str">
        <f t="shared" ca="1" si="318"/>
        <v/>
      </c>
      <c r="AE886" s="75" t="str">
        <f t="shared" si="319"/>
        <v/>
      </c>
      <c r="AF886" s="75" t="str">
        <f t="shared" si="320"/>
        <v/>
      </c>
      <c r="AG886" s="4" t="str">
        <f t="shared" si="321"/>
        <v/>
      </c>
      <c r="AH886" s="4" t="str">
        <f t="shared" si="322"/>
        <v/>
      </c>
      <c r="AI886" s="4" t="str">
        <f t="shared" si="323"/>
        <v/>
      </c>
      <c r="AJ886" s="4" t="str">
        <f t="shared" si="324"/>
        <v/>
      </c>
      <c r="AK886" s="4" t="str">
        <f t="shared" si="325"/>
        <v/>
      </c>
      <c r="AL886" s="2" t="str">
        <f t="shared" si="326"/>
        <v/>
      </c>
      <c r="AM886" s="6" t="str">
        <f t="shared" si="327"/>
        <v/>
      </c>
      <c r="AN886" s="4" t="str">
        <f t="shared" si="328"/>
        <v/>
      </c>
      <c r="AO886" s="4" t="str">
        <f t="shared" si="329"/>
        <v/>
      </c>
      <c r="AP886" s="4" t="str">
        <f t="shared" si="330"/>
        <v/>
      </c>
      <c r="AQ886" s="4" t="str">
        <f t="shared" si="331"/>
        <v/>
      </c>
      <c r="AR886" s="4" t="str">
        <f t="shared" si="332"/>
        <v/>
      </c>
    </row>
    <row r="887" spans="8:44" s="1" customFormat="1" ht="14.25" x14ac:dyDescent="0.3">
      <c r="H887" s="50"/>
      <c r="J887" s="54"/>
      <c r="L887" s="54"/>
      <c r="R887" s="45"/>
      <c r="S887" s="54"/>
      <c r="T887" s="54"/>
      <c r="U887" s="54"/>
      <c r="V887" s="44"/>
      <c r="W887" s="27"/>
      <c r="Z887" s="27"/>
      <c r="AA887" s="8"/>
      <c r="AB887" s="81" t="str">
        <f t="shared" si="316"/>
        <v/>
      </c>
      <c r="AC887" s="6" t="str">
        <f t="shared" si="317"/>
        <v/>
      </c>
      <c r="AD887" s="1" t="str">
        <f t="shared" ca="1" si="318"/>
        <v/>
      </c>
      <c r="AE887" s="75" t="str">
        <f t="shared" si="319"/>
        <v/>
      </c>
      <c r="AF887" s="75" t="str">
        <f t="shared" si="320"/>
        <v/>
      </c>
      <c r="AG887" s="4" t="str">
        <f t="shared" si="321"/>
        <v/>
      </c>
      <c r="AH887" s="4" t="str">
        <f t="shared" si="322"/>
        <v/>
      </c>
      <c r="AI887" s="4" t="str">
        <f t="shared" si="323"/>
        <v/>
      </c>
      <c r="AJ887" s="4" t="str">
        <f t="shared" si="324"/>
        <v/>
      </c>
      <c r="AK887" s="4" t="str">
        <f t="shared" si="325"/>
        <v/>
      </c>
      <c r="AL887" s="2" t="str">
        <f t="shared" si="326"/>
        <v/>
      </c>
      <c r="AM887" s="6" t="str">
        <f t="shared" si="327"/>
        <v/>
      </c>
      <c r="AN887" s="4" t="str">
        <f t="shared" si="328"/>
        <v/>
      </c>
      <c r="AO887" s="4" t="str">
        <f t="shared" si="329"/>
        <v/>
      </c>
      <c r="AP887" s="4" t="str">
        <f t="shared" si="330"/>
        <v/>
      </c>
      <c r="AQ887" s="4" t="str">
        <f t="shared" si="331"/>
        <v/>
      </c>
      <c r="AR887" s="4" t="str">
        <f t="shared" si="332"/>
        <v/>
      </c>
    </row>
    <row r="888" spans="8:44" s="1" customFormat="1" ht="14.25" x14ac:dyDescent="0.3">
      <c r="H888" s="50"/>
      <c r="J888" s="54"/>
      <c r="L888" s="54"/>
      <c r="R888" s="45"/>
      <c r="S888" s="54"/>
      <c r="T888" s="54"/>
      <c r="U888" s="54"/>
      <c r="V888" s="44"/>
      <c r="W888" s="27"/>
      <c r="Z888" s="27"/>
      <c r="AA888" s="8"/>
      <c r="AB888" s="81" t="str">
        <f t="shared" si="316"/>
        <v/>
      </c>
      <c r="AC888" s="6" t="str">
        <f t="shared" si="317"/>
        <v/>
      </c>
      <c r="AD888" s="1" t="str">
        <f t="shared" ca="1" si="318"/>
        <v/>
      </c>
      <c r="AE888" s="75" t="str">
        <f t="shared" si="319"/>
        <v/>
      </c>
      <c r="AF888" s="75" t="str">
        <f t="shared" si="320"/>
        <v/>
      </c>
      <c r="AG888" s="4" t="str">
        <f t="shared" si="321"/>
        <v/>
      </c>
      <c r="AH888" s="4" t="str">
        <f t="shared" si="322"/>
        <v/>
      </c>
      <c r="AI888" s="4" t="str">
        <f t="shared" si="323"/>
        <v/>
      </c>
      <c r="AJ888" s="4" t="str">
        <f t="shared" si="324"/>
        <v/>
      </c>
      <c r="AK888" s="4" t="str">
        <f t="shared" si="325"/>
        <v/>
      </c>
      <c r="AL888" s="2" t="str">
        <f t="shared" si="326"/>
        <v/>
      </c>
      <c r="AM888" s="6" t="str">
        <f t="shared" si="327"/>
        <v/>
      </c>
      <c r="AN888" s="4" t="str">
        <f t="shared" si="328"/>
        <v/>
      </c>
      <c r="AO888" s="4" t="str">
        <f t="shared" si="329"/>
        <v/>
      </c>
      <c r="AP888" s="4" t="str">
        <f t="shared" si="330"/>
        <v/>
      </c>
      <c r="AQ888" s="4" t="str">
        <f t="shared" si="331"/>
        <v/>
      </c>
      <c r="AR888" s="4" t="str">
        <f t="shared" si="332"/>
        <v/>
      </c>
    </row>
    <row r="889" spans="8:44" s="1" customFormat="1" ht="14.25" x14ac:dyDescent="0.3">
      <c r="H889" s="50"/>
      <c r="J889" s="54"/>
      <c r="L889" s="54"/>
      <c r="R889" s="45"/>
      <c r="S889" s="54"/>
      <c r="T889" s="54"/>
      <c r="U889" s="54"/>
      <c r="V889" s="44"/>
      <c r="W889" s="27"/>
      <c r="Z889" s="27"/>
      <c r="AA889" s="8"/>
      <c r="AB889" s="81" t="str">
        <f t="shared" si="316"/>
        <v/>
      </c>
      <c r="AC889" s="6" t="str">
        <f t="shared" si="317"/>
        <v/>
      </c>
      <c r="AD889" s="1" t="str">
        <f t="shared" ca="1" si="318"/>
        <v/>
      </c>
      <c r="AE889" s="75" t="str">
        <f t="shared" si="319"/>
        <v/>
      </c>
      <c r="AF889" s="75" t="str">
        <f t="shared" si="320"/>
        <v/>
      </c>
      <c r="AG889" s="4" t="str">
        <f t="shared" si="321"/>
        <v/>
      </c>
      <c r="AH889" s="4" t="str">
        <f t="shared" si="322"/>
        <v/>
      </c>
      <c r="AI889" s="4" t="str">
        <f t="shared" si="323"/>
        <v/>
      </c>
      <c r="AJ889" s="4" t="str">
        <f t="shared" si="324"/>
        <v/>
      </c>
      <c r="AK889" s="4" t="str">
        <f t="shared" si="325"/>
        <v/>
      </c>
      <c r="AL889" s="2" t="str">
        <f t="shared" si="326"/>
        <v/>
      </c>
      <c r="AM889" s="6" t="str">
        <f t="shared" si="327"/>
        <v/>
      </c>
      <c r="AN889" s="4" t="str">
        <f t="shared" si="328"/>
        <v/>
      </c>
      <c r="AO889" s="4" t="str">
        <f t="shared" si="329"/>
        <v/>
      </c>
      <c r="AP889" s="4" t="str">
        <f t="shared" si="330"/>
        <v/>
      </c>
      <c r="AQ889" s="4" t="str">
        <f t="shared" si="331"/>
        <v/>
      </c>
      <c r="AR889" s="4" t="str">
        <f t="shared" si="332"/>
        <v/>
      </c>
    </row>
    <row r="890" spans="8:44" s="1" customFormat="1" ht="14.25" x14ac:dyDescent="0.3">
      <c r="H890" s="50"/>
      <c r="J890" s="54"/>
      <c r="L890" s="54"/>
      <c r="R890" s="45"/>
      <c r="S890" s="54"/>
      <c r="T890" s="54"/>
      <c r="U890" s="54"/>
      <c r="V890" s="44"/>
      <c r="W890" s="27"/>
      <c r="Z890" s="27"/>
      <c r="AA890" s="8"/>
      <c r="AB890" s="81" t="str">
        <f t="shared" si="316"/>
        <v/>
      </c>
      <c r="AC890" s="6" t="str">
        <f t="shared" si="317"/>
        <v/>
      </c>
      <c r="AD890" s="1" t="str">
        <f t="shared" ca="1" si="318"/>
        <v/>
      </c>
      <c r="AE890" s="75" t="str">
        <f t="shared" si="319"/>
        <v/>
      </c>
      <c r="AF890" s="75" t="str">
        <f t="shared" si="320"/>
        <v/>
      </c>
      <c r="AG890" s="4" t="str">
        <f t="shared" si="321"/>
        <v/>
      </c>
      <c r="AH890" s="4" t="str">
        <f t="shared" si="322"/>
        <v/>
      </c>
      <c r="AI890" s="4" t="str">
        <f t="shared" si="323"/>
        <v/>
      </c>
      <c r="AJ890" s="4" t="str">
        <f t="shared" si="324"/>
        <v/>
      </c>
      <c r="AK890" s="4" t="str">
        <f t="shared" si="325"/>
        <v/>
      </c>
      <c r="AL890" s="2" t="str">
        <f t="shared" si="326"/>
        <v/>
      </c>
      <c r="AM890" s="6" t="str">
        <f t="shared" si="327"/>
        <v/>
      </c>
      <c r="AN890" s="4" t="str">
        <f t="shared" si="328"/>
        <v/>
      </c>
      <c r="AO890" s="4" t="str">
        <f t="shared" si="329"/>
        <v/>
      </c>
      <c r="AP890" s="4" t="str">
        <f t="shared" si="330"/>
        <v/>
      </c>
      <c r="AQ890" s="4" t="str">
        <f t="shared" si="331"/>
        <v/>
      </c>
      <c r="AR890" s="4" t="str">
        <f t="shared" si="332"/>
        <v/>
      </c>
    </row>
    <row r="891" spans="8:44" s="1" customFormat="1" ht="14.25" x14ac:dyDescent="0.3">
      <c r="H891" s="50"/>
      <c r="J891" s="54"/>
      <c r="L891" s="54"/>
      <c r="R891" s="45"/>
      <c r="S891" s="54"/>
      <c r="T891" s="54"/>
      <c r="U891" s="54"/>
      <c r="V891" s="44"/>
      <c r="W891" s="27"/>
      <c r="Z891" s="27"/>
      <c r="AA891" s="8"/>
      <c r="AB891" s="81" t="str">
        <f t="shared" si="316"/>
        <v/>
      </c>
      <c r="AC891" s="6" t="str">
        <f t="shared" si="317"/>
        <v/>
      </c>
      <c r="AD891" s="1" t="str">
        <f t="shared" ca="1" si="318"/>
        <v/>
      </c>
      <c r="AE891" s="75" t="str">
        <f t="shared" si="319"/>
        <v/>
      </c>
      <c r="AF891" s="75" t="str">
        <f t="shared" si="320"/>
        <v/>
      </c>
      <c r="AG891" s="4" t="str">
        <f t="shared" si="321"/>
        <v/>
      </c>
      <c r="AH891" s="4" t="str">
        <f t="shared" si="322"/>
        <v/>
      </c>
      <c r="AI891" s="4" t="str">
        <f t="shared" si="323"/>
        <v/>
      </c>
      <c r="AJ891" s="4" t="str">
        <f t="shared" si="324"/>
        <v/>
      </c>
      <c r="AK891" s="4" t="str">
        <f t="shared" si="325"/>
        <v/>
      </c>
      <c r="AL891" s="2" t="str">
        <f t="shared" si="326"/>
        <v/>
      </c>
      <c r="AM891" s="6" t="str">
        <f t="shared" si="327"/>
        <v/>
      </c>
      <c r="AN891" s="4" t="str">
        <f t="shared" si="328"/>
        <v/>
      </c>
      <c r="AO891" s="4" t="str">
        <f t="shared" si="329"/>
        <v/>
      </c>
      <c r="AP891" s="4" t="str">
        <f t="shared" si="330"/>
        <v/>
      </c>
      <c r="AQ891" s="4" t="str">
        <f t="shared" si="331"/>
        <v/>
      </c>
      <c r="AR891" s="4" t="str">
        <f t="shared" si="332"/>
        <v/>
      </c>
    </row>
    <row r="892" spans="8:44" s="1" customFormat="1" ht="14.25" x14ac:dyDescent="0.3">
      <c r="H892" s="50"/>
      <c r="J892" s="54"/>
      <c r="L892" s="54"/>
      <c r="R892" s="45"/>
      <c r="S892" s="54"/>
      <c r="T892" s="54"/>
      <c r="U892" s="54"/>
      <c r="V892" s="44"/>
      <c r="W892" s="27"/>
      <c r="Z892" s="27"/>
      <c r="AA892" s="8"/>
      <c r="AB892" s="81" t="str">
        <f t="shared" si="316"/>
        <v/>
      </c>
      <c r="AC892" s="6" t="str">
        <f t="shared" si="317"/>
        <v/>
      </c>
      <c r="AD892" s="1" t="str">
        <f t="shared" ca="1" si="318"/>
        <v/>
      </c>
      <c r="AE892" s="75" t="str">
        <f t="shared" si="319"/>
        <v/>
      </c>
      <c r="AF892" s="75" t="str">
        <f t="shared" si="320"/>
        <v/>
      </c>
      <c r="AG892" s="4" t="str">
        <f t="shared" si="321"/>
        <v/>
      </c>
      <c r="AH892" s="4" t="str">
        <f t="shared" si="322"/>
        <v/>
      </c>
      <c r="AI892" s="4" t="str">
        <f t="shared" si="323"/>
        <v/>
      </c>
      <c r="AJ892" s="4" t="str">
        <f t="shared" si="324"/>
        <v/>
      </c>
      <c r="AK892" s="4" t="str">
        <f t="shared" si="325"/>
        <v/>
      </c>
      <c r="AL892" s="2" t="str">
        <f t="shared" si="326"/>
        <v/>
      </c>
      <c r="AM892" s="6" t="str">
        <f t="shared" si="327"/>
        <v/>
      </c>
      <c r="AN892" s="4" t="str">
        <f t="shared" si="328"/>
        <v/>
      </c>
      <c r="AO892" s="4" t="str">
        <f t="shared" si="329"/>
        <v/>
      </c>
      <c r="AP892" s="4" t="str">
        <f t="shared" si="330"/>
        <v/>
      </c>
      <c r="AQ892" s="4" t="str">
        <f t="shared" si="331"/>
        <v/>
      </c>
      <c r="AR892" s="4" t="str">
        <f t="shared" si="332"/>
        <v/>
      </c>
    </row>
    <row r="893" spans="8:44" s="1" customFormat="1" ht="14.25" x14ac:dyDescent="0.3">
      <c r="H893" s="50"/>
      <c r="J893" s="54"/>
      <c r="L893" s="54"/>
      <c r="R893" s="45"/>
      <c r="S893" s="54"/>
      <c r="T893" s="54"/>
      <c r="U893" s="54"/>
      <c r="V893" s="44"/>
      <c r="W893" s="27"/>
      <c r="Z893" s="27"/>
      <c r="AA893" s="8"/>
      <c r="AB893" s="81" t="str">
        <f t="shared" ref="AB893:AB956" si="333">IF(X893="","",(AH893-AG893)/AG893)</f>
        <v/>
      </c>
      <c r="AC893" s="6" t="str">
        <f t="shared" ref="AC893:AC956" si="334">IF(X893="","",AH893-AG893)</f>
        <v/>
      </c>
      <c r="AD893" s="1" t="str">
        <f t="shared" ref="AD893:AD956" ca="1" si="335">IF(X893="","",IF(W893="","",IF(Z893="",TODAY()-W893,Z893-W893)))</f>
        <v/>
      </c>
      <c r="AE893" s="75" t="str">
        <f t="shared" ref="AE893:AE956" si="336">IF(X893="","",IF(AE892="",IF(AM893="","",AM893),IF(AM893="",AE892,AE892+AM893)))</f>
        <v/>
      </c>
      <c r="AF893" s="75" t="str">
        <f t="shared" ref="AF893:AF956" si="337">IF(X893="","",IF(AF892="",IF(AN893="","",AN893),IF(AN893="",AF892,AF892+AN893)))</f>
        <v/>
      </c>
      <c r="AG893" s="4" t="str">
        <f t="shared" ref="AG893:AG956" si="338">IF(X893="","",X893*Y893*100+AO893+AP893)</f>
        <v/>
      </c>
      <c r="AH893" s="4" t="str">
        <f t="shared" ref="AH893:AH956" si="339">IF(X893="","",IF(AA893="",C893*Y893*100-AO893-AQ893-AR893,AA893*Y893*100-AO893-AQ893-AR893))</f>
        <v/>
      </c>
      <c r="AI893" s="4" t="str">
        <f t="shared" ref="AI893:AI956" si="340">IF(X893="","",AI892+AC893)</f>
        <v/>
      </c>
      <c r="AJ893" s="4" t="str">
        <f t="shared" ref="AJ893:AJ956" si="341">IF(X893="","",AO893+AP893+AO893+AQ893+AR893)</f>
        <v/>
      </c>
      <c r="AK893" s="4" t="str">
        <f t="shared" ref="AK893:AK956" si="342">IF(X893="","",AK892+AJ893)</f>
        <v/>
      </c>
      <c r="AL893" s="2" t="str">
        <f t="shared" ref="AL893:AL956" si="343">IF(X893="","",0.18%)</f>
        <v/>
      </c>
      <c r="AM893" s="6" t="str">
        <f t="shared" ref="AM893:AM956" si="344">IF(X893="","",IF(Z893="",AC893,""))</f>
        <v/>
      </c>
      <c r="AN893" s="4" t="str">
        <f t="shared" ref="AN893:AN956" si="345">IF(X893="","",IF(Z893="",AH893,""))</f>
        <v/>
      </c>
      <c r="AO893" s="4" t="str">
        <f t="shared" ref="AO893:AO956" si="346">IF(X893="","",IF(LEFT(A893,2)="sh",IF(Y893*100/1000&lt;=1,1,Y893*100/1000),0))</f>
        <v/>
      </c>
      <c r="AP893" s="4" t="str">
        <f t="shared" ref="AP893:AP956" si="347">IF(X893="","",IF(X893*Y893*100*AL893&lt;=5,5,X893*Y893*100*AL893))</f>
        <v/>
      </c>
      <c r="AQ893" s="4" t="str">
        <f t="shared" ref="AQ893:AQ956" si="348">IF(X893="","",IF(AA893="",IF(C893*Y893*100*AL893&lt;=5,5,C893*Y893*100*AL893),IF(AA893*Y893*100*AL893&lt;=5,5,AA893*Y893*100*AL893)))</f>
        <v/>
      </c>
      <c r="AR893" s="4" t="str">
        <f t="shared" ref="AR893:AR956" si="349">IF(X893="","",IF(AA893="",C893*Y893*100*0.001,AA893*Y893*100*0.001))</f>
        <v/>
      </c>
    </row>
    <row r="894" spans="8:44" s="1" customFormat="1" ht="14.25" x14ac:dyDescent="0.3">
      <c r="H894" s="50"/>
      <c r="J894" s="54"/>
      <c r="L894" s="54"/>
      <c r="R894" s="45"/>
      <c r="S894" s="54"/>
      <c r="T894" s="54"/>
      <c r="U894" s="54"/>
      <c r="V894" s="44"/>
      <c r="W894" s="27"/>
      <c r="Z894" s="27"/>
      <c r="AA894" s="8"/>
      <c r="AB894" s="81" t="str">
        <f t="shared" si="333"/>
        <v/>
      </c>
      <c r="AC894" s="6" t="str">
        <f t="shared" si="334"/>
        <v/>
      </c>
      <c r="AD894" s="1" t="str">
        <f t="shared" ca="1" si="335"/>
        <v/>
      </c>
      <c r="AE894" s="75" t="str">
        <f t="shared" si="336"/>
        <v/>
      </c>
      <c r="AF894" s="75" t="str">
        <f t="shared" si="337"/>
        <v/>
      </c>
      <c r="AG894" s="4" t="str">
        <f t="shared" si="338"/>
        <v/>
      </c>
      <c r="AH894" s="4" t="str">
        <f t="shared" si="339"/>
        <v/>
      </c>
      <c r="AI894" s="4" t="str">
        <f t="shared" si="340"/>
        <v/>
      </c>
      <c r="AJ894" s="4" t="str">
        <f t="shared" si="341"/>
        <v/>
      </c>
      <c r="AK894" s="4" t="str">
        <f t="shared" si="342"/>
        <v/>
      </c>
      <c r="AL894" s="2" t="str">
        <f t="shared" si="343"/>
        <v/>
      </c>
      <c r="AM894" s="6" t="str">
        <f t="shared" si="344"/>
        <v/>
      </c>
      <c r="AN894" s="4" t="str">
        <f t="shared" si="345"/>
        <v/>
      </c>
      <c r="AO894" s="4" t="str">
        <f t="shared" si="346"/>
        <v/>
      </c>
      <c r="AP894" s="4" t="str">
        <f t="shared" si="347"/>
        <v/>
      </c>
      <c r="AQ894" s="4" t="str">
        <f t="shared" si="348"/>
        <v/>
      </c>
      <c r="AR894" s="4" t="str">
        <f t="shared" si="349"/>
        <v/>
      </c>
    </row>
    <row r="895" spans="8:44" s="1" customFormat="1" ht="14.25" x14ac:dyDescent="0.3">
      <c r="H895" s="50"/>
      <c r="J895" s="54"/>
      <c r="L895" s="54"/>
      <c r="R895" s="45"/>
      <c r="S895" s="54"/>
      <c r="T895" s="54"/>
      <c r="U895" s="54"/>
      <c r="V895" s="44"/>
      <c r="W895" s="27"/>
      <c r="Z895" s="27"/>
      <c r="AA895" s="8"/>
      <c r="AB895" s="81" t="str">
        <f t="shared" si="333"/>
        <v/>
      </c>
      <c r="AC895" s="6" t="str">
        <f t="shared" si="334"/>
        <v/>
      </c>
      <c r="AD895" s="1" t="str">
        <f t="shared" ca="1" si="335"/>
        <v/>
      </c>
      <c r="AE895" s="75" t="str">
        <f t="shared" si="336"/>
        <v/>
      </c>
      <c r="AF895" s="75" t="str">
        <f t="shared" si="337"/>
        <v/>
      </c>
      <c r="AG895" s="4" t="str">
        <f t="shared" si="338"/>
        <v/>
      </c>
      <c r="AH895" s="4" t="str">
        <f t="shared" si="339"/>
        <v/>
      </c>
      <c r="AI895" s="4" t="str">
        <f t="shared" si="340"/>
        <v/>
      </c>
      <c r="AJ895" s="4" t="str">
        <f t="shared" si="341"/>
        <v/>
      </c>
      <c r="AK895" s="4" t="str">
        <f t="shared" si="342"/>
        <v/>
      </c>
      <c r="AL895" s="2" t="str">
        <f t="shared" si="343"/>
        <v/>
      </c>
      <c r="AM895" s="6" t="str">
        <f t="shared" si="344"/>
        <v/>
      </c>
      <c r="AN895" s="4" t="str">
        <f t="shared" si="345"/>
        <v/>
      </c>
      <c r="AO895" s="4" t="str">
        <f t="shared" si="346"/>
        <v/>
      </c>
      <c r="AP895" s="4" t="str">
        <f t="shared" si="347"/>
        <v/>
      </c>
      <c r="AQ895" s="4" t="str">
        <f t="shared" si="348"/>
        <v/>
      </c>
      <c r="AR895" s="4" t="str">
        <f t="shared" si="349"/>
        <v/>
      </c>
    </row>
    <row r="896" spans="8:44" s="1" customFormat="1" ht="14.25" x14ac:dyDescent="0.3">
      <c r="H896" s="50"/>
      <c r="J896" s="54"/>
      <c r="L896" s="54"/>
      <c r="R896" s="45"/>
      <c r="S896" s="54"/>
      <c r="T896" s="54"/>
      <c r="U896" s="54"/>
      <c r="V896" s="44"/>
      <c r="W896" s="27"/>
      <c r="Z896" s="27"/>
      <c r="AA896" s="8"/>
      <c r="AB896" s="81" t="str">
        <f t="shared" si="333"/>
        <v/>
      </c>
      <c r="AC896" s="6" t="str">
        <f t="shared" si="334"/>
        <v/>
      </c>
      <c r="AD896" s="1" t="str">
        <f t="shared" ca="1" si="335"/>
        <v/>
      </c>
      <c r="AE896" s="75" t="str">
        <f t="shared" si="336"/>
        <v/>
      </c>
      <c r="AF896" s="75" t="str">
        <f t="shared" si="337"/>
        <v/>
      </c>
      <c r="AG896" s="4" t="str">
        <f t="shared" si="338"/>
        <v/>
      </c>
      <c r="AH896" s="4" t="str">
        <f t="shared" si="339"/>
        <v/>
      </c>
      <c r="AI896" s="4" t="str">
        <f t="shared" si="340"/>
        <v/>
      </c>
      <c r="AJ896" s="4" t="str">
        <f t="shared" si="341"/>
        <v/>
      </c>
      <c r="AK896" s="4" t="str">
        <f t="shared" si="342"/>
        <v/>
      </c>
      <c r="AL896" s="2" t="str">
        <f t="shared" si="343"/>
        <v/>
      </c>
      <c r="AM896" s="6" t="str">
        <f t="shared" si="344"/>
        <v/>
      </c>
      <c r="AN896" s="4" t="str">
        <f t="shared" si="345"/>
        <v/>
      </c>
      <c r="AO896" s="4" t="str">
        <f t="shared" si="346"/>
        <v/>
      </c>
      <c r="AP896" s="4" t="str">
        <f t="shared" si="347"/>
        <v/>
      </c>
      <c r="AQ896" s="4" t="str">
        <f t="shared" si="348"/>
        <v/>
      </c>
      <c r="AR896" s="4" t="str">
        <f t="shared" si="349"/>
        <v/>
      </c>
    </row>
    <row r="897" spans="8:44" s="1" customFormat="1" ht="14.25" x14ac:dyDescent="0.3">
      <c r="H897" s="50"/>
      <c r="J897" s="54"/>
      <c r="L897" s="54"/>
      <c r="R897" s="45"/>
      <c r="S897" s="54"/>
      <c r="T897" s="54"/>
      <c r="U897" s="54"/>
      <c r="V897" s="44"/>
      <c r="W897" s="27"/>
      <c r="Z897" s="27"/>
      <c r="AA897" s="8"/>
      <c r="AB897" s="81" t="str">
        <f t="shared" si="333"/>
        <v/>
      </c>
      <c r="AC897" s="6" t="str">
        <f t="shared" si="334"/>
        <v/>
      </c>
      <c r="AD897" s="1" t="str">
        <f t="shared" ca="1" si="335"/>
        <v/>
      </c>
      <c r="AE897" s="75" t="str">
        <f t="shared" si="336"/>
        <v/>
      </c>
      <c r="AF897" s="75" t="str">
        <f t="shared" si="337"/>
        <v/>
      </c>
      <c r="AG897" s="4" t="str">
        <f t="shared" si="338"/>
        <v/>
      </c>
      <c r="AH897" s="4" t="str">
        <f t="shared" si="339"/>
        <v/>
      </c>
      <c r="AI897" s="4" t="str">
        <f t="shared" si="340"/>
        <v/>
      </c>
      <c r="AJ897" s="4" t="str">
        <f t="shared" si="341"/>
        <v/>
      </c>
      <c r="AK897" s="4" t="str">
        <f t="shared" si="342"/>
        <v/>
      </c>
      <c r="AL897" s="2" t="str">
        <f t="shared" si="343"/>
        <v/>
      </c>
      <c r="AM897" s="6" t="str">
        <f t="shared" si="344"/>
        <v/>
      </c>
      <c r="AN897" s="4" t="str">
        <f t="shared" si="345"/>
        <v/>
      </c>
      <c r="AO897" s="4" t="str">
        <f t="shared" si="346"/>
        <v/>
      </c>
      <c r="AP897" s="4" t="str">
        <f t="shared" si="347"/>
        <v/>
      </c>
      <c r="AQ897" s="4" t="str">
        <f t="shared" si="348"/>
        <v/>
      </c>
      <c r="AR897" s="4" t="str">
        <f t="shared" si="349"/>
        <v/>
      </c>
    </row>
    <row r="898" spans="8:44" s="1" customFormat="1" ht="14.25" x14ac:dyDescent="0.3">
      <c r="H898" s="50"/>
      <c r="J898" s="54"/>
      <c r="L898" s="54"/>
      <c r="R898" s="45"/>
      <c r="S898" s="54"/>
      <c r="T898" s="54"/>
      <c r="U898" s="54"/>
      <c r="V898" s="44"/>
      <c r="W898" s="27"/>
      <c r="Z898" s="27"/>
      <c r="AA898" s="8"/>
      <c r="AB898" s="81" t="str">
        <f t="shared" si="333"/>
        <v/>
      </c>
      <c r="AC898" s="6" t="str">
        <f t="shared" si="334"/>
        <v/>
      </c>
      <c r="AD898" s="1" t="str">
        <f t="shared" ca="1" si="335"/>
        <v/>
      </c>
      <c r="AE898" s="75" t="str">
        <f t="shared" si="336"/>
        <v/>
      </c>
      <c r="AF898" s="75" t="str">
        <f t="shared" si="337"/>
        <v/>
      </c>
      <c r="AG898" s="4" t="str">
        <f t="shared" si="338"/>
        <v/>
      </c>
      <c r="AH898" s="4" t="str">
        <f t="shared" si="339"/>
        <v/>
      </c>
      <c r="AI898" s="4" t="str">
        <f t="shared" si="340"/>
        <v/>
      </c>
      <c r="AJ898" s="4" t="str">
        <f t="shared" si="341"/>
        <v/>
      </c>
      <c r="AK898" s="4" t="str">
        <f t="shared" si="342"/>
        <v/>
      </c>
      <c r="AL898" s="2" t="str">
        <f t="shared" si="343"/>
        <v/>
      </c>
      <c r="AM898" s="6" t="str">
        <f t="shared" si="344"/>
        <v/>
      </c>
      <c r="AN898" s="4" t="str">
        <f t="shared" si="345"/>
        <v/>
      </c>
      <c r="AO898" s="4" t="str">
        <f t="shared" si="346"/>
        <v/>
      </c>
      <c r="AP898" s="4" t="str">
        <f t="shared" si="347"/>
        <v/>
      </c>
      <c r="AQ898" s="4" t="str">
        <f t="shared" si="348"/>
        <v/>
      </c>
      <c r="AR898" s="4" t="str">
        <f t="shared" si="349"/>
        <v/>
      </c>
    </row>
    <row r="899" spans="8:44" s="1" customFormat="1" ht="14.25" x14ac:dyDescent="0.3">
      <c r="H899" s="50"/>
      <c r="J899" s="54"/>
      <c r="L899" s="54"/>
      <c r="R899" s="45"/>
      <c r="S899" s="54"/>
      <c r="T899" s="54"/>
      <c r="U899" s="54"/>
      <c r="V899" s="44"/>
      <c r="W899" s="27"/>
      <c r="Z899" s="27"/>
      <c r="AA899" s="8"/>
      <c r="AB899" s="81" t="str">
        <f t="shared" si="333"/>
        <v/>
      </c>
      <c r="AC899" s="6" t="str">
        <f t="shared" si="334"/>
        <v/>
      </c>
      <c r="AD899" s="1" t="str">
        <f t="shared" ca="1" si="335"/>
        <v/>
      </c>
      <c r="AE899" s="75" t="str">
        <f t="shared" si="336"/>
        <v/>
      </c>
      <c r="AF899" s="75" t="str">
        <f t="shared" si="337"/>
        <v/>
      </c>
      <c r="AG899" s="4" t="str">
        <f t="shared" si="338"/>
        <v/>
      </c>
      <c r="AH899" s="4" t="str">
        <f t="shared" si="339"/>
        <v/>
      </c>
      <c r="AI899" s="4" t="str">
        <f t="shared" si="340"/>
        <v/>
      </c>
      <c r="AJ899" s="4" t="str">
        <f t="shared" si="341"/>
        <v/>
      </c>
      <c r="AK899" s="4" t="str">
        <f t="shared" si="342"/>
        <v/>
      </c>
      <c r="AL899" s="2" t="str">
        <f t="shared" si="343"/>
        <v/>
      </c>
      <c r="AM899" s="6" t="str">
        <f t="shared" si="344"/>
        <v/>
      </c>
      <c r="AN899" s="4" t="str">
        <f t="shared" si="345"/>
        <v/>
      </c>
      <c r="AO899" s="4" t="str">
        <f t="shared" si="346"/>
        <v/>
      </c>
      <c r="AP899" s="4" t="str">
        <f t="shared" si="347"/>
        <v/>
      </c>
      <c r="AQ899" s="4" t="str">
        <f t="shared" si="348"/>
        <v/>
      </c>
      <c r="AR899" s="4" t="str">
        <f t="shared" si="349"/>
        <v/>
      </c>
    </row>
    <row r="900" spans="8:44" s="1" customFormat="1" ht="14.25" x14ac:dyDescent="0.3">
      <c r="H900" s="50"/>
      <c r="J900" s="54"/>
      <c r="L900" s="54"/>
      <c r="R900" s="45"/>
      <c r="S900" s="54"/>
      <c r="T900" s="54"/>
      <c r="U900" s="54"/>
      <c r="V900" s="44"/>
      <c r="W900" s="27"/>
      <c r="Z900" s="27"/>
      <c r="AA900" s="8"/>
      <c r="AB900" s="81" t="str">
        <f t="shared" si="333"/>
        <v/>
      </c>
      <c r="AC900" s="6" t="str">
        <f t="shared" si="334"/>
        <v/>
      </c>
      <c r="AD900" s="1" t="str">
        <f t="shared" ca="1" si="335"/>
        <v/>
      </c>
      <c r="AE900" s="75" t="str">
        <f t="shared" si="336"/>
        <v/>
      </c>
      <c r="AF900" s="75" t="str">
        <f t="shared" si="337"/>
        <v/>
      </c>
      <c r="AG900" s="4" t="str">
        <f t="shared" si="338"/>
        <v/>
      </c>
      <c r="AH900" s="4" t="str">
        <f t="shared" si="339"/>
        <v/>
      </c>
      <c r="AI900" s="4" t="str">
        <f t="shared" si="340"/>
        <v/>
      </c>
      <c r="AJ900" s="4" t="str">
        <f t="shared" si="341"/>
        <v/>
      </c>
      <c r="AK900" s="4" t="str">
        <f t="shared" si="342"/>
        <v/>
      </c>
      <c r="AL900" s="2" t="str">
        <f t="shared" si="343"/>
        <v/>
      </c>
      <c r="AM900" s="6" t="str">
        <f t="shared" si="344"/>
        <v/>
      </c>
      <c r="AN900" s="4" t="str">
        <f t="shared" si="345"/>
        <v/>
      </c>
      <c r="AO900" s="4" t="str">
        <f t="shared" si="346"/>
        <v/>
      </c>
      <c r="AP900" s="4" t="str">
        <f t="shared" si="347"/>
        <v/>
      </c>
      <c r="AQ900" s="4" t="str">
        <f t="shared" si="348"/>
        <v/>
      </c>
      <c r="AR900" s="4" t="str">
        <f t="shared" si="349"/>
        <v/>
      </c>
    </row>
    <row r="901" spans="8:44" s="1" customFormat="1" ht="14.25" x14ac:dyDescent="0.3">
      <c r="H901" s="50"/>
      <c r="J901" s="54"/>
      <c r="L901" s="54"/>
      <c r="R901" s="45"/>
      <c r="S901" s="54"/>
      <c r="T901" s="54"/>
      <c r="U901" s="54"/>
      <c r="V901" s="44"/>
      <c r="W901" s="27"/>
      <c r="Z901" s="27"/>
      <c r="AA901" s="8"/>
      <c r="AB901" s="81" t="str">
        <f t="shared" si="333"/>
        <v/>
      </c>
      <c r="AC901" s="6" t="str">
        <f t="shared" si="334"/>
        <v/>
      </c>
      <c r="AD901" s="1" t="str">
        <f t="shared" ca="1" si="335"/>
        <v/>
      </c>
      <c r="AE901" s="75" t="str">
        <f t="shared" si="336"/>
        <v/>
      </c>
      <c r="AF901" s="75" t="str">
        <f t="shared" si="337"/>
        <v/>
      </c>
      <c r="AG901" s="4" t="str">
        <f t="shared" si="338"/>
        <v/>
      </c>
      <c r="AH901" s="4" t="str">
        <f t="shared" si="339"/>
        <v/>
      </c>
      <c r="AI901" s="4" t="str">
        <f t="shared" si="340"/>
        <v/>
      </c>
      <c r="AJ901" s="4" t="str">
        <f t="shared" si="341"/>
        <v/>
      </c>
      <c r="AK901" s="4" t="str">
        <f t="shared" si="342"/>
        <v/>
      </c>
      <c r="AL901" s="2" t="str">
        <f t="shared" si="343"/>
        <v/>
      </c>
      <c r="AM901" s="6" t="str">
        <f t="shared" si="344"/>
        <v/>
      </c>
      <c r="AN901" s="4" t="str">
        <f t="shared" si="345"/>
        <v/>
      </c>
      <c r="AO901" s="4" t="str">
        <f t="shared" si="346"/>
        <v/>
      </c>
      <c r="AP901" s="4" t="str">
        <f t="shared" si="347"/>
        <v/>
      </c>
      <c r="AQ901" s="4" t="str">
        <f t="shared" si="348"/>
        <v/>
      </c>
      <c r="AR901" s="4" t="str">
        <f t="shared" si="349"/>
        <v/>
      </c>
    </row>
    <row r="902" spans="8:44" s="1" customFormat="1" ht="14.25" x14ac:dyDescent="0.3">
      <c r="H902" s="50"/>
      <c r="J902" s="54"/>
      <c r="L902" s="54"/>
      <c r="R902" s="45"/>
      <c r="S902" s="54"/>
      <c r="T902" s="54"/>
      <c r="U902" s="54"/>
      <c r="V902" s="44"/>
      <c r="W902" s="27"/>
      <c r="Z902" s="27"/>
      <c r="AA902" s="8"/>
      <c r="AB902" s="81" t="str">
        <f t="shared" si="333"/>
        <v/>
      </c>
      <c r="AC902" s="6" t="str">
        <f t="shared" si="334"/>
        <v/>
      </c>
      <c r="AD902" s="1" t="str">
        <f t="shared" ca="1" si="335"/>
        <v/>
      </c>
      <c r="AE902" s="75" t="str">
        <f t="shared" si="336"/>
        <v/>
      </c>
      <c r="AF902" s="75" t="str">
        <f t="shared" si="337"/>
        <v/>
      </c>
      <c r="AG902" s="4" t="str">
        <f t="shared" si="338"/>
        <v/>
      </c>
      <c r="AH902" s="4" t="str">
        <f t="shared" si="339"/>
        <v/>
      </c>
      <c r="AI902" s="4" t="str">
        <f t="shared" si="340"/>
        <v/>
      </c>
      <c r="AJ902" s="4" t="str">
        <f t="shared" si="341"/>
        <v/>
      </c>
      <c r="AK902" s="4" t="str">
        <f t="shared" si="342"/>
        <v/>
      </c>
      <c r="AL902" s="2" t="str">
        <f t="shared" si="343"/>
        <v/>
      </c>
      <c r="AM902" s="6" t="str">
        <f t="shared" si="344"/>
        <v/>
      </c>
      <c r="AN902" s="4" t="str">
        <f t="shared" si="345"/>
        <v/>
      </c>
      <c r="AO902" s="4" t="str">
        <f t="shared" si="346"/>
        <v/>
      </c>
      <c r="AP902" s="4" t="str">
        <f t="shared" si="347"/>
        <v/>
      </c>
      <c r="AQ902" s="4" t="str">
        <f t="shared" si="348"/>
        <v/>
      </c>
      <c r="AR902" s="4" t="str">
        <f t="shared" si="349"/>
        <v/>
      </c>
    </row>
    <row r="903" spans="8:44" s="1" customFormat="1" ht="14.25" x14ac:dyDescent="0.3">
      <c r="H903" s="50"/>
      <c r="J903" s="54"/>
      <c r="L903" s="54"/>
      <c r="R903" s="45"/>
      <c r="S903" s="54"/>
      <c r="T903" s="54"/>
      <c r="U903" s="54"/>
      <c r="V903" s="44"/>
      <c r="W903" s="27"/>
      <c r="Z903" s="27"/>
      <c r="AA903" s="8"/>
      <c r="AB903" s="81" t="str">
        <f t="shared" si="333"/>
        <v/>
      </c>
      <c r="AC903" s="6" t="str">
        <f t="shared" si="334"/>
        <v/>
      </c>
      <c r="AD903" s="1" t="str">
        <f t="shared" ca="1" si="335"/>
        <v/>
      </c>
      <c r="AE903" s="75" t="str">
        <f t="shared" si="336"/>
        <v/>
      </c>
      <c r="AF903" s="75" t="str">
        <f t="shared" si="337"/>
        <v/>
      </c>
      <c r="AG903" s="4" t="str">
        <f t="shared" si="338"/>
        <v/>
      </c>
      <c r="AH903" s="4" t="str">
        <f t="shared" si="339"/>
        <v/>
      </c>
      <c r="AI903" s="4" t="str">
        <f t="shared" si="340"/>
        <v/>
      </c>
      <c r="AJ903" s="4" t="str">
        <f t="shared" si="341"/>
        <v/>
      </c>
      <c r="AK903" s="4" t="str">
        <f t="shared" si="342"/>
        <v/>
      </c>
      <c r="AL903" s="2" t="str">
        <f t="shared" si="343"/>
        <v/>
      </c>
      <c r="AM903" s="6" t="str">
        <f t="shared" si="344"/>
        <v/>
      </c>
      <c r="AN903" s="4" t="str">
        <f t="shared" si="345"/>
        <v/>
      </c>
      <c r="AO903" s="4" t="str">
        <f t="shared" si="346"/>
        <v/>
      </c>
      <c r="AP903" s="4" t="str">
        <f t="shared" si="347"/>
        <v/>
      </c>
      <c r="AQ903" s="4" t="str">
        <f t="shared" si="348"/>
        <v/>
      </c>
      <c r="AR903" s="4" t="str">
        <f t="shared" si="349"/>
        <v/>
      </c>
    </row>
    <row r="904" spans="8:44" s="1" customFormat="1" ht="14.25" x14ac:dyDescent="0.3">
      <c r="H904" s="50"/>
      <c r="J904" s="54"/>
      <c r="L904" s="54"/>
      <c r="R904" s="45"/>
      <c r="S904" s="54"/>
      <c r="T904" s="54"/>
      <c r="U904" s="54"/>
      <c r="V904" s="44"/>
      <c r="W904" s="27"/>
      <c r="Z904" s="27"/>
      <c r="AA904" s="8"/>
      <c r="AB904" s="81" t="str">
        <f t="shared" si="333"/>
        <v/>
      </c>
      <c r="AC904" s="6" t="str">
        <f t="shared" si="334"/>
        <v/>
      </c>
      <c r="AD904" s="1" t="str">
        <f t="shared" ca="1" si="335"/>
        <v/>
      </c>
      <c r="AE904" s="75" t="str">
        <f t="shared" si="336"/>
        <v/>
      </c>
      <c r="AF904" s="75" t="str">
        <f t="shared" si="337"/>
        <v/>
      </c>
      <c r="AG904" s="4" t="str">
        <f t="shared" si="338"/>
        <v/>
      </c>
      <c r="AH904" s="4" t="str">
        <f t="shared" si="339"/>
        <v/>
      </c>
      <c r="AI904" s="4" t="str">
        <f t="shared" si="340"/>
        <v/>
      </c>
      <c r="AJ904" s="4" t="str">
        <f t="shared" si="341"/>
        <v/>
      </c>
      <c r="AK904" s="4" t="str">
        <f t="shared" si="342"/>
        <v/>
      </c>
      <c r="AL904" s="2" t="str">
        <f t="shared" si="343"/>
        <v/>
      </c>
      <c r="AM904" s="6" t="str">
        <f t="shared" si="344"/>
        <v/>
      </c>
      <c r="AN904" s="4" t="str">
        <f t="shared" si="345"/>
        <v/>
      </c>
      <c r="AO904" s="4" t="str">
        <f t="shared" si="346"/>
        <v/>
      </c>
      <c r="AP904" s="4" t="str">
        <f t="shared" si="347"/>
        <v/>
      </c>
      <c r="AQ904" s="4" t="str">
        <f t="shared" si="348"/>
        <v/>
      </c>
      <c r="AR904" s="4" t="str">
        <f t="shared" si="349"/>
        <v/>
      </c>
    </row>
    <row r="905" spans="8:44" s="1" customFormat="1" ht="14.25" x14ac:dyDescent="0.3">
      <c r="H905" s="50"/>
      <c r="J905" s="54"/>
      <c r="L905" s="54"/>
      <c r="R905" s="45"/>
      <c r="S905" s="54"/>
      <c r="T905" s="54"/>
      <c r="U905" s="54"/>
      <c r="V905" s="44"/>
      <c r="W905" s="27"/>
      <c r="Z905" s="27"/>
      <c r="AA905" s="8"/>
      <c r="AB905" s="81" t="str">
        <f t="shared" si="333"/>
        <v/>
      </c>
      <c r="AC905" s="6" t="str">
        <f t="shared" si="334"/>
        <v/>
      </c>
      <c r="AD905" s="1" t="str">
        <f t="shared" ca="1" si="335"/>
        <v/>
      </c>
      <c r="AE905" s="75" t="str">
        <f t="shared" si="336"/>
        <v/>
      </c>
      <c r="AF905" s="75" t="str">
        <f t="shared" si="337"/>
        <v/>
      </c>
      <c r="AG905" s="4" t="str">
        <f t="shared" si="338"/>
        <v/>
      </c>
      <c r="AH905" s="4" t="str">
        <f t="shared" si="339"/>
        <v/>
      </c>
      <c r="AI905" s="4" t="str">
        <f t="shared" si="340"/>
        <v/>
      </c>
      <c r="AJ905" s="4" t="str">
        <f t="shared" si="341"/>
        <v/>
      </c>
      <c r="AK905" s="4" t="str">
        <f t="shared" si="342"/>
        <v/>
      </c>
      <c r="AL905" s="2" t="str">
        <f t="shared" si="343"/>
        <v/>
      </c>
      <c r="AM905" s="6" t="str">
        <f t="shared" si="344"/>
        <v/>
      </c>
      <c r="AN905" s="4" t="str">
        <f t="shared" si="345"/>
        <v/>
      </c>
      <c r="AO905" s="4" t="str">
        <f t="shared" si="346"/>
        <v/>
      </c>
      <c r="AP905" s="4" t="str">
        <f t="shared" si="347"/>
        <v/>
      </c>
      <c r="AQ905" s="4" t="str">
        <f t="shared" si="348"/>
        <v/>
      </c>
      <c r="AR905" s="4" t="str">
        <f t="shared" si="349"/>
        <v/>
      </c>
    </row>
    <row r="906" spans="8:44" s="1" customFormat="1" ht="14.25" x14ac:dyDescent="0.3">
      <c r="H906" s="50"/>
      <c r="J906" s="54"/>
      <c r="L906" s="54"/>
      <c r="R906" s="45"/>
      <c r="S906" s="54"/>
      <c r="T906" s="54"/>
      <c r="U906" s="54"/>
      <c r="V906" s="44"/>
      <c r="W906" s="27"/>
      <c r="Z906" s="27"/>
      <c r="AA906" s="8"/>
      <c r="AB906" s="81" t="str">
        <f t="shared" si="333"/>
        <v/>
      </c>
      <c r="AC906" s="6" t="str">
        <f t="shared" si="334"/>
        <v/>
      </c>
      <c r="AD906" s="1" t="str">
        <f t="shared" ca="1" si="335"/>
        <v/>
      </c>
      <c r="AE906" s="75" t="str">
        <f t="shared" si="336"/>
        <v/>
      </c>
      <c r="AF906" s="75" t="str">
        <f t="shared" si="337"/>
        <v/>
      </c>
      <c r="AG906" s="4" t="str">
        <f t="shared" si="338"/>
        <v/>
      </c>
      <c r="AH906" s="4" t="str">
        <f t="shared" si="339"/>
        <v/>
      </c>
      <c r="AI906" s="4" t="str">
        <f t="shared" si="340"/>
        <v/>
      </c>
      <c r="AJ906" s="4" t="str">
        <f t="shared" si="341"/>
        <v/>
      </c>
      <c r="AK906" s="4" t="str">
        <f t="shared" si="342"/>
        <v/>
      </c>
      <c r="AL906" s="2" t="str">
        <f t="shared" si="343"/>
        <v/>
      </c>
      <c r="AM906" s="6" t="str">
        <f t="shared" si="344"/>
        <v/>
      </c>
      <c r="AN906" s="4" t="str">
        <f t="shared" si="345"/>
        <v/>
      </c>
      <c r="AO906" s="4" t="str">
        <f t="shared" si="346"/>
        <v/>
      </c>
      <c r="AP906" s="4" t="str">
        <f t="shared" si="347"/>
        <v/>
      </c>
      <c r="AQ906" s="4" t="str">
        <f t="shared" si="348"/>
        <v/>
      </c>
      <c r="AR906" s="4" t="str">
        <f t="shared" si="349"/>
        <v/>
      </c>
    </row>
    <row r="907" spans="8:44" s="1" customFormat="1" ht="14.25" x14ac:dyDescent="0.3">
      <c r="H907" s="50"/>
      <c r="J907" s="54"/>
      <c r="L907" s="54"/>
      <c r="R907" s="45"/>
      <c r="S907" s="54"/>
      <c r="T907" s="54"/>
      <c r="U907" s="54"/>
      <c r="V907" s="44"/>
      <c r="W907" s="27"/>
      <c r="Z907" s="27"/>
      <c r="AA907" s="8"/>
      <c r="AB907" s="81" t="str">
        <f t="shared" si="333"/>
        <v/>
      </c>
      <c r="AC907" s="6" t="str">
        <f t="shared" si="334"/>
        <v/>
      </c>
      <c r="AD907" s="1" t="str">
        <f t="shared" ca="1" si="335"/>
        <v/>
      </c>
      <c r="AE907" s="75" t="str">
        <f t="shared" si="336"/>
        <v/>
      </c>
      <c r="AF907" s="75" t="str">
        <f t="shared" si="337"/>
        <v/>
      </c>
      <c r="AG907" s="4" t="str">
        <f t="shared" si="338"/>
        <v/>
      </c>
      <c r="AH907" s="4" t="str">
        <f t="shared" si="339"/>
        <v/>
      </c>
      <c r="AI907" s="4" t="str">
        <f t="shared" si="340"/>
        <v/>
      </c>
      <c r="AJ907" s="4" t="str">
        <f t="shared" si="341"/>
        <v/>
      </c>
      <c r="AK907" s="4" t="str">
        <f t="shared" si="342"/>
        <v/>
      </c>
      <c r="AL907" s="2" t="str">
        <f t="shared" si="343"/>
        <v/>
      </c>
      <c r="AM907" s="6" t="str">
        <f t="shared" si="344"/>
        <v/>
      </c>
      <c r="AN907" s="4" t="str">
        <f t="shared" si="345"/>
        <v/>
      </c>
      <c r="AO907" s="4" t="str">
        <f t="shared" si="346"/>
        <v/>
      </c>
      <c r="AP907" s="4" t="str">
        <f t="shared" si="347"/>
        <v/>
      </c>
      <c r="AQ907" s="4" t="str">
        <f t="shared" si="348"/>
        <v/>
      </c>
      <c r="AR907" s="4" t="str">
        <f t="shared" si="349"/>
        <v/>
      </c>
    </row>
    <row r="908" spans="8:44" s="1" customFormat="1" ht="14.25" x14ac:dyDescent="0.3">
      <c r="H908" s="50"/>
      <c r="J908" s="54"/>
      <c r="L908" s="54"/>
      <c r="R908" s="45"/>
      <c r="S908" s="54"/>
      <c r="T908" s="54"/>
      <c r="U908" s="54"/>
      <c r="V908" s="44"/>
      <c r="W908" s="27"/>
      <c r="Z908" s="27"/>
      <c r="AA908" s="8"/>
      <c r="AB908" s="81" t="str">
        <f t="shared" si="333"/>
        <v/>
      </c>
      <c r="AC908" s="6" t="str">
        <f t="shared" si="334"/>
        <v/>
      </c>
      <c r="AD908" s="1" t="str">
        <f t="shared" ca="1" si="335"/>
        <v/>
      </c>
      <c r="AE908" s="75" t="str">
        <f t="shared" si="336"/>
        <v/>
      </c>
      <c r="AF908" s="75" t="str">
        <f t="shared" si="337"/>
        <v/>
      </c>
      <c r="AG908" s="4" t="str">
        <f t="shared" si="338"/>
        <v/>
      </c>
      <c r="AH908" s="4" t="str">
        <f t="shared" si="339"/>
        <v/>
      </c>
      <c r="AI908" s="4" t="str">
        <f t="shared" si="340"/>
        <v/>
      </c>
      <c r="AJ908" s="4" t="str">
        <f t="shared" si="341"/>
        <v/>
      </c>
      <c r="AK908" s="4" t="str">
        <f t="shared" si="342"/>
        <v/>
      </c>
      <c r="AL908" s="2" t="str">
        <f t="shared" si="343"/>
        <v/>
      </c>
      <c r="AM908" s="6" t="str">
        <f t="shared" si="344"/>
        <v/>
      </c>
      <c r="AN908" s="4" t="str">
        <f t="shared" si="345"/>
        <v/>
      </c>
      <c r="AO908" s="4" t="str">
        <f t="shared" si="346"/>
        <v/>
      </c>
      <c r="AP908" s="4" t="str">
        <f t="shared" si="347"/>
        <v/>
      </c>
      <c r="AQ908" s="4" t="str">
        <f t="shared" si="348"/>
        <v/>
      </c>
      <c r="AR908" s="4" t="str">
        <f t="shared" si="349"/>
        <v/>
      </c>
    </row>
    <row r="909" spans="8:44" s="1" customFormat="1" ht="14.25" x14ac:dyDescent="0.3">
      <c r="H909" s="50"/>
      <c r="J909" s="54"/>
      <c r="L909" s="54"/>
      <c r="R909" s="45"/>
      <c r="S909" s="54"/>
      <c r="T909" s="54"/>
      <c r="U909" s="54"/>
      <c r="V909" s="44"/>
      <c r="W909" s="27"/>
      <c r="Z909" s="27"/>
      <c r="AA909" s="8"/>
      <c r="AB909" s="81" t="str">
        <f t="shared" si="333"/>
        <v/>
      </c>
      <c r="AC909" s="6" t="str">
        <f t="shared" si="334"/>
        <v/>
      </c>
      <c r="AD909" s="1" t="str">
        <f t="shared" ca="1" si="335"/>
        <v/>
      </c>
      <c r="AE909" s="75" t="str">
        <f t="shared" si="336"/>
        <v/>
      </c>
      <c r="AF909" s="75" t="str">
        <f t="shared" si="337"/>
        <v/>
      </c>
      <c r="AG909" s="4" t="str">
        <f t="shared" si="338"/>
        <v/>
      </c>
      <c r="AH909" s="4" t="str">
        <f t="shared" si="339"/>
        <v/>
      </c>
      <c r="AI909" s="4" t="str">
        <f t="shared" si="340"/>
        <v/>
      </c>
      <c r="AJ909" s="4" t="str">
        <f t="shared" si="341"/>
        <v/>
      </c>
      <c r="AK909" s="4" t="str">
        <f t="shared" si="342"/>
        <v/>
      </c>
      <c r="AL909" s="2" t="str">
        <f t="shared" si="343"/>
        <v/>
      </c>
      <c r="AM909" s="6" t="str">
        <f t="shared" si="344"/>
        <v/>
      </c>
      <c r="AN909" s="4" t="str">
        <f t="shared" si="345"/>
        <v/>
      </c>
      <c r="AO909" s="4" t="str">
        <f t="shared" si="346"/>
        <v/>
      </c>
      <c r="AP909" s="4" t="str">
        <f t="shared" si="347"/>
        <v/>
      </c>
      <c r="AQ909" s="4" t="str">
        <f t="shared" si="348"/>
        <v/>
      </c>
      <c r="AR909" s="4" t="str">
        <f t="shared" si="349"/>
        <v/>
      </c>
    </row>
    <row r="910" spans="8:44" s="1" customFormat="1" ht="14.25" x14ac:dyDescent="0.3">
      <c r="H910" s="50"/>
      <c r="J910" s="54"/>
      <c r="L910" s="54"/>
      <c r="R910" s="45"/>
      <c r="S910" s="54"/>
      <c r="T910" s="54"/>
      <c r="U910" s="54"/>
      <c r="V910" s="44"/>
      <c r="W910" s="27"/>
      <c r="Z910" s="27"/>
      <c r="AA910" s="8"/>
      <c r="AB910" s="81" t="str">
        <f t="shared" si="333"/>
        <v/>
      </c>
      <c r="AC910" s="6" t="str">
        <f t="shared" si="334"/>
        <v/>
      </c>
      <c r="AD910" s="1" t="str">
        <f t="shared" ca="1" si="335"/>
        <v/>
      </c>
      <c r="AE910" s="75" t="str">
        <f t="shared" si="336"/>
        <v/>
      </c>
      <c r="AF910" s="75" t="str">
        <f t="shared" si="337"/>
        <v/>
      </c>
      <c r="AG910" s="4" t="str">
        <f t="shared" si="338"/>
        <v/>
      </c>
      <c r="AH910" s="4" t="str">
        <f t="shared" si="339"/>
        <v/>
      </c>
      <c r="AI910" s="4" t="str">
        <f t="shared" si="340"/>
        <v/>
      </c>
      <c r="AJ910" s="4" t="str">
        <f t="shared" si="341"/>
        <v/>
      </c>
      <c r="AK910" s="4" t="str">
        <f t="shared" si="342"/>
        <v/>
      </c>
      <c r="AL910" s="2" t="str">
        <f t="shared" si="343"/>
        <v/>
      </c>
      <c r="AM910" s="6" t="str">
        <f t="shared" si="344"/>
        <v/>
      </c>
      <c r="AN910" s="4" t="str">
        <f t="shared" si="345"/>
        <v/>
      </c>
      <c r="AO910" s="4" t="str">
        <f t="shared" si="346"/>
        <v/>
      </c>
      <c r="AP910" s="4" t="str">
        <f t="shared" si="347"/>
        <v/>
      </c>
      <c r="AQ910" s="4" t="str">
        <f t="shared" si="348"/>
        <v/>
      </c>
      <c r="AR910" s="4" t="str">
        <f t="shared" si="349"/>
        <v/>
      </c>
    </row>
    <row r="911" spans="8:44" s="1" customFormat="1" ht="14.25" x14ac:dyDescent="0.3">
      <c r="H911" s="50"/>
      <c r="J911" s="54"/>
      <c r="L911" s="54"/>
      <c r="R911" s="45"/>
      <c r="S911" s="54"/>
      <c r="T911" s="54"/>
      <c r="U911" s="54"/>
      <c r="V911" s="44"/>
      <c r="W911" s="27"/>
      <c r="Z911" s="27"/>
      <c r="AA911" s="8"/>
      <c r="AB911" s="81" t="str">
        <f t="shared" si="333"/>
        <v/>
      </c>
      <c r="AC911" s="6" t="str">
        <f t="shared" si="334"/>
        <v/>
      </c>
      <c r="AD911" s="1" t="str">
        <f t="shared" ca="1" si="335"/>
        <v/>
      </c>
      <c r="AE911" s="75" t="str">
        <f t="shared" si="336"/>
        <v/>
      </c>
      <c r="AF911" s="75" t="str">
        <f t="shared" si="337"/>
        <v/>
      </c>
      <c r="AG911" s="4" t="str">
        <f t="shared" si="338"/>
        <v/>
      </c>
      <c r="AH911" s="4" t="str">
        <f t="shared" si="339"/>
        <v/>
      </c>
      <c r="AI911" s="4" t="str">
        <f t="shared" si="340"/>
        <v/>
      </c>
      <c r="AJ911" s="4" t="str">
        <f t="shared" si="341"/>
        <v/>
      </c>
      <c r="AK911" s="4" t="str">
        <f t="shared" si="342"/>
        <v/>
      </c>
      <c r="AL911" s="2" t="str">
        <f t="shared" si="343"/>
        <v/>
      </c>
      <c r="AM911" s="6" t="str">
        <f t="shared" si="344"/>
        <v/>
      </c>
      <c r="AN911" s="4" t="str">
        <f t="shared" si="345"/>
        <v/>
      </c>
      <c r="AO911" s="4" t="str">
        <f t="shared" si="346"/>
        <v/>
      </c>
      <c r="AP911" s="4" t="str">
        <f t="shared" si="347"/>
        <v/>
      </c>
      <c r="AQ911" s="4" t="str">
        <f t="shared" si="348"/>
        <v/>
      </c>
      <c r="AR911" s="4" t="str">
        <f t="shared" si="349"/>
        <v/>
      </c>
    </row>
    <row r="912" spans="8:44" s="1" customFormat="1" ht="14.25" x14ac:dyDescent="0.3">
      <c r="H912" s="50"/>
      <c r="J912" s="54"/>
      <c r="L912" s="54"/>
      <c r="R912" s="45"/>
      <c r="S912" s="54"/>
      <c r="T912" s="54"/>
      <c r="U912" s="54"/>
      <c r="V912" s="44"/>
      <c r="W912" s="27"/>
      <c r="Z912" s="27"/>
      <c r="AA912" s="8"/>
      <c r="AB912" s="81" t="str">
        <f t="shared" si="333"/>
        <v/>
      </c>
      <c r="AC912" s="6" t="str">
        <f t="shared" si="334"/>
        <v/>
      </c>
      <c r="AD912" s="1" t="str">
        <f t="shared" ca="1" si="335"/>
        <v/>
      </c>
      <c r="AE912" s="75" t="str">
        <f t="shared" si="336"/>
        <v/>
      </c>
      <c r="AF912" s="75" t="str">
        <f t="shared" si="337"/>
        <v/>
      </c>
      <c r="AG912" s="4" t="str">
        <f t="shared" si="338"/>
        <v/>
      </c>
      <c r="AH912" s="4" t="str">
        <f t="shared" si="339"/>
        <v/>
      </c>
      <c r="AI912" s="4" t="str">
        <f t="shared" si="340"/>
        <v/>
      </c>
      <c r="AJ912" s="4" t="str">
        <f t="shared" si="341"/>
        <v/>
      </c>
      <c r="AK912" s="4" t="str">
        <f t="shared" si="342"/>
        <v/>
      </c>
      <c r="AL912" s="2" t="str">
        <f t="shared" si="343"/>
        <v/>
      </c>
      <c r="AM912" s="6" t="str">
        <f t="shared" si="344"/>
        <v/>
      </c>
      <c r="AN912" s="4" t="str">
        <f t="shared" si="345"/>
        <v/>
      </c>
      <c r="AO912" s="4" t="str">
        <f t="shared" si="346"/>
        <v/>
      </c>
      <c r="AP912" s="4" t="str">
        <f t="shared" si="347"/>
        <v/>
      </c>
      <c r="AQ912" s="4" t="str">
        <f t="shared" si="348"/>
        <v/>
      </c>
      <c r="AR912" s="4" t="str">
        <f t="shared" si="349"/>
        <v/>
      </c>
    </row>
    <row r="913" spans="8:44" s="1" customFormat="1" ht="14.25" x14ac:dyDescent="0.3">
      <c r="H913" s="50"/>
      <c r="J913" s="54"/>
      <c r="L913" s="54"/>
      <c r="R913" s="45"/>
      <c r="S913" s="54"/>
      <c r="T913" s="54"/>
      <c r="U913" s="54"/>
      <c r="V913" s="44"/>
      <c r="W913" s="27"/>
      <c r="Z913" s="27"/>
      <c r="AA913" s="8"/>
      <c r="AB913" s="81" t="str">
        <f t="shared" si="333"/>
        <v/>
      </c>
      <c r="AC913" s="6" t="str">
        <f t="shared" si="334"/>
        <v/>
      </c>
      <c r="AD913" s="1" t="str">
        <f t="shared" ca="1" si="335"/>
        <v/>
      </c>
      <c r="AE913" s="75" t="str">
        <f t="shared" si="336"/>
        <v/>
      </c>
      <c r="AF913" s="75" t="str">
        <f t="shared" si="337"/>
        <v/>
      </c>
      <c r="AG913" s="4" t="str">
        <f t="shared" si="338"/>
        <v/>
      </c>
      <c r="AH913" s="4" t="str">
        <f t="shared" si="339"/>
        <v/>
      </c>
      <c r="AI913" s="4" t="str">
        <f t="shared" si="340"/>
        <v/>
      </c>
      <c r="AJ913" s="4" t="str">
        <f t="shared" si="341"/>
        <v/>
      </c>
      <c r="AK913" s="4" t="str">
        <f t="shared" si="342"/>
        <v/>
      </c>
      <c r="AL913" s="2" t="str">
        <f t="shared" si="343"/>
        <v/>
      </c>
      <c r="AM913" s="6" t="str">
        <f t="shared" si="344"/>
        <v/>
      </c>
      <c r="AN913" s="4" t="str">
        <f t="shared" si="345"/>
        <v/>
      </c>
      <c r="AO913" s="4" t="str">
        <f t="shared" si="346"/>
        <v/>
      </c>
      <c r="AP913" s="4" t="str">
        <f t="shared" si="347"/>
        <v/>
      </c>
      <c r="AQ913" s="4" t="str">
        <f t="shared" si="348"/>
        <v/>
      </c>
      <c r="AR913" s="4" t="str">
        <f t="shared" si="349"/>
        <v/>
      </c>
    </row>
    <row r="914" spans="8:44" s="1" customFormat="1" ht="14.25" x14ac:dyDescent="0.3">
      <c r="H914" s="50"/>
      <c r="J914" s="54"/>
      <c r="L914" s="54"/>
      <c r="R914" s="45"/>
      <c r="S914" s="54"/>
      <c r="T914" s="54"/>
      <c r="U914" s="54"/>
      <c r="V914" s="44"/>
      <c r="W914" s="27"/>
      <c r="Z914" s="27"/>
      <c r="AA914" s="8"/>
      <c r="AB914" s="81" t="str">
        <f t="shared" si="333"/>
        <v/>
      </c>
      <c r="AC914" s="6" t="str">
        <f t="shared" si="334"/>
        <v/>
      </c>
      <c r="AD914" s="1" t="str">
        <f t="shared" ca="1" si="335"/>
        <v/>
      </c>
      <c r="AE914" s="75" t="str">
        <f t="shared" si="336"/>
        <v/>
      </c>
      <c r="AF914" s="75" t="str">
        <f t="shared" si="337"/>
        <v/>
      </c>
      <c r="AG914" s="4" t="str">
        <f t="shared" si="338"/>
        <v/>
      </c>
      <c r="AH914" s="4" t="str">
        <f t="shared" si="339"/>
        <v/>
      </c>
      <c r="AI914" s="4" t="str">
        <f t="shared" si="340"/>
        <v/>
      </c>
      <c r="AJ914" s="4" t="str">
        <f t="shared" si="341"/>
        <v/>
      </c>
      <c r="AK914" s="4" t="str">
        <f t="shared" si="342"/>
        <v/>
      </c>
      <c r="AL914" s="2" t="str">
        <f t="shared" si="343"/>
        <v/>
      </c>
      <c r="AM914" s="6" t="str">
        <f t="shared" si="344"/>
        <v/>
      </c>
      <c r="AN914" s="4" t="str">
        <f t="shared" si="345"/>
        <v/>
      </c>
      <c r="AO914" s="4" t="str">
        <f t="shared" si="346"/>
        <v/>
      </c>
      <c r="AP914" s="4" t="str">
        <f t="shared" si="347"/>
        <v/>
      </c>
      <c r="AQ914" s="4" t="str">
        <f t="shared" si="348"/>
        <v/>
      </c>
      <c r="AR914" s="4" t="str">
        <f t="shared" si="349"/>
        <v/>
      </c>
    </row>
    <row r="915" spans="8:44" s="1" customFormat="1" ht="14.25" x14ac:dyDescent="0.3">
      <c r="H915" s="50"/>
      <c r="J915" s="54"/>
      <c r="L915" s="54"/>
      <c r="R915" s="45"/>
      <c r="S915" s="54"/>
      <c r="T915" s="54"/>
      <c r="U915" s="54"/>
      <c r="V915" s="44"/>
      <c r="W915" s="27"/>
      <c r="Z915" s="27"/>
      <c r="AA915" s="8"/>
      <c r="AB915" s="81" t="str">
        <f t="shared" si="333"/>
        <v/>
      </c>
      <c r="AC915" s="6" t="str">
        <f t="shared" si="334"/>
        <v/>
      </c>
      <c r="AD915" s="1" t="str">
        <f t="shared" ca="1" si="335"/>
        <v/>
      </c>
      <c r="AE915" s="75" t="str">
        <f t="shared" si="336"/>
        <v/>
      </c>
      <c r="AF915" s="75" t="str">
        <f t="shared" si="337"/>
        <v/>
      </c>
      <c r="AG915" s="4" t="str">
        <f t="shared" si="338"/>
        <v/>
      </c>
      <c r="AH915" s="4" t="str">
        <f t="shared" si="339"/>
        <v/>
      </c>
      <c r="AI915" s="4" t="str">
        <f t="shared" si="340"/>
        <v/>
      </c>
      <c r="AJ915" s="4" t="str">
        <f t="shared" si="341"/>
        <v/>
      </c>
      <c r="AK915" s="4" t="str">
        <f t="shared" si="342"/>
        <v/>
      </c>
      <c r="AL915" s="2" t="str">
        <f t="shared" si="343"/>
        <v/>
      </c>
      <c r="AM915" s="6" t="str">
        <f t="shared" si="344"/>
        <v/>
      </c>
      <c r="AN915" s="4" t="str">
        <f t="shared" si="345"/>
        <v/>
      </c>
      <c r="AO915" s="4" t="str">
        <f t="shared" si="346"/>
        <v/>
      </c>
      <c r="AP915" s="4" t="str">
        <f t="shared" si="347"/>
        <v/>
      </c>
      <c r="AQ915" s="4" t="str">
        <f t="shared" si="348"/>
        <v/>
      </c>
      <c r="AR915" s="4" t="str">
        <f t="shared" si="349"/>
        <v/>
      </c>
    </row>
    <row r="916" spans="8:44" s="1" customFormat="1" ht="14.25" x14ac:dyDescent="0.3">
      <c r="H916" s="50"/>
      <c r="J916" s="54"/>
      <c r="L916" s="54"/>
      <c r="R916" s="45"/>
      <c r="S916" s="54"/>
      <c r="T916" s="54"/>
      <c r="U916" s="54"/>
      <c r="V916" s="44"/>
      <c r="W916" s="27"/>
      <c r="Z916" s="27"/>
      <c r="AA916" s="8"/>
      <c r="AB916" s="81" t="str">
        <f t="shared" si="333"/>
        <v/>
      </c>
      <c r="AC916" s="6" t="str">
        <f t="shared" si="334"/>
        <v/>
      </c>
      <c r="AD916" s="1" t="str">
        <f t="shared" ca="1" si="335"/>
        <v/>
      </c>
      <c r="AE916" s="75" t="str">
        <f t="shared" si="336"/>
        <v/>
      </c>
      <c r="AF916" s="75" t="str">
        <f t="shared" si="337"/>
        <v/>
      </c>
      <c r="AG916" s="4" t="str">
        <f t="shared" si="338"/>
        <v/>
      </c>
      <c r="AH916" s="4" t="str">
        <f t="shared" si="339"/>
        <v/>
      </c>
      <c r="AI916" s="4" t="str">
        <f t="shared" si="340"/>
        <v/>
      </c>
      <c r="AJ916" s="4" t="str">
        <f t="shared" si="341"/>
        <v/>
      </c>
      <c r="AK916" s="4" t="str">
        <f t="shared" si="342"/>
        <v/>
      </c>
      <c r="AL916" s="2" t="str">
        <f t="shared" si="343"/>
        <v/>
      </c>
      <c r="AM916" s="6" t="str">
        <f t="shared" si="344"/>
        <v/>
      </c>
      <c r="AN916" s="4" t="str">
        <f t="shared" si="345"/>
        <v/>
      </c>
      <c r="AO916" s="4" t="str">
        <f t="shared" si="346"/>
        <v/>
      </c>
      <c r="AP916" s="4" t="str">
        <f t="shared" si="347"/>
        <v/>
      </c>
      <c r="AQ916" s="4" t="str">
        <f t="shared" si="348"/>
        <v/>
      </c>
      <c r="AR916" s="4" t="str">
        <f t="shared" si="349"/>
        <v/>
      </c>
    </row>
    <row r="917" spans="8:44" s="1" customFormat="1" ht="14.25" x14ac:dyDescent="0.3">
      <c r="H917" s="50"/>
      <c r="J917" s="54"/>
      <c r="L917" s="54"/>
      <c r="R917" s="45"/>
      <c r="S917" s="54"/>
      <c r="T917" s="54"/>
      <c r="U917" s="54"/>
      <c r="V917" s="44"/>
      <c r="W917" s="27"/>
      <c r="Z917" s="27"/>
      <c r="AA917" s="8"/>
      <c r="AB917" s="81" t="str">
        <f t="shared" si="333"/>
        <v/>
      </c>
      <c r="AC917" s="6" t="str">
        <f t="shared" si="334"/>
        <v/>
      </c>
      <c r="AD917" s="1" t="str">
        <f t="shared" ca="1" si="335"/>
        <v/>
      </c>
      <c r="AE917" s="75" t="str">
        <f t="shared" si="336"/>
        <v/>
      </c>
      <c r="AF917" s="75" t="str">
        <f t="shared" si="337"/>
        <v/>
      </c>
      <c r="AG917" s="4" t="str">
        <f t="shared" si="338"/>
        <v/>
      </c>
      <c r="AH917" s="4" t="str">
        <f t="shared" si="339"/>
        <v/>
      </c>
      <c r="AI917" s="4" t="str">
        <f t="shared" si="340"/>
        <v/>
      </c>
      <c r="AJ917" s="4" t="str">
        <f t="shared" si="341"/>
        <v/>
      </c>
      <c r="AK917" s="4" t="str">
        <f t="shared" si="342"/>
        <v/>
      </c>
      <c r="AL917" s="2" t="str">
        <f t="shared" si="343"/>
        <v/>
      </c>
      <c r="AM917" s="6" t="str">
        <f t="shared" si="344"/>
        <v/>
      </c>
      <c r="AN917" s="4" t="str">
        <f t="shared" si="345"/>
        <v/>
      </c>
      <c r="AO917" s="4" t="str">
        <f t="shared" si="346"/>
        <v/>
      </c>
      <c r="AP917" s="4" t="str">
        <f t="shared" si="347"/>
        <v/>
      </c>
      <c r="AQ917" s="4" t="str">
        <f t="shared" si="348"/>
        <v/>
      </c>
      <c r="AR917" s="4" t="str">
        <f t="shared" si="349"/>
        <v/>
      </c>
    </row>
    <row r="918" spans="8:44" s="1" customFormat="1" ht="14.25" x14ac:dyDescent="0.3">
      <c r="H918" s="50"/>
      <c r="J918" s="54"/>
      <c r="L918" s="54"/>
      <c r="R918" s="45"/>
      <c r="S918" s="54"/>
      <c r="T918" s="54"/>
      <c r="U918" s="54"/>
      <c r="V918" s="44"/>
      <c r="W918" s="27"/>
      <c r="Z918" s="27"/>
      <c r="AA918" s="8"/>
      <c r="AB918" s="81" t="str">
        <f t="shared" si="333"/>
        <v/>
      </c>
      <c r="AC918" s="6" t="str">
        <f t="shared" si="334"/>
        <v/>
      </c>
      <c r="AD918" s="1" t="str">
        <f t="shared" ca="1" si="335"/>
        <v/>
      </c>
      <c r="AE918" s="75" t="str">
        <f t="shared" si="336"/>
        <v/>
      </c>
      <c r="AF918" s="75" t="str">
        <f t="shared" si="337"/>
        <v/>
      </c>
      <c r="AG918" s="4" t="str">
        <f t="shared" si="338"/>
        <v/>
      </c>
      <c r="AH918" s="4" t="str">
        <f t="shared" si="339"/>
        <v/>
      </c>
      <c r="AI918" s="4" t="str">
        <f t="shared" si="340"/>
        <v/>
      </c>
      <c r="AJ918" s="4" t="str">
        <f t="shared" si="341"/>
        <v/>
      </c>
      <c r="AK918" s="4" t="str">
        <f t="shared" si="342"/>
        <v/>
      </c>
      <c r="AL918" s="2" t="str">
        <f t="shared" si="343"/>
        <v/>
      </c>
      <c r="AM918" s="6" t="str">
        <f t="shared" si="344"/>
        <v/>
      </c>
      <c r="AN918" s="4" t="str">
        <f t="shared" si="345"/>
        <v/>
      </c>
      <c r="AO918" s="4" t="str">
        <f t="shared" si="346"/>
        <v/>
      </c>
      <c r="AP918" s="4" t="str">
        <f t="shared" si="347"/>
        <v/>
      </c>
      <c r="AQ918" s="4" t="str">
        <f t="shared" si="348"/>
        <v/>
      </c>
      <c r="AR918" s="4" t="str">
        <f t="shared" si="349"/>
        <v/>
      </c>
    </row>
    <row r="919" spans="8:44" s="1" customFormat="1" ht="14.25" x14ac:dyDescent="0.3">
      <c r="H919" s="50"/>
      <c r="J919" s="54"/>
      <c r="L919" s="54"/>
      <c r="R919" s="45"/>
      <c r="S919" s="54"/>
      <c r="T919" s="54"/>
      <c r="U919" s="54"/>
      <c r="V919" s="44"/>
      <c r="W919" s="27"/>
      <c r="Z919" s="27"/>
      <c r="AA919" s="8"/>
      <c r="AB919" s="81" t="str">
        <f t="shared" si="333"/>
        <v/>
      </c>
      <c r="AC919" s="6" t="str">
        <f t="shared" si="334"/>
        <v/>
      </c>
      <c r="AD919" s="1" t="str">
        <f t="shared" ca="1" si="335"/>
        <v/>
      </c>
      <c r="AE919" s="75" t="str">
        <f t="shared" si="336"/>
        <v/>
      </c>
      <c r="AF919" s="75" t="str">
        <f t="shared" si="337"/>
        <v/>
      </c>
      <c r="AG919" s="4" t="str">
        <f t="shared" si="338"/>
        <v/>
      </c>
      <c r="AH919" s="4" t="str">
        <f t="shared" si="339"/>
        <v/>
      </c>
      <c r="AI919" s="4" t="str">
        <f t="shared" si="340"/>
        <v/>
      </c>
      <c r="AJ919" s="4" t="str">
        <f t="shared" si="341"/>
        <v/>
      </c>
      <c r="AK919" s="4" t="str">
        <f t="shared" si="342"/>
        <v/>
      </c>
      <c r="AL919" s="2" t="str">
        <f t="shared" si="343"/>
        <v/>
      </c>
      <c r="AM919" s="6" t="str">
        <f t="shared" si="344"/>
        <v/>
      </c>
      <c r="AN919" s="4" t="str">
        <f t="shared" si="345"/>
        <v/>
      </c>
      <c r="AO919" s="4" t="str">
        <f t="shared" si="346"/>
        <v/>
      </c>
      <c r="AP919" s="4" t="str">
        <f t="shared" si="347"/>
        <v/>
      </c>
      <c r="AQ919" s="4" t="str">
        <f t="shared" si="348"/>
        <v/>
      </c>
      <c r="AR919" s="4" t="str">
        <f t="shared" si="349"/>
        <v/>
      </c>
    </row>
    <row r="920" spans="8:44" s="1" customFormat="1" ht="14.25" x14ac:dyDescent="0.3">
      <c r="H920" s="50"/>
      <c r="J920" s="54"/>
      <c r="L920" s="54"/>
      <c r="R920" s="45"/>
      <c r="S920" s="54"/>
      <c r="T920" s="54"/>
      <c r="U920" s="54"/>
      <c r="V920" s="44"/>
      <c r="W920" s="27"/>
      <c r="Z920" s="27"/>
      <c r="AA920" s="8"/>
      <c r="AB920" s="81" t="str">
        <f t="shared" si="333"/>
        <v/>
      </c>
      <c r="AC920" s="6" t="str">
        <f t="shared" si="334"/>
        <v/>
      </c>
      <c r="AD920" s="1" t="str">
        <f t="shared" ca="1" si="335"/>
        <v/>
      </c>
      <c r="AE920" s="75" t="str">
        <f t="shared" si="336"/>
        <v/>
      </c>
      <c r="AF920" s="75" t="str">
        <f t="shared" si="337"/>
        <v/>
      </c>
      <c r="AG920" s="4" t="str">
        <f t="shared" si="338"/>
        <v/>
      </c>
      <c r="AH920" s="4" t="str">
        <f t="shared" si="339"/>
        <v/>
      </c>
      <c r="AI920" s="4" t="str">
        <f t="shared" si="340"/>
        <v/>
      </c>
      <c r="AJ920" s="4" t="str">
        <f t="shared" si="341"/>
        <v/>
      </c>
      <c r="AK920" s="4" t="str">
        <f t="shared" si="342"/>
        <v/>
      </c>
      <c r="AL920" s="2" t="str">
        <f t="shared" si="343"/>
        <v/>
      </c>
      <c r="AM920" s="6" t="str">
        <f t="shared" si="344"/>
        <v/>
      </c>
      <c r="AN920" s="4" t="str">
        <f t="shared" si="345"/>
        <v/>
      </c>
      <c r="AO920" s="4" t="str">
        <f t="shared" si="346"/>
        <v/>
      </c>
      <c r="AP920" s="4" t="str">
        <f t="shared" si="347"/>
        <v/>
      </c>
      <c r="AQ920" s="4" t="str">
        <f t="shared" si="348"/>
        <v/>
      </c>
      <c r="AR920" s="4" t="str">
        <f t="shared" si="349"/>
        <v/>
      </c>
    </row>
    <row r="921" spans="8:44" s="1" customFormat="1" ht="14.25" x14ac:dyDescent="0.3">
      <c r="H921" s="50"/>
      <c r="J921" s="54"/>
      <c r="L921" s="54"/>
      <c r="R921" s="45"/>
      <c r="S921" s="54"/>
      <c r="T921" s="54"/>
      <c r="U921" s="54"/>
      <c r="V921" s="44"/>
      <c r="W921" s="27"/>
      <c r="Z921" s="27"/>
      <c r="AA921" s="8"/>
      <c r="AB921" s="81" t="str">
        <f t="shared" si="333"/>
        <v/>
      </c>
      <c r="AC921" s="6" t="str">
        <f t="shared" si="334"/>
        <v/>
      </c>
      <c r="AD921" s="1" t="str">
        <f t="shared" ca="1" si="335"/>
        <v/>
      </c>
      <c r="AE921" s="75" t="str">
        <f t="shared" si="336"/>
        <v/>
      </c>
      <c r="AF921" s="75" t="str">
        <f t="shared" si="337"/>
        <v/>
      </c>
      <c r="AG921" s="4" t="str">
        <f t="shared" si="338"/>
        <v/>
      </c>
      <c r="AH921" s="4" t="str">
        <f t="shared" si="339"/>
        <v/>
      </c>
      <c r="AI921" s="4" t="str">
        <f t="shared" si="340"/>
        <v/>
      </c>
      <c r="AJ921" s="4" t="str">
        <f t="shared" si="341"/>
        <v/>
      </c>
      <c r="AK921" s="4" t="str">
        <f t="shared" si="342"/>
        <v/>
      </c>
      <c r="AL921" s="2" t="str">
        <f t="shared" si="343"/>
        <v/>
      </c>
      <c r="AM921" s="6" t="str">
        <f t="shared" si="344"/>
        <v/>
      </c>
      <c r="AN921" s="4" t="str">
        <f t="shared" si="345"/>
        <v/>
      </c>
      <c r="AO921" s="4" t="str">
        <f t="shared" si="346"/>
        <v/>
      </c>
      <c r="AP921" s="4" t="str">
        <f t="shared" si="347"/>
        <v/>
      </c>
      <c r="AQ921" s="4" t="str">
        <f t="shared" si="348"/>
        <v/>
      </c>
      <c r="AR921" s="4" t="str">
        <f t="shared" si="349"/>
        <v/>
      </c>
    </row>
    <row r="922" spans="8:44" s="1" customFormat="1" ht="14.25" x14ac:dyDescent="0.3">
      <c r="H922" s="50"/>
      <c r="J922" s="54"/>
      <c r="L922" s="54"/>
      <c r="R922" s="45"/>
      <c r="S922" s="54"/>
      <c r="T922" s="54"/>
      <c r="U922" s="54"/>
      <c r="V922" s="44"/>
      <c r="W922" s="27"/>
      <c r="Z922" s="27"/>
      <c r="AA922" s="8"/>
      <c r="AB922" s="81" t="str">
        <f t="shared" si="333"/>
        <v/>
      </c>
      <c r="AC922" s="6" t="str">
        <f t="shared" si="334"/>
        <v/>
      </c>
      <c r="AD922" s="1" t="str">
        <f t="shared" ca="1" si="335"/>
        <v/>
      </c>
      <c r="AE922" s="75" t="str">
        <f t="shared" si="336"/>
        <v/>
      </c>
      <c r="AF922" s="75" t="str">
        <f t="shared" si="337"/>
        <v/>
      </c>
      <c r="AG922" s="4" t="str">
        <f t="shared" si="338"/>
        <v/>
      </c>
      <c r="AH922" s="4" t="str">
        <f t="shared" si="339"/>
        <v/>
      </c>
      <c r="AI922" s="4" t="str">
        <f t="shared" si="340"/>
        <v/>
      </c>
      <c r="AJ922" s="4" t="str">
        <f t="shared" si="341"/>
        <v/>
      </c>
      <c r="AK922" s="4" t="str">
        <f t="shared" si="342"/>
        <v/>
      </c>
      <c r="AL922" s="2" t="str">
        <f t="shared" si="343"/>
        <v/>
      </c>
      <c r="AM922" s="6" t="str">
        <f t="shared" si="344"/>
        <v/>
      </c>
      <c r="AN922" s="4" t="str">
        <f t="shared" si="345"/>
        <v/>
      </c>
      <c r="AO922" s="4" t="str">
        <f t="shared" si="346"/>
        <v/>
      </c>
      <c r="AP922" s="4" t="str">
        <f t="shared" si="347"/>
        <v/>
      </c>
      <c r="AQ922" s="4" t="str">
        <f t="shared" si="348"/>
        <v/>
      </c>
      <c r="AR922" s="4" t="str">
        <f t="shared" si="349"/>
        <v/>
      </c>
    </row>
    <row r="923" spans="8:44" s="1" customFormat="1" ht="14.25" x14ac:dyDescent="0.3">
      <c r="H923" s="50"/>
      <c r="J923" s="54"/>
      <c r="L923" s="54"/>
      <c r="R923" s="45"/>
      <c r="S923" s="54"/>
      <c r="T923" s="54"/>
      <c r="U923" s="54"/>
      <c r="V923" s="44"/>
      <c r="W923" s="27"/>
      <c r="Z923" s="27"/>
      <c r="AA923" s="8"/>
      <c r="AB923" s="81" t="str">
        <f t="shared" si="333"/>
        <v/>
      </c>
      <c r="AC923" s="6" t="str">
        <f t="shared" si="334"/>
        <v/>
      </c>
      <c r="AD923" s="1" t="str">
        <f t="shared" ca="1" si="335"/>
        <v/>
      </c>
      <c r="AE923" s="75" t="str">
        <f t="shared" si="336"/>
        <v/>
      </c>
      <c r="AF923" s="75" t="str">
        <f t="shared" si="337"/>
        <v/>
      </c>
      <c r="AG923" s="4" t="str">
        <f t="shared" si="338"/>
        <v/>
      </c>
      <c r="AH923" s="4" t="str">
        <f t="shared" si="339"/>
        <v/>
      </c>
      <c r="AI923" s="4" t="str">
        <f t="shared" si="340"/>
        <v/>
      </c>
      <c r="AJ923" s="4" t="str">
        <f t="shared" si="341"/>
        <v/>
      </c>
      <c r="AK923" s="4" t="str">
        <f t="shared" si="342"/>
        <v/>
      </c>
      <c r="AL923" s="2" t="str">
        <f t="shared" si="343"/>
        <v/>
      </c>
      <c r="AM923" s="6" t="str">
        <f t="shared" si="344"/>
        <v/>
      </c>
      <c r="AN923" s="4" t="str">
        <f t="shared" si="345"/>
        <v/>
      </c>
      <c r="AO923" s="4" t="str">
        <f t="shared" si="346"/>
        <v/>
      </c>
      <c r="AP923" s="4" t="str">
        <f t="shared" si="347"/>
        <v/>
      </c>
      <c r="AQ923" s="4" t="str">
        <f t="shared" si="348"/>
        <v/>
      </c>
      <c r="AR923" s="4" t="str">
        <f t="shared" si="349"/>
        <v/>
      </c>
    </row>
    <row r="924" spans="8:44" s="1" customFormat="1" ht="14.25" x14ac:dyDescent="0.3">
      <c r="H924" s="50"/>
      <c r="J924" s="54"/>
      <c r="L924" s="54"/>
      <c r="R924" s="45"/>
      <c r="S924" s="54"/>
      <c r="T924" s="54"/>
      <c r="U924" s="54"/>
      <c r="V924" s="44"/>
      <c r="W924" s="27"/>
      <c r="Z924" s="27"/>
      <c r="AA924" s="8"/>
      <c r="AB924" s="81" t="str">
        <f t="shared" si="333"/>
        <v/>
      </c>
      <c r="AC924" s="6" t="str">
        <f t="shared" si="334"/>
        <v/>
      </c>
      <c r="AD924" s="1" t="str">
        <f t="shared" ca="1" si="335"/>
        <v/>
      </c>
      <c r="AE924" s="75" t="str">
        <f t="shared" si="336"/>
        <v/>
      </c>
      <c r="AF924" s="75" t="str">
        <f t="shared" si="337"/>
        <v/>
      </c>
      <c r="AG924" s="4" t="str">
        <f t="shared" si="338"/>
        <v/>
      </c>
      <c r="AH924" s="4" t="str">
        <f t="shared" si="339"/>
        <v/>
      </c>
      <c r="AI924" s="4" t="str">
        <f t="shared" si="340"/>
        <v/>
      </c>
      <c r="AJ924" s="4" t="str">
        <f t="shared" si="341"/>
        <v/>
      </c>
      <c r="AK924" s="4" t="str">
        <f t="shared" si="342"/>
        <v/>
      </c>
      <c r="AL924" s="2" t="str">
        <f t="shared" si="343"/>
        <v/>
      </c>
      <c r="AM924" s="6" t="str">
        <f t="shared" si="344"/>
        <v/>
      </c>
      <c r="AN924" s="4" t="str">
        <f t="shared" si="345"/>
        <v/>
      </c>
      <c r="AO924" s="4" t="str">
        <f t="shared" si="346"/>
        <v/>
      </c>
      <c r="AP924" s="4" t="str">
        <f t="shared" si="347"/>
        <v/>
      </c>
      <c r="AQ924" s="4" t="str">
        <f t="shared" si="348"/>
        <v/>
      </c>
      <c r="AR924" s="4" t="str">
        <f t="shared" si="349"/>
        <v/>
      </c>
    </row>
    <row r="925" spans="8:44" s="1" customFormat="1" ht="14.25" x14ac:dyDescent="0.3">
      <c r="H925" s="50"/>
      <c r="J925" s="54"/>
      <c r="L925" s="54"/>
      <c r="R925" s="45"/>
      <c r="S925" s="54"/>
      <c r="T925" s="54"/>
      <c r="U925" s="54"/>
      <c r="V925" s="44"/>
      <c r="W925" s="27"/>
      <c r="Z925" s="27"/>
      <c r="AA925" s="8"/>
      <c r="AB925" s="81" t="str">
        <f t="shared" si="333"/>
        <v/>
      </c>
      <c r="AC925" s="6" t="str">
        <f t="shared" si="334"/>
        <v/>
      </c>
      <c r="AD925" s="1" t="str">
        <f t="shared" ca="1" si="335"/>
        <v/>
      </c>
      <c r="AE925" s="75" t="str">
        <f t="shared" si="336"/>
        <v/>
      </c>
      <c r="AF925" s="75" t="str">
        <f t="shared" si="337"/>
        <v/>
      </c>
      <c r="AG925" s="4" t="str">
        <f t="shared" si="338"/>
        <v/>
      </c>
      <c r="AH925" s="4" t="str">
        <f t="shared" si="339"/>
        <v/>
      </c>
      <c r="AI925" s="4" t="str">
        <f t="shared" si="340"/>
        <v/>
      </c>
      <c r="AJ925" s="4" t="str">
        <f t="shared" si="341"/>
        <v/>
      </c>
      <c r="AK925" s="4" t="str">
        <f t="shared" si="342"/>
        <v/>
      </c>
      <c r="AL925" s="2" t="str">
        <f t="shared" si="343"/>
        <v/>
      </c>
      <c r="AM925" s="6" t="str">
        <f t="shared" si="344"/>
        <v/>
      </c>
      <c r="AN925" s="4" t="str">
        <f t="shared" si="345"/>
        <v/>
      </c>
      <c r="AO925" s="4" t="str">
        <f t="shared" si="346"/>
        <v/>
      </c>
      <c r="AP925" s="4" t="str">
        <f t="shared" si="347"/>
        <v/>
      </c>
      <c r="AQ925" s="4" t="str">
        <f t="shared" si="348"/>
        <v/>
      </c>
      <c r="AR925" s="4" t="str">
        <f t="shared" si="349"/>
        <v/>
      </c>
    </row>
    <row r="926" spans="8:44" s="1" customFormat="1" ht="14.25" x14ac:dyDescent="0.3">
      <c r="H926" s="50"/>
      <c r="J926" s="54"/>
      <c r="L926" s="54"/>
      <c r="R926" s="45"/>
      <c r="S926" s="54"/>
      <c r="T926" s="54"/>
      <c r="U926" s="54"/>
      <c r="V926" s="44"/>
      <c r="W926" s="27"/>
      <c r="Z926" s="27"/>
      <c r="AA926" s="8"/>
      <c r="AB926" s="81" t="str">
        <f t="shared" si="333"/>
        <v/>
      </c>
      <c r="AC926" s="6" t="str">
        <f t="shared" si="334"/>
        <v/>
      </c>
      <c r="AD926" s="1" t="str">
        <f t="shared" ca="1" si="335"/>
        <v/>
      </c>
      <c r="AE926" s="75" t="str">
        <f t="shared" si="336"/>
        <v/>
      </c>
      <c r="AF926" s="75" t="str">
        <f t="shared" si="337"/>
        <v/>
      </c>
      <c r="AG926" s="4" t="str">
        <f t="shared" si="338"/>
        <v/>
      </c>
      <c r="AH926" s="4" t="str">
        <f t="shared" si="339"/>
        <v/>
      </c>
      <c r="AI926" s="4" t="str">
        <f t="shared" si="340"/>
        <v/>
      </c>
      <c r="AJ926" s="4" t="str">
        <f t="shared" si="341"/>
        <v/>
      </c>
      <c r="AK926" s="4" t="str">
        <f t="shared" si="342"/>
        <v/>
      </c>
      <c r="AL926" s="2" t="str">
        <f t="shared" si="343"/>
        <v/>
      </c>
      <c r="AM926" s="6" t="str">
        <f t="shared" si="344"/>
        <v/>
      </c>
      <c r="AN926" s="4" t="str">
        <f t="shared" si="345"/>
        <v/>
      </c>
      <c r="AO926" s="4" t="str">
        <f t="shared" si="346"/>
        <v/>
      </c>
      <c r="AP926" s="4" t="str">
        <f t="shared" si="347"/>
        <v/>
      </c>
      <c r="AQ926" s="4" t="str">
        <f t="shared" si="348"/>
        <v/>
      </c>
      <c r="AR926" s="4" t="str">
        <f t="shared" si="349"/>
        <v/>
      </c>
    </row>
    <row r="927" spans="8:44" s="1" customFormat="1" ht="14.25" x14ac:dyDescent="0.3">
      <c r="H927" s="50"/>
      <c r="J927" s="54"/>
      <c r="L927" s="54"/>
      <c r="R927" s="45"/>
      <c r="S927" s="54"/>
      <c r="T927" s="54"/>
      <c r="U927" s="54"/>
      <c r="V927" s="44"/>
      <c r="W927" s="27"/>
      <c r="Z927" s="27"/>
      <c r="AA927" s="8"/>
      <c r="AB927" s="81" t="str">
        <f t="shared" si="333"/>
        <v/>
      </c>
      <c r="AC927" s="6" t="str">
        <f t="shared" si="334"/>
        <v/>
      </c>
      <c r="AD927" s="1" t="str">
        <f t="shared" ca="1" si="335"/>
        <v/>
      </c>
      <c r="AE927" s="75" t="str">
        <f t="shared" si="336"/>
        <v/>
      </c>
      <c r="AF927" s="75" t="str">
        <f t="shared" si="337"/>
        <v/>
      </c>
      <c r="AG927" s="4" t="str">
        <f t="shared" si="338"/>
        <v/>
      </c>
      <c r="AH927" s="4" t="str">
        <f t="shared" si="339"/>
        <v/>
      </c>
      <c r="AI927" s="4" t="str">
        <f t="shared" si="340"/>
        <v/>
      </c>
      <c r="AJ927" s="4" t="str">
        <f t="shared" si="341"/>
        <v/>
      </c>
      <c r="AK927" s="4" t="str">
        <f t="shared" si="342"/>
        <v/>
      </c>
      <c r="AL927" s="2" t="str">
        <f t="shared" si="343"/>
        <v/>
      </c>
      <c r="AM927" s="6" t="str">
        <f t="shared" si="344"/>
        <v/>
      </c>
      <c r="AN927" s="4" t="str">
        <f t="shared" si="345"/>
        <v/>
      </c>
      <c r="AO927" s="4" t="str">
        <f t="shared" si="346"/>
        <v/>
      </c>
      <c r="AP927" s="4" t="str">
        <f t="shared" si="347"/>
        <v/>
      </c>
      <c r="AQ927" s="4" t="str">
        <f t="shared" si="348"/>
        <v/>
      </c>
      <c r="AR927" s="4" t="str">
        <f t="shared" si="349"/>
        <v/>
      </c>
    </row>
    <row r="928" spans="8:44" s="1" customFormat="1" ht="14.25" x14ac:dyDescent="0.3">
      <c r="H928" s="50"/>
      <c r="J928" s="54"/>
      <c r="L928" s="54"/>
      <c r="R928" s="45"/>
      <c r="S928" s="54"/>
      <c r="T928" s="54"/>
      <c r="U928" s="54"/>
      <c r="V928" s="44"/>
      <c r="W928" s="27"/>
      <c r="Z928" s="27"/>
      <c r="AA928" s="8"/>
      <c r="AB928" s="81" t="str">
        <f t="shared" si="333"/>
        <v/>
      </c>
      <c r="AC928" s="6" t="str">
        <f t="shared" si="334"/>
        <v/>
      </c>
      <c r="AD928" s="1" t="str">
        <f t="shared" ca="1" si="335"/>
        <v/>
      </c>
      <c r="AE928" s="75" t="str">
        <f t="shared" si="336"/>
        <v/>
      </c>
      <c r="AF928" s="75" t="str">
        <f t="shared" si="337"/>
        <v/>
      </c>
      <c r="AG928" s="4" t="str">
        <f t="shared" si="338"/>
        <v/>
      </c>
      <c r="AH928" s="4" t="str">
        <f t="shared" si="339"/>
        <v/>
      </c>
      <c r="AI928" s="4" t="str">
        <f t="shared" si="340"/>
        <v/>
      </c>
      <c r="AJ928" s="4" t="str">
        <f t="shared" si="341"/>
        <v/>
      </c>
      <c r="AK928" s="4" t="str">
        <f t="shared" si="342"/>
        <v/>
      </c>
      <c r="AL928" s="2" t="str">
        <f t="shared" si="343"/>
        <v/>
      </c>
      <c r="AM928" s="6" t="str">
        <f t="shared" si="344"/>
        <v/>
      </c>
      <c r="AN928" s="4" t="str">
        <f t="shared" si="345"/>
        <v/>
      </c>
      <c r="AO928" s="4" t="str">
        <f t="shared" si="346"/>
        <v/>
      </c>
      <c r="AP928" s="4" t="str">
        <f t="shared" si="347"/>
        <v/>
      </c>
      <c r="AQ928" s="4" t="str">
        <f t="shared" si="348"/>
        <v/>
      </c>
      <c r="AR928" s="4" t="str">
        <f t="shared" si="349"/>
        <v/>
      </c>
    </row>
    <row r="929" spans="8:44" s="1" customFormat="1" ht="14.25" x14ac:dyDescent="0.3">
      <c r="H929" s="50"/>
      <c r="J929" s="54"/>
      <c r="L929" s="54"/>
      <c r="R929" s="45"/>
      <c r="S929" s="54"/>
      <c r="T929" s="54"/>
      <c r="U929" s="54"/>
      <c r="V929" s="44"/>
      <c r="W929" s="27"/>
      <c r="Z929" s="27"/>
      <c r="AA929" s="8"/>
      <c r="AB929" s="81" t="str">
        <f t="shared" si="333"/>
        <v/>
      </c>
      <c r="AC929" s="6" t="str">
        <f t="shared" si="334"/>
        <v/>
      </c>
      <c r="AD929" s="1" t="str">
        <f t="shared" ca="1" si="335"/>
        <v/>
      </c>
      <c r="AE929" s="75" t="str">
        <f t="shared" si="336"/>
        <v/>
      </c>
      <c r="AF929" s="75" t="str">
        <f t="shared" si="337"/>
        <v/>
      </c>
      <c r="AG929" s="4" t="str">
        <f t="shared" si="338"/>
        <v/>
      </c>
      <c r="AH929" s="4" t="str">
        <f t="shared" si="339"/>
        <v/>
      </c>
      <c r="AI929" s="4" t="str">
        <f t="shared" si="340"/>
        <v/>
      </c>
      <c r="AJ929" s="4" t="str">
        <f t="shared" si="341"/>
        <v/>
      </c>
      <c r="AK929" s="4" t="str">
        <f t="shared" si="342"/>
        <v/>
      </c>
      <c r="AL929" s="2" t="str">
        <f t="shared" si="343"/>
        <v/>
      </c>
      <c r="AM929" s="6" t="str">
        <f t="shared" si="344"/>
        <v/>
      </c>
      <c r="AN929" s="4" t="str">
        <f t="shared" si="345"/>
        <v/>
      </c>
      <c r="AO929" s="4" t="str">
        <f t="shared" si="346"/>
        <v/>
      </c>
      <c r="AP929" s="4" t="str">
        <f t="shared" si="347"/>
        <v/>
      </c>
      <c r="AQ929" s="4" t="str">
        <f t="shared" si="348"/>
        <v/>
      </c>
      <c r="AR929" s="4" t="str">
        <f t="shared" si="349"/>
        <v/>
      </c>
    </row>
    <row r="930" spans="8:44" s="1" customFormat="1" ht="14.25" x14ac:dyDescent="0.3">
      <c r="H930" s="50"/>
      <c r="J930" s="54"/>
      <c r="L930" s="54"/>
      <c r="R930" s="45"/>
      <c r="S930" s="54"/>
      <c r="T930" s="54"/>
      <c r="U930" s="54"/>
      <c r="V930" s="44"/>
      <c r="W930" s="27"/>
      <c r="Z930" s="27"/>
      <c r="AA930" s="8"/>
      <c r="AB930" s="81" t="str">
        <f t="shared" si="333"/>
        <v/>
      </c>
      <c r="AC930" s="6" t="str">
        <f t="shared" si="334"/>
        <v/>
      </c>
      <c r="AD930" s="1" t="str">
        <f t="shared" ca="1" si="335"/>
        <v/>
      </c>
      <c r="AE930" s="75" t="str">
        <f t="shared" si="336"/>
        <v/>
      </c>
      <c r="AF930" s="75" t="str">
        <f t="shared" si="337"/>
        <v/>
      </c>
      <c r="AG930" s="4" t="str">
        <f t="shared" si="338"/>
        <v/>
      </c>
      <c r="AH930" s="4" t="str">
        <f t="shared" si="339"/>
        <v/>
      </c>
      <c r="AI930" s="4" t="str">
        <f t="shared" si="340"/>
        <v/>
      </c>
      <c r="AJ930" s="4" t="str">
        <f t="shared" si="341"/>
        <v/>
      </c>
      <c r="AK930" s="4" t="str">
        <f t="shared" si="342"/>
        <v/>
      </c>
      <c r="AL930" s="2" t="str">
        <f t="shared" si="343"/>
        <v/>
      </c>
      <c r="AM930" s="6" t="str">
        <f t="shared" si="344"/>
        <v/>
      </c>
      <c r="AN930" s="4" t="str">
        <f t="shared" si="345"/>
        <v/>
      </c>
      <c r="AO930" s="4" t="str">
        <f t="shared" si="346"/>
        <v/>
      </c>
      <c r="AP930" s="4" t="str">
        <f t="shared" si="347"/>
        <v/>
      </c>
      <c r="AQ930" s="4" t="str">
        <f t="shared" si="348"/>
        <v/>
      </c>
      <c r="AR930" s="4" t="str">
        <f t="shared" si="349"/>
        <v/>
      </c>
    </row>
    <row r="931" spans="8:44" s="1" customFormat="1" ht="14.25" x14ac:dyDescent="0.3">
      <c r="H931" s="50"/>
      <c r="J931" s="54"/>
      <c r="L931" s="54"/>
      <c r="R931" s="45"/>
      <c r="S931" s="54"/>
      <c r="T931" s="54"/>
      <c r="U931" s="54"/>
      <c r="V931" s="44"/>
      <c r="W931" s="27"/>
      <c r="Z931" s="27"/>
      <c r="AA931" s="8"/>
      <c r="AB931" s="81" t="str">
        <f t="shared" si="333"/>
        <v/>
      </c>
      <c r="AC931" s="6" t="str">
        <f t="shared" si="334"/>
        <v/>
      </c>
      <c r="AD931" s="1" t="str">
        <f t="shared" ca="1" si="335"/>
        <v/>
      </c>
      <c r="AE931" s="75" t="str">
        <f t="shared" si="336"/>
        <v/>
      </c>
      <c r="AF931" s="75" t="str">
        <f t="shared" si="337"/>
        <v/>
      </c>
      <c r="AG931" s="4" t="str">
        <f t="shared" si="338"/>
        <v/>
      </c>
      <c r="AH931" s="4" t="str">
        <f t="shared" si="339"/>
        <v/>
      </c>
      <c r="AI931" s="4" t="str">
        <f t="shared" si="340"/>
        <v/>
      </c>
      <c r="AJ931" s="4" t="str">
        <f t="shared" si="341"/>
        <v/>
      </c>
      <c r="AK931" s="4" t="str">
        <f t="shared" si="342"/>
        <v/>
      </c>
      <c r="AL931" s="2" t="str">
        <f t="shared" si="343"/>
        <v/>
      </c>
      <c r="AM931" s="6" t="str">
        <f t="shared" si="344"/>
        <v/>
      </c>
      <c r="AN931" s="4" t="str">
        <f t="shared" si="345"/>
        <v/>
      </c>
      <c r="AO931" s="4" t="str">
        <f t="shared" si="346"/>
        <v/>
      </c>
      <c r="AP931" s="4" t="str">
        <f t="shared" si="347"/>
        <v/>
      </c>
      <c r="AQ931" s="4" t="str">
        <f t="shared" si="348"/>
        <v/>
      </c>
      <c r="AR931" s="4" t="str">
        <f t="shared" si="349"/>
        <v/>
      </c>
    </row>
    <row r="932" spans="8:44" s="1" customFormat="1" ht="14.25" x14ac:dyDescent="0.3">
      <c r="H932" s="50"/>
      <c r="J932" s="54"/>
      <c r="L932" s="54"/>
      <c r="R932" s="45"/>
      <c r="S932" s="54"/>
      <c r="T932" s="54"/>
      <c r="U932" s="54"/>
      <c r="V932" s="44"/>
      <c r="W932" s="27"/>
      <c r="Z932" s="27"/>
      <c r="AA932" s="8"/>
      <c r="AB932" s="81" t="str">
        <f t="shared" si="333"/>
        <v/>
      </c>
      <c r="AC932" s="6" t="str">
        <f t="shared" si="334"/>
        <v/>
      </c>
      <c r="AD932" s="1" t="str">
        <f t="shared" ca="1" si="335"/>
        <v/>
      </c>
      <c r="AE932" s="75" t="str">
        <f t="shared" si="336"/>
        <v/>
      </c>
      <c r="AF932" s="75" t="str">
        <f t="shared" si="337"/>
        <v/>
      </c>
      <c r="AG932" s="4" t="str">
        <f t="shared" si="338"/>
        <v/>
      </c>
      <c r="AH932" s="4" t="str">
        <f t="shared" si="339"/>
        <v/>
      </c>
      <c r="AI932" s="4" t="str">
        <f t="shared" si="340"/>
        <v/>
      </c>
      <c r="AJ932" s="4" t="str">
        <f t="shared" si="341"/>
        <v/>
      </c>
      <c r="AK932" s="4" t="str">
        <f t="shared" si="342"/>
        <v/>
      </c>
      <c r="AL932" s="2" t="str">
        <f t="shared" si="343"/>
        <v/>
      </c>
      <c r="AM932" s="6" t="str">
        <f t="shared" si="344"/>
        <v/>
      </c>
      <c r="AN932" s="4" t="str">
        <f t="shared" si="345"/>
        <v/>
      </c>
      <c r="AO932" s="4" t="str">
        <f t="shared" si="346"/>
        <v/>
      </c>
      <c r="AP932" s="4" t="str">
        <f t="shared" si="347"/>
        <v/>
      </c>
      <c r="AQ932" s="4" t="str">
        <f t="shared" si="348"/>
        <v/>
      </c>
      <c r="AR932" s="4" t="str">
        <f t="shared" si="349"/>
        <v/>
      </c>
    </row>
    <row r="933" spans="8:44" s="1" customFormat="1" ht="14.25" x14ac:dyDescent="0.3">
      <c r="H933" s="50"/>
      <c r="J933" s="54"/>
      <c r="L933" s="54"/>
      <c r="R933" s="45"/>
      <c r="S933" s="54"/>
      <c r="T933" s="54"/>
      <c r="U933" s="54"/>
      <c r="V933" s="44"/>
      <c r="W933" s="27"/>
      <c r="Z933" s="27"/>
      <c r="AA933" s="8"/>
      <c r="AB933" s="81" t="str">
        <f t="shared" si="333"/>
        <v/>
      </c>
      <c r="AC933" s="6" t="str">
        <f t="shared" si="334"/>
        <v/>
      </c>
      <c r="AD933" s="1" t="str">
        <f t="shared" ca="1" si="335"/>
        <v/>
      </c>
      <c r="AE933" s="75" t="str">
        <f t="shared" si="336"/>
        <v/>
      </c>
      <c r="AF933" s="75" t="str">
        <f t="shared" si="337"/>
        <v/>
      </c>
      <c r="AG933" s="4" t="str">
        <f t="shared" si="338"/>
        <v/>
      </c>
      <c r="AH933" s="4" t="str">
        <f t="shared" si="339"/>
        <v/>
      </c>
      <c r="AI933" s="4" t="str">
        <f t="shared" si="340"/>
        <v/>
      </c>
      <c r="AJ933" s="4" t="str">
        <f t="shared" si="341"/>
        <v/>
      </c>
      <c r="AK933" s="4" t="str">
        <f t="shared" si="342"/>
        <v/>
      </c>
      <c r="AL933" s="2" t="str">
        <f t="shared" si="343"/>
        <v/>
      </c>
      <c r="AM933" s="6" t="str">
        <f t="shared" si="344"/>
        <v/>
      </c>
      <c r="AN933" s="4" t="str">
        <f t="shared" si="345"/>
        <v/>
      </c>
      <c r="AO933" s="4" t="str">
        <f t="shared" si="346"/>
        <v/>
      </c>
      <c r="AP933" s="4" t="str">
        <f t="shared" si="347"/>
        <v/>
      </c>
      <c r="AQ933" s="4" t="str">
        <f t="shared" si="348"/>
        <v/>
      </c>
      <c r="AR933" s="4" t="str">
        <f t="shared" si="349"/>
        <v/>
      </c>
    </row>
    <row r="934" spans="8:44" s="1" customFormat="1" ht="14.25" x14ac:dyDescent="0.3">
      <c r="H934" s="50"/>
      <c r="J934" s="54"/>
      <c r="L934" s="54"/>
      <c r="R934" s="45"/>
      <c r="S934" s="54"/>
      <c r="T934" s="54"/>
      <c r="U934" s="54"/>
      <c r="V934" s="44"/>
      <c r="W934" s="27"/>
      <c r="Z934" s="27"/>
      <c r="AA934" s="8"/>
      <c r="AB934" s="81" t="str">
        <f t="shared" si="333"/>
        <v/>
      </c>
      <c r="AC934" s="6" t="str">
        <f t="shared" si="334"/>
        <v/>
      </c>
      <c r="AD934" s="1" t="str">
        <f t="shared" ca="1" si="335"/>
        <v/>
      </c>
      <c r="AE934" s="75" t="str">
        <f t="shared" si="336"/>
        <v/>
      </c>
      <c r="AF934" s="75" t="str">
        <f t="shared" si="337"/>
        <v/>
      </c>
      <c r="AG934" s="4" t="str">
        <f t="shared" si="338"/>
        <v/>
      </c>
      <c r="AH934" s="4" t="str">
        <f t="shared" si="339"/>
        <v/>
      </c>
      <c r="AI934" s="4" t="str">
        <f t="shared" si="340"/>
        <v/>
      </c>
      <c r="AJ934" s="4" t="str">
        <f t="shared" si="341"/>
        <v/>
      </c>
      <c r="AK934" s="4" t="str">
        <f t="shared" si="342"/>
        <v/>
      </c>
      <c r="AL934" s="2" t="str">
        <f t="shared" si="343"/>
        <v/>
      </c>
      <c r="AM934" s="6" t="str">
        <f t="shared" si="344"/>
        <v/>
      </c>
      <c r="AN934" s="4" t="str">
        <f t="shared" si="345"/>
        <v/>
      </c>
      <c r="AO934" s="4" t="str">
        <f t="shared" si="346"/>
        <v/>
      </c>
      <c r="AP934" s="4" t="str">
        <f t="shared" si="347"/>
        <v/>
      </c>
      <c r="AQ934" s="4" t="str">
        <f t="shared" si="348"/>
        <v/>
      </c>
      <c r="AR934" s="4" t="str">
        <f t="shared" si="349"/>
        <v/>
      </c>
    </row>
    <row r="935" spans="8:44" s="1" customFormat="1" ht="14.25" x14ac:dyDescent="0.3">
      <c r="H935" s="50"/>
      <c r="J935" s="54"/>
      <c r="L935" s="54"/>
      <c r="R935" s="45"/>
      <c r="S935" s="54"/>
      <c r="T935" s="54"/>
      <c r="U935" s="54"/>
      <c r="V935" s="44"/>
      <c r="W935" s="27"/>
      <c r="Z935" s="27"/>
      <c r="AA935" s="8"/>
      <c r="AB935" s="81" t="str">
        <f t="shared" si="333"/>
        <v/>
      </c>
      <c r="AC935" s="6" t="str">
        <f t="shared" si="334"/>
        <v/>
      </c>
      <c r="AD935" s="1" t="str">
        <f t="shared" ca="1" si="335"/>
        <v/>
      </c>
      <c r="AE935" s="75" t="str">
        <f t="shared" si="336"/>
        <v/>
      </c>
      <c r="AF935" s="75" t="str">
        <f t="shared" si="337"/>
        <v/>
      </c>
      <c r="AG935" s="4" t="str">
        <f t="shared" si="338"/>
        <v/>
      </c>
      <c r="AH935" s="4" t="str">
        <f t="shared" si="339"/>
        <v/>
      </c>
      <c r="AI935" s="4" t="str">
        <f t="shared" si="340"/>
        <v/>
      </c>
      <c r="AJ935" s="4" t="str">
        <f t="shared" si="341"/>
        <v/>
      </c>
      <c r="AK935" s="4" t="str">
        <f t="shared" si="342"/>
        <v/>
      </c>
      <c r="AL935" s="2" t="str">
        <f t="shared" si="343"/>
        <v/>
      </c>
      <c r="AM935" s="6" t="str">
        <f t="shared" si="344"/>
        <v/>
      </c>
      <c r="AN935" s="4" t="str">
        <f t="shared" si="345"/>
        <v/>
      </c>
      <c r="AO935" s="4" t="str">
        <f t="shared" si="346"/>
        <v/>
      </c>
      <c r="AP935" s="4" t="str">
        <f t="shared" si="347"/>
        <v/>
      </c>
      <c r="AQ935" s="4" t="str">
        <f t="shared" si="348"/>
        <v/>
      </c>
      <c r="AR935" s="4" t="str">
        <f t="shared" si="349"/>
        <v/>
      </c>
    </row>
    <row r="936" spans="8:44" s="1" customFormat="1" ht="14.25" x14ac:dyDescent="0.3">
      <c r="H936" s="50"/>
      <c r="J936" s="54"/>
      <c r="L936" s="54"/>
      <c r="R936" s="45"/>
      <c r="S936" s="54"/>
      <c r="T936" s="54"/>
      <c r="U936" s="54"/>
      <c r="V936" s="44"/>
      <c r="W936" s="27"/>
      <c r="Z936" s="27"/>
      <c r="AA936" s="8"/>
      <c r="AB936" s="81" t="str">
        <f t="shared" si="333"/>
        <v/>
      </c>
      <c r="AC936" s="6" t="str">
        <f t="shared" si="334"/>
        <v/>
      </c>
      <c r="AD936" s="1" t="str">
        <f t="shared" ca="1" si="335"/>
        <v/>
      </c>
      <c r="AE936" s="75" t="str">
        <f t="shared" si="336"/>
        <v/>
      </c>
      <c r="AF936" s="75" t="str">
        <f t="shared" si="337"/>
        <v/>
      </c>
      <c r="AG936" s="4" t="str">
        <f t="shared" si="338"/>
        <v/>
      </c>
      <c r="AH936" s="4" t="str">
        <f t="shared" si="339"/>
        <v/>
      </c>
      <c r="AI936" s="4" t="str">
        <f t="shared" si="340"/>
        <v/>
      </c>
      <c r="AJ936" s="4" t="str">
        <f t="shared" si="341"/>
        <v/>
      </c>
      <c r="AK936" s="4" t="str">
        <f t="shared" si="342"/>
        <v/>
      </c>
      <c r="AL936" s="2" t="str">
        <f t="shared" si="343"/>
        <v/>
      </c>
      <c r="AM936" s="6" t="str">
        <f t="shared" si="344"/>
        <v/>
      </c>
      <c r="AN936" s="4" t="str">
        <f t="shared" si="345"/>
        <v/>
      </c>
      <c r="AO936" s="4" t="str">
        <f t="shared" si="346"/>
        <v/>
      </c>
      <c r="AP936" s="4" t="str">
        <f t="shared" si="347"/>
        <v/>
      </c>
      <c r="AQ936" s="4" t="str">
        <f t="shared" si="348"/>
        <v/>
      </c>
      <c r="AR936" s="4" t="str">
        <f t="shared" si="349"/>
        <v/>
      </c>
    </row>
    <row r="937" spans="8:44" s="1" customFormat="1" ht="14.25" x14ac:dyDescent="0.3">
      <c r="H937" s="50"/>
      <c r="J937" s="54"/>
      <c r="L937" s="54"/>
      <c r="R937" s="45"/>
      <c r="S937" s="54"/>
      <c r="T937" s="54"/>
      <c r="U937" s="54"/>
      <c r="V937" s="44"/>
      <c r="W937" s="27"/>
      <c r="Z937" s="27"/>
      <c r="AA937" s="8"/>
      <c r="AB937" s="81" t="str">
        <f t="shared" si="333"/>
        <v/>
      </c>
      <c r="AC937" s="6" t="str">
        <f t="shared" si="334"/>
        <v/>
      </c>
      <c r="AD937" s="1" t="str">
        <f t="shared" ca="1" si="335"/>
        <v/>
      </c>
      <c r="AE937" s="75" t="str">
        <f t="shared" si="336"/>
        <v/>
      </c>
      <c r="AF937" s="75" t="str">
        <f t="shared" si="337"/>
        <v/>
      </c>
      <c r="AG937" s="4" t="str">
        <f t="shared" si="338"/>
        <v/>
      </c>
      <c r="AH937" s="4" t="str">
        <f t="shared" si="339"/>
        <v/>
      </c>
      <c r="AI937" s="4" t="str">
        <f t="shared" si="340"/>
        <v/>
      </c>
      <c r="AJ937" s="4" t="str">
        <f t="shared" si="341"/>
        <v/>
      </c>
      <c r="AK937" s="4" t="str">
        <f t="shared" si="342"/>
        <v/>
      </c>
      <c r="AL937" s="2" t="str">
        <f t="shared" si="343"/>
        <v/>
      </c>
      <c r="AM937" s="6" t="str">
        <f t="shared" si="344"/>
        <v/>
      </c>
      <c r="AN937" s="4" t="str">
        <f t="shared" si="345"/>
        <v/>
      </c>
      <c r="AO937" s="4" t="str">
        <f t="shared" si="346"/>
        <v/>
      </c>
      <c r="AP937" s="4" t="str">
        <f t="shared" si="347"/>
        <v/>
      </c>
      <c r="AQ937" s="4" t="str">
        <f t="shared" si="348"/>
        <v/>
      </c>
      <c r="AR937" s="4" t="str">
        <f t="shared" si="349"/>
        <v/>
      </c>
    </row>
    <row r="938" spans="8:44" s="1" customFormat="1" ht="14.25" x14ac:dyDescent="0.3">
      <c r="H938" s="50"/>
      <c r="J938" s="54"/>
      <c r="L938" s="54"/>
      <c r="R938" s="45"/>
      <c r="S938" s="54"/>
      <c r="T938" s="54"/>
      <c r="U938" s="54"/>
      <c r="V938" s="44"/>
      <c r="W938" s="27"/>
      <c r="Z938" s="27"/>
      <c r="AA938" s="8"/>
      <c r="AB938" s="81" t="str">
        <f t="shared" si="333"/>
        <v/>
      </c>
      <c r="AC938" s="6" t="str">
        <f t="shared" si="334"/>
        <v/>
      </c>
      <c r="AD938" s="1" t="str">
        <f t="shared" ca="1" si="335"/>
        <v/>
      </c>
      <c r="AE938" s="75" t="str">
        <f t="shared" si="336"/>
        <v/>
      </c>
      <c r="AF938" s="75" t="str">
        <f t="shared" si="337"/>
        <v/>
      </c>
      <c r="AG938" s="4" t="str">
        <f t="shared" si="338"/>
        <v/>
      </c>
      <c r="AH938" s="4" t="str">
        <f t="shared" si="339"/>
        <v/>
      </c>
      <c r="AI938" s="4" t="str">
        <f t="shared" si="340"/>
        <v/>
      </c>
      <c r="AJ938" s="4" t="str">
        <f t="shared" si="341"/>
        <v/>
      </c>
      <c r="AK938" s="4" t="str">
        <f t="shared" si="342"/>
        <v/>
      </c>
      <c r="AL938" s="2" t="str">
        <f t="shared" si="343"/>
        <v/>
      </c>
      <c r="AM938" s="6" t="str">
        <f t="shared" si="344"/>
        <v/>
      </c>
      <c r="AN938" s="4" t="str">
        <f t="shared" si="345"/>
        <v/>
      </c>
      <c r="AO938" s="4" t="str">
        <f t="shared" si="346"/>
        <v/>
      </c>
      <c r="AP938" s="4" t="str">
        <f t="shared" si="347"/>
        <v/>
      </c>
      <c r="AQ938" s="4" t="str">
        <f t="shared" si="348"/>
        <v/>
      </c>
      <c r="AR938" s="4" t="str">
        <f t="shared" si="349"/>
        <v/>
      </c>
    </row>
    <row r="939" spans="8:44" s="1" customFormat="1" ht="14.25" x14ac:dyDescent="0.3">
      <c r="H939" s="50"/>
      <c r="J939" s="54"/>
      <c r="L939" s="54"/>
      <c r="R939" s="45"/>
      <c r="S939" s="54"/>
      <c r="T939" s="54"/>
      <c r="U939" s="54"/>
      <c r="V939" s="44"/>
      <c r="W939" s="27"/>
      <c r="Z939" s="27"/>
      <c r="AA939" s="8"/>
      <c r="AB939" s="81" t="str">
        <f t="shared" si="333"/>
        <v/>
      </c>
      <c r="AC939" s="6" t="str">
        <f t="shared" si="334"/>
        <v/>
      </c>
      <c r="AD939" s="1" t="str">
        <f t="shared" ca="1" si="335"/>
        <v/>
      </c>
      <c r="AE939" s="75" t="str">
        <f t="shared" si="336"/>
        <v/>
      </c>
      <c r="AF939" s="75" t="str">
        <f t="shared" si="337"/>
        <v/>
      </c>
      <c r="AG939" s="4" t="str">
        <f t="shared" si="338"/>
        <v/>
      </c>
      <c r="AH939" s="4" t="str">
        <f t="shared" si="339"/>
        <v/>
      </c>
      <c r="AI939" s="4" t="str">
        <f t="shared" si="340"/>
        <v/>
      </c>
      <c r="AJ939" s="4" t="str">
        <f t="shared" si="341"/>
        <v/>
      </c>
      <c r="AK939" s="4" t="str">
        <f t="shared" si="342"/>
        <v/>
      </c>
      <c r="AL939" s="2" t="str">
        <f t="shared" si="343"/>
        <v/>
      </c>
      <c r="AM939" s="6" t="str">
        <f t="shared" si="344"/>
        <v/>
      </c>
      <c r="AN939" s="4" t="str">
        <f t="shared" si="345"/>
        <v/>
      </c>
      <c r="AO939" s="4" t="str">
        <f t="shared" si="346"/>
        <v/>
      </c>
      <c r="AP939" s="4" t="str">
        <f t="shared" si="347"/>
        <v/>
      </c>
      <c r="AQ939" s="4" t="str">
        <f t="shared" si="348"/>
        <v/>
      </c>
      <c r="AR939" s="4" t="str">
        <f t="shared" si="349"/>
        <v/>
      </c>
    </row>
    <row r="940" spans="8:44" s="1" customFormat="1" ht="14.25" x14ac:dyDescent="0.3">
      <c r="H940" s="50"/>
      <c r="J940" s="54"/>
      <c r="L940" s="54"/>
      <c r="R940" s="45"/>
      <c r="S940" s="54"/>
      <c r="T940" s="54"/>
      <c r="U940" s="54"/>
      <c r="V940" s="44"/>
      <c r="W940" s="27"/>
      <c r="Z940" s="27"/>
      <c r="AA940" s="8"/>
      <c r="AB940" s="81" t="str">
        <f t="shared" si="333"/>
        <v/>
      </c>
      <c r="AC940" s="6" t="str">
        <f t="shared" si="334"/>
        <v/>
      </c>
      <c r="AD940" s="1" t="str">
        <f t="shared" ca="1" si="335"/>
        <v/>
      </c>
      <c r="AE940" s="75" t="str">
        <f t="shared" si="336"/>
        <v/>
      </c>
      <c r="AF940" s="75" t="str">
        <f t="shared" si="337"/>
        <v/>
      </c>
      <c r="AG940" s="4" t="str">
        <f t="shared" si="338"/>
        <v/>
      </c>
      <c r="AH940" s="4" t="str">
        <f t="shared" si="339"/>
        <v/>
      </c>
      <c r="AI940" s="4" t="str">
        <f t="shared" si="340"/>
        <v/>
      </c>
      <c r="AJ940" s="4" t="str">
        <f t="shared" si="341"/>
        <v/>
      </c>
      <c r="AK940" s="4" t="str">
        <f t="shared" si="342"/>
        <v/>
      </c>
      <c r="AL940" s="2" t="str">
        <f t="shared" si="343"/>
        <v/>
      </c>
      <c r="AM940" s="6" t="str">
        <f t="shared" si="344"/>
        <v/>
      </c>
      <c r="AN940" s="4" t="str">
        <f t="shared" si="345"/>
        <v/>
      </c>
      <c r="AO940" s="4" t="str">
        <f t="shared" si="346"/>
        <v/>
      </c>
      <c r="AP940" s="4" t="str">
        <f t="shared" si="347"/>
        <v/>
      </c>
      <c r="AQ940" s="4" t="str">
        <f t="shared" si="348"/>
        <v/>
      </c>
      <c r="AR940" s="4" t="str">
        <f t="shared" si="349"/>
        <v/>
      </c>
    </row>
    <row r="941" spans="8:44" s="1" customFormat="1" ht="14.25" x14ac:dyDescent="0.3">
      <c r="H941" s="50"/>
      <c r="J941" s="54"/>
      <c r="L941" s="54"/>
      <c r="R941" s="45"/>
      <c r="S941" s="54"/>
      <c r="T941" s="54"/>
      <c r="U941" s="54"/>
      <c r="V941" s="44"/>
      <c r="W941" s="27"/>
      <c r="Z941" s="27"/>
      <c r="AA941" s="8"/>
      <c r="AB941" s="81" t="str">
        <f t="shared" si="333"/>
        <v/>
      </c>
      <c r="AC941" s="6" t="str">
        <f t="shared" si="334"/>
        <v/>
      </c>
      <c r="AD941" s="1" t="str">
        <f t="shared" ca="1" si="335"/>
        <v/>
      </c>
      <c r="AE941" s="75" t="str">
        <f t="shared" si="336"/>
        <v/>
      </c>
      <c r="AF941" s="75" t="str">
        <f t="shared" si="337"/>
        <v/>
      </c>
      <c r="AG941" s="4" t="str">
        <f t="shared" si="338"/>
        <v/>
      </c>
      <c r="AH941" s="4" t="str">
        <f t="shared" si="339"/>
        <v/>
      </c>
      <c r="AI941" s="4" t="str">
        <f t="shared" si="340"/>
        <v/>
      </c>
      <c r="AJ941" s="4" t="str">
        <f t="shared" si="341"/>
        <v/>
      </c>
      <c r="AK941" s="4" t="str">
        <f t="shared" si="342"/>
        <v/>
      </c>
      <c r="AL941" s="2" t="str">
        <f t="shared" si="343"/>
        <v/>
      </c>
      <c r="AM941" s="6" t="str">
        <f t="shared" si="344"/>
        <v/>
      </c>
      <c r="AN941" s="4" t="str">
        <f t="shared" si="345"/>
        <v/>
      </c>
      <c r="AO941" s="4" t="str">
        <f t="shared" si="346"/>
        <v/>
      </c>
      <c r="AP941" s="4" t="str">
        <f t="shared" si="347"/>
        <v/>
      </c>
      <c r="AQ941" s="4" t="str">
        <f t="shared" si="348"/>
        <v/>
      </c>
      <c r="AR941" s="4" t="str">
        <f t="shared" si="349"/>
        <v/>
      </c>
    </row>
    <row r="942" spans="8:44" s="1" customFormat="1" ht="14.25" x14ac:dyDescent="0.3">
      <c r="H942" s="50"/>
      <c r="J942" s="54"/>
      <c r="L942" s="54"/>
      <c r="R942" s="45"/>
      <c r="S942" s="54"/>
      <c r="T942" s="54"/>
      <c r="U942" s="54"/>
      <c r="V942" s="44"/>
      <c r="W942" s="27"/>
      <c r="Z942" s="27"/>
      <c r="AA942" s="8"/>
      <c r="AB942" s="81" t="str">
        <f t="shared" si="333"/>
        <v/>
      </c>
      <c r="AC942" s="6" t="str">
        <f t="shared" si="334"/>
        <v/>
      </c>
      <c r="AD942" s="1" t="str">
        <f t="shared" ca="1" si="335"/>
        <v/>
      </c>
      <c r="AE942" s="75" t="str">
        <f t="shared" si="336"/>
        <v/>
      </c>
      <c r="AF942" s="75" t="str">
        <f t="shared" si="337"/>
        <v/>
      </c>
      <c r="AG942" s="4" t="str">
        <f t="shared" si="338"/>
        <v/>
      </c>
      <c r="AH942" s="4" t="str">
        <f t="shared" si="339"/>
        <v/>
      </c>
      <c r="AI942" s="4" t="str">
        <f t="shared" si="340"/>
        <v/>
      </c>
      <c r="AJ942" s="4" t="str">
        <f t="shared" si="341"/>
        <v/>
      </c>
      <c r="AK942" s="4" t="str">
        <f t="shared" si="342"/>
        <v/>
      </c>
      <c r="AL942" s="2" t="str">
        <f t="shared" si="343"/>
        <v/>
      </c>
      <c r="AM942" s="6" t="str">
        <f t="shared" si="344"/>
        <v/>
      </c>
      <c r="AN942" s="4" t="str">
        <f t="shared" si="345"/>
        <v/>
      </c>
      <c r="AO942" s="4" t="str">
        <f t="shared" si="346"/>
        <v/>
      </c>
      <c r="AP942" s="4" t="str">
        <f t="shared" si="347"/>
        <v/>
      </c>
      <c r="AQ942" s="4" t="str">
        <f t="shared" si="348"/>
        <v/>
      </c>
      <c r="AR942" s="4" t="str">
        <f t="shared" si="349"/>
        <v/>
      </c>
    </row>
    <row r="943" spans="8:44" s="1" customFormat="1" ht="14.25" x14ac:dyDescent="0.3">
      <c r="H943" s="50"/>
      <c r="J943" s="54"/>
      <c r="L943" s="54"/>
      <c r="R943" s="45"/>
      <c r="S943" s="54"/>
      <c r="T943" s="54"/>
      <c r="U943" s="54"/>
      <c r="V943" s="44"/>
      <c r="W943" s="27"/>
      <c r="Z943" s="27"/>
      <c r="AA943" s="8"/>
      <c r="AB943" s="81" t="str">
        <f t="shared" si="333"/>
        <v/>
      </c>
      <c r="AC943" s="6" t="str">
        <f t="shared" si="334"/>
        <v/>
      </c>
      <c r="AD943" s="1" t="str">
        <f t="shared" ca="1" si="335"/>
        <v/>
      </c>
      <c r="AE943" s="75" t="str">
        <f t="shared" si="336"/>
        <v/>
      </c>
      <c r="AF943" s="75" t="str">
        <f t="shared" si="337"/>
        <v/>
      </c>
      <c r="AG943" s="4" t="str">
        <f t="shared" si="338"/>
        <v/>
      </c>
      <c r="AH943" s="4" t="str">
        <f t="shared" si="339"/>
        <v/>
      </c>
      <c r="AI943" s="4" t="str">
        <f t="shared" si="340"/>
        <v/>
      </c>
      <c r="AJ943" s="4" t="str">
        <f t="shared" si="341"/>
        <v/>
      </c>
      <c r="AK943" s="4" t="str">
        <f t="shared" si="342"/>
        <v/>
      </c>
      <c r="AL943" s="2" t="str">
        <f t="shared" si="343"/>
        <v/>
      </c>
      <c r="AM943" s="6" t="str">
        <f t="shared" si="344"/>
        <v/>
      </c>
      <c r="AN943" s="4" t="str">
        <f t="shared" si="345"/>
        <v/>
      </c>
      <c r="AO943" s="4" t="str">
        <f t="shared" si="346"/>
        <v/>
      </c>
      <c r="AP943" s="4" t="str">
        <f t="shared" si="347"/>
        <v/>
      </c>
      <c r="AQ943" s="4" t="str">
        <f t="shared" si="348"/>
        <v/>
      </c>
      <c r="AR943" s="4" t="str">
        <f t="shared" si="349"/>
        <v/>
      </c>
    </row>
    <row r="944" spans="8:44" s="1" customFormat="1" ht="14.25" x14ac:dyDescent="0.3">
      <c r="H944" s="50"/>
      <c r="J944" s="54"/>
      <c r="L944" s="54"/>
      <c r="R944" s="45"/>
      <c r="S944" s="54"/>
      <c r="T944" s="54"/>
      <c r="U944" s="54"/>
      <c r="V944" s="44"/>
      <c r="W944" s="27"/>
      <c r="Z944" s="27"/>
      <c r="AA944" s="8"/>
      <c r="AB944" s="81" t="str">
        <f t="shared" si="333"/>
        <v/>
      </c>
      <c r="AC944" s="6" t="str">
        <f t="shared" si="334"/>
        <v/>
      </c>
      <c r="AD944" s="1" t="str">
        <f t="shared" ca="1" si="335"/>
        <v/>
      </c>
      <c r="AE944" s="75" t="str">
        <f t="shared" si="336"/>
        <v/>
      </c>
      <c r="AF944" s="75" t="str">
        <f t="shared" si="337"/>
        <v/>
      </c>
      <c r="AG944" s="4" t="str">
        <f t="shared" si="338"/>
        <v/>
      </c>
      <c r="AH944" s="4" t="str">
        <f t="shared" si="339"/>
        <v/>
      </c>
      <c r="AI944" s="4" t="str">
        <f t="shared" si="340"/>
        <v/>
      </c>
      <c r="AJ944" s="4" t="str">
        <f t="shared" si="341"/>
        <v/>
      </c>
      <c r="AK944" s="4" t="str">
        <f t="shared" si="342"/>
        <v/>
      </c>
      <c r="AL944" s="2" t="str">
        <f t="shared" si="343"/>
        <v/>
      </c>
      <c r="AM944" s="6" t="str">
        <f t="shared" si="344"/>
        <v/>
      </c>
      <c r="AN944" s="4" t="str">
        <f t="shared" si="345"/>
        <v/>
      </c>
      <c r="AO944" s="4" t="str">
        <f t="shared" si="346"/>
        <v/>
      </c>
      <c r="AP944" s="4" t="str">
        <f t="shared" si="347"/>
        <v/>
      </c>
      <c r="AQ944" s="4" t="str">
        <f t="shared" si="348"/>
        <v/>
      </c>
      <c r="AR944" s="4" t="str">
        <f t="shared" si="349"/>
        <v/>
      </c>
    </row>
    <row r="945" spans="8:44" s="1" customFormat="1" ht="14.25" x14ac:dyDescent="0.3">
      <c r="H945" s="50"/>
      <c r="J945" s="54"/>
      <c r="L945" s="54"/>
      <c r="R945" s="45"/>
      <c r="S945" s="54"/>
      <c r="T945" s="54"/>
      <c r="U945" s="54"/>
      <c r="V945" s="44"/>
      <c r="W945" s="27"/>
      <c r="Z945" s="27"/>
      <c r="AA945" s="8"/>
      <c r="AB945" s="81" t="str">
        <f t="shared" si="333"/>
        <v/>
      </c>
      <c r="AC945" s="6" t="str">
        <f t="shared" si="334"/>
        <v/>
      </c>
      <c r="AD945" s="1" t="str">
        <f t="shared" ca="1" si="335"/>
        <v/>
      </c>
      <c r="AE945" s="75" t="str">
        <f t="shared" si="336"/>
        <v/>
      </c>
      <c r="AF945" s="75" t="str">
        <f t="shared" si="337"/>
        <v/>
      </c>
      <c r="AG945" s="4" t="str">
        <f t="shared" si="338"/>
        <v/>
      </c>
      <c r="AH945" s="4" t="str">
        <f t="shared" si="339"/>
        <v/>
      </c>
      <c r="AI945" s="4" t="str">
        <f t="shared" si="340"/>
        <v/>
      </c>
      <c r="AJ945" s="4" t="str">
        <f t="shared" si="341"/>
        <v/>
      </c>
      <c r="AK945" s="4" t="str">
        <f t="shared" si="342"/>
        <v/>
      </c>
      <c r="AL945" s="2" t="str">
        <f t="shared" si="343"/>
        <v/>
      </c>
      <c r="AM945" s="6" t="str">
        <f t="shared" si="344"/>
        <v/>
      </c>
      <c r="AN945" s="4" t="str">
        <f t="shared" si="345"/>
        <v/>
      </c>
      <c r="AO945" s="4" t="str">
        <f t="shared" si="346"/>
        <v/>
      </c>
      <c r="AP945" s="4" t="str">
        <f t="shared" si="347"/>
        <v/>
      </c>
      <c r="AQ945" s="4" t="str">
        <f t="shared" si="348"/>
        <v/>
      </c>
      <c r="AR945" s="4" t="str">
        <f t="shared" si="349"/>
        <v/>
      </c>
    </row>
    <row r="946" spans="8:44" s="1" customFormat="1" ht="14.25" x14ac:dyDescent="0.3">
      <c r="H946" s="50"/>
      <c r="J946" s="54"/>
      <c r="L946" s="54"/>
      <c r="R946" s="45"/>
      <c r="S946" s="54"/>
      <c r="T946" s="54"/>
      <c r="U946" s="54"/>
      <c r="V946" s="44"/>
      <c r="W946" s="27"/>
      <c r="Z946" s="27"/>
      <c r="AA946" s="8"/>
      <c r="AB946" s="81" t="str">
        <f t="shared" si="333"/>
        <v/>
      </c>
      <c r="AC946" s="6" t="str">
        <f t="shared" si="334"/>
        <v/>
      </c>
      <c r="AD946" s="1" t="str">
        <f t="shared" ca="1" si="335"/>
        <v/>
      </c>
      <c r="AE946" s="75" t="str">
        <f t="shared" si="336"/>
        <v/>
      </c>
      <c r="AF946" s="75" t="str">
        <f t="shared" si="337"/>
        <v/>
      </c>
      <c r="AG946" s="4" t="str">
        <f t="shared" si="338"/>
        <v/>
      </c>
      <c r="AH946" s="4" t="str">
        <f t="shared" si="339"/>
        <v/>
      </c>
      <c r="AI946" s="4" t="str">
        <f t="shared" si="340"/>
        <v/>
      </c>
      <c r="AJ946" s="4" t="str">
        <f t="shared" si="341"/>
        <v/>
      </c>
      <c r="AK946" s="4" t="str">
        <f t="shared" si="342"/>
        <v/>
      </c>
      <c r="AL946" s="2" t="str">
        <f t="shared" si="343"/>
        <v/>
      </c>
      <c r="AM946" s="6" t="str">
        <f t="shared" si="344"/>
        <v/>
      </c>
      <c r="AN946" s="4" t="str">
        <f t="shared" si="345"/>
        <v/>
      </c>
      <c r="AO946" s="4" t="str">
        <f t="shared" si="346"/>
        <v/>
      </c>
      <c r="AP946" s="4" t="str">
        <f t="shared" si="347"/>
        <v/>
      </c>
      <c r="AQ946" s="4" t="str">
        <f t="shared" si="348"/>
        <v/>
      </c>
      <c r="AR946" s="4" t="str">
        <f t="shared" si="349"/>
        <v/>
      </c>
    </row>
    <row r="947" spans="8:44" s="1" customFormat="1" ht="14.25" x14ac:dyDescent="0.3">
      <c r="H947" s="50"/>
      <c r="J947" s="54"/>
      <c r="L947" s="54"/>
      <c r="R947" s="45"/>
      <c r="S947" s="54"/>
      <c r="T947" s="54"/>
      <c r="U947" s="54"/>
      <c r="V947" s="44"/>
      <c r="W947" s="27"/>
      <c r="Z947" s="27"/>
      <c r="AA947" s="8"/>
      <c r="AB947" s="81" t="str">
        <f t="shared" si="333"/>
        <v/>
      </c>
      <c r="AC947" s="6" t="str">
        <f t="shared" si="334"/>
        <v/>
      </c>
      <c r="AD947" s="1" t="str">
        <f t="shared" ca="1" si="335"/>
        <v/>
      </c>
      <c r="AE947" s="75" t="str">
        <f t="shared" si="336"/>
        <v/>
      </c>
      <c r="AF947" s="75" t="str">
        <f t="shared" si="337"/>
        <v/>
      </c>
      <c r="AG947" s="4" t="str">
        <f t="shared" si="338"/>
        <v/>
      </c>
      <c r="AH947" s="4" t="str">
        <f t="shared" si="339"/>
        <v/>
      </c>
      <c r="AI947" s="4" t="str">
        <f t="shared" si="340"/>
        <v/>
      </c>
      <c r="AJ947" s="4" t="str">
        <f t="shared" si="341"/>
        <v/>
      </c>
      <c r="AK947" s="4" t="str">
        <f t="shared" si="342"/>
        <v/>
      </c>
      <c r="AL947" s="2" t="str">
        <f t="shared" si="343"/>
        <v/>
      </c>
      <c r="AM947" s="6" t="str">
        <f t="shared" si="344"/>
        <v/>
      </c>
      <c r="AN947" s="4" t="str">
        <f t="shared" si="345"/>
        <v/>
      </c>
      <c r="AO947" s="4" t="str">
        <f t="shared" si="346"/>
        <v/>
      </c>
      <c r="AP947" s="4" t="str">
        <f t="shared" si="347"/>
        <v/>
      </c>
      <c r="AQ947" s="4" t="str">
        <f t="shared" si="348"/>
        <v/>
      </c>
      <c r="AR947" s="4" t="str">
        <f t="shared" si="349"/>
        <v/>
      </c>
    </row>
    <row r="948" spans="8:44" s="1" customFormat="1" ht="14.25" x14ac:dyDescent="0.3">
      <c r="H948" s="50"/>
      <c r="J948" s="54"/>
      <c r="L948" s="54"/>
      <c r="R948" s="45"/>
      <c r="S948" s="54"/>
      <c r="T948" s="54"/>
      <c r="U948" s="54"/>
      <c r="V948" s="44"/>
      <c r="W948" s="27"/>
      <c r="Z948" s="27"/>
      <c r="AA948" s="8"/>
      <c r="AB948" s="81" t="str">
        <f t="shared" si="333"/>
        <v/>
      </c>
      <c r="AC948" s="6" t="str">
        <f t="shared" si="334"/>
        <v/>
      </c>
      <c r="AD948" s="1" t="str">
        <f t="shared" ca="1" si="335"/>
        <v/>
      </c>
      <c r="AE948" s="75" t="str">
        <f t="shared" si="336"/>
        <v/>
      </c>
      <c r="AF948" s="75" t="str">
        <f t="shared" si="337"/>
        <v/>
      </c>
      <c r="AG948" s="4" t="str">
        <f t="shared" si="338"/>
        <v/>
      </c>
      <c r="AH948" s="4" t="str">
        <f t="shared" si="339"/>
        <v/>
      </c>
      <c r="AI948" s="4" t="str">
        <f t="shared" si="340"/>
        <v/>
      </c>
      <c r="AJ948" s="4" t="str">
        <f t="shared" si="341"/>
        <v/>
      </c>
      <c r="AK948" s="4" t="str">
        <f t="shared" si="342"/>
        <v/>
      </c>
      <c r="AL948" s="2" t="str">
        <f t="shared" si="343"/>
        <v/>
      </c>
      <c r="AM948" s="6" t="str">
        <f t="shared" si="344"/>
        <v/>
      </c>
      <c r="AN948" s="4" t="str">
        <f t="shared" si="345"/>
        <v/>
      </c>
      <c r="AO948" s="4" t="str">
        <f t="shared" si="346"/>
        <v/>
      </c>
      <c r="AP948" s="4" t="str">
        <f t="shared" si="347"/>
        <v/>
      </c>
      <c r="AQ948" s="4" t="str">
        <f t="shared" si="348"/>
        <v/>
      </c>
      <c r="AR948" s="4" t="str">
        <f t="shared" si="349"/>
        <v/>
      </c>
    </row>
    <row r="949" spans="8:44" s="1" customFormat="1" ht="14.25" x14ac:dyDescent="0.3">
      <c r="H949" s="50"/>
      <c r="J949" s="54"/>
      <c r="L949" s="54"/>
      <c r="R949" s="45"/>
      <c r="S949" s="54"/>
      <c r="T949" s="54"/>
      <c r="U949" s="54"/>
      <c r="V949" s="44"/>
      <c r="W949" s="27"/>
      <c r="Z949" s="27"/>
      <c r="AA949" s="8"/>
      <c r="AB949" s="81" t="str">
        <f t="shared" si="333"/>
        <v/>
      </c>
      <c r="AC949" s="6" t="str">
        <f t="shared" si="334"/>
        <v/>
      </c>
      <c r="AD949" s="1" t="str">
        <f t="shared" ca="1" si="335"/>
        <v/>
      </c>
      <c r="AE949" s="75" t="str">
        <f t="shared" si="336"/>
        <v/>
      </c>
      <c r="AF949" s="75" t="str">
        <f t="shared" si="337"/>
        <v/>
      </c>
      <c r="AG949" s="4" t="str">
        <f t="shared" si="338"/>
        <v/>
      </c>
      <c r="AH949" s="4" t="str">
        <f t="shared" si="339"/>
        <v/>
      </c>
      <c r="AI949" s="4" t="str">
        <f t="shared" si="340"/>
        <v/>
      </c>
      <c r="AJ949" s="4" t="str">
        <f t="shared" si="341"/>
        <v/>
      </c>
      <c r="AK949" s="4" t="str">
        <f t="shared" si="342"/>
        <v/>
      </c>
      <c r="AL949" s="2" t="str">
        <f t="shared" si="343"/>
        <v/>
      </c>
      <c r="AM949" s="6" t="str">
        <f t="shared" si="344"/>
        <v/>
      </c>
      <c r="AN949" s="4" t="str">
        <f t="shared" si="345"/>
        <v/>
      </c>
      <c r="AO949" s="4" t="str">
        <f t="shared" si="346"/>
        <v/>
      </c>
      <c r="AP949" s="4" t="str">
        <f t="shared" si="347"/>
        <v/>
      </c>
      <c r="AQ949" s="4" t="str">
        <f t="shared" si="348"/>
        <v/>
      </c>
      <c r="AR949" s="4" t="str">
        <f t="shared" si="349"/>
        <v/>
      </c>
    </row>
    <row r="950" spans="8:44" s="1" customFormat="1" ht="14.25" x14ac:dyDescent="0.3">
      <c r="H950" s="50"/>
      <c r="J950" s="54"/>
      <c r="L950" s="54"/>
      <c r="R950" s="45"/>
      <c r="S950" s="54"/>
      <c r="T950" s="54"/>
      <c r="U950" s="54"/>
      <c r="V950" s="44"/>
      <c r="W950" s="27"/>
      <c r="Z950" s="27"/>
      <c r="AA950" s="8"/>
      <c r="AB950" s="81" t="str">
        <f t="shared" si="333"/>
        <v/>
      </c>
      <c r="AC950" s="6" t="str">
        <f t="shared" si="334"/>
        <v/>
      </c>
      <c r="AD950" s="1" t="str">
        <f t="shared" ca="1" si="335"/>
        <v/>
      </c>
      <c r="AE950" s="75" t="str">
        <f t="shared" si="336"/>
        <v/>
      </c>
      <c r="AF950" s="75" t="str">
        <f t="shared" si="337"/>
        <v/>
      </c>
      <c r="AG950" s="4" t="str">
        <f t="shared" si="338"/>
        <v/>
      </c>
      <c r="AH950" s="4" t="str">
        <f t="shared" si="339"/>
        <v/>
      </c>
      <c r="AI950" s="4" t="str">
        <f t="shared" si="340"/>
        <v/>
      </c>
      <c r="AJ950" s="4" t="str">
        <f t="shared" si="341"/>
        <v/>
      </c>
      <c r="AK950" s="4" t="str">
        <f t="shared" si="342"/>
        <v/>
      </c>
      <c r="AL950" s="2" t="str">
        <f t="shared" si="343"/>
        <v/>
      </c>
      <c r="AM950" s="6" t="str">
        <f t="shared" si="344"/>
        <v/>
      </c>
      <c r="AN950" s="4" t="str">
        <f t="shared" si="345"/>
        <v/>
      </c>
      <c r="AO950" s="4" t="str">
        <f t="shared" si="346"/>
        <v/>
      </c>
      <c r="AP950" s="4" t="str">
        <f t="shared" si="347"/>
        <v/>
      </c>
      <c r="AQ950" s="4" t="str">
        <f t="shared" si="348"/>
        <v/>
      </c>
      <c r="AR950" s="4" t="str">
        <f t="shared" si="349"/>
        <v/>
      </c>
    </row>
    <row r="951" spans="8:44" s="1" customFormat="1" ht="14.25" x14ac:dyDescent="0.3">
      <c r="H951" s="50"/>
      <c r="J951" s="54"/>
      <c r="L951" s="54"/>
      <c r="R951" s="45"/>
      <c r="S951" s="54"/>
      <c r="T951" s="54"/>
      <c r="U951" s="54"/>
      <c r="V951" s="44"/>
      <c r="W951" s="27"/>
      <c r="Z951" s="27"/>
      <c r="AA951" s="8"/>
      <c r="AB951" s="81" t="str">
        <f t="shared" si="333"/>
        <v/>
      </c>
      <c r="AC951" s="6" t="str">
        <f t="shared" si="334"/>
        <v/>
      </c>
      <c r="AD951" s="1" t="str">
        <f t="shared" ca="1" si="335"/>
        <v/>
      </c>
      <c r="AE951" s="75" t="str">
        <f t="shared" si="336"/>
        <v/>
      </c>
      <c r="AF951" s="75" t="str">
        <f t="shared" si="337"/>
        <v/>
      </c>
      <c r="AG951" s="4" t="str">
        <f t="shared" si="338"/>
        <v/>
      </c>
      <c r="AH951" s="4" t="str">
        <f t="shared" si="339"/>
        <v/>
      </c>
      <c r="AI951" s="4" t="str">
        <f t="shared" si="340"/>
        <v/>
      </c>
      <c r="AJ951" s="4" t="str">
        <f t="shared" si="341"/>
        <v/>
      </c>
      <c r="AK951" s="4" t="str">
        <f t="shared" si="342"/>
        <v/>
      </c>
      <c r="AL951" s="2" t="str">
        <f t="shared" si="343"/>
        <v/>
      </c>
      <c r="AM951" s="6" t="str">
        <f t="shared" si="344"/>
        <v/>
      </c>
      <c r="AN951" s="4" t="str">
        <f t="shared" si="345"/>
        <v/>
      </c>
      <c r="AO951" s="4" t="str">
        <f t="shared" si="346"/>
        <v/>
      </c>
      <c r="AP951" s="4" t="str">
        <f t="shared" si="347"/>
        <v/>
      </c>
      <c r="AQ951" s="4" t="str">
        <f t="shared" si="348"/>
        <v/>
      </c>
      <c r="AR951" s="4" t="str">
        <f t="shared" si="349"/>
        <v/>
      </c>
    </row>
    <row r="952" spans="8:44" s="1" customFormat="1" ht="14.25" x14ac:dyDescent="0.3">
      <c r="H952" s="50"/>
      <c r="J952" s="54"/>
      <c r="L952" s="54"/>
      <c r="R952" s="45"/>
      <c r="S952" s="54"/>
      <c r="T952" s="54"/>
      <c r="U952" s="54"/>
      <c r="V952" s="44"/>
      <c r="W952" s="27"/>
      <c r="Z952" s="27"/>
      <c r="AA952" s="8"/>
      <c r="AB952" s="81" t="str">
        <f t="shared" si="333"/>
        <v/>
      </c>
      <c r="AC952" s="6" t="str">
        <f t="shared" si="334"/>
        <v/>
      </c>
      <c r="AD952" s="1" t="str">
        <f t="shared" ca="1" si="335"/>
        <v/>
      </c>
      <c r="AE952" s="75" t="str">
        <f t="shared" si="336"/>
        <v/>
      </c>
      <c r="AF952" s="75" t="str">
        <f t="shared" si="337"/>
        <v/>
      </c>
      <c r="AG952" s="4" t="str">
        <f t="shared" si="338"/>
        <v/>
      </c>
      <c r="AH952" s="4" t="str">
        <f t="shared" si="339"/>
        <v/>
      </c>
      <c r="AI952" s="4" t="str">
        <f t="shared" si="340"/>
        <v/>
      </c>
      <c r="AJ952" s="4" t="str">
        <f t="shared" si="341"/>
        <v/>
      </c>
      <c r="AK952" s="4" t="str">
        <f t="shared" si="342"/>
        <v/>
      </c>
      <c r="AL952" s="2" t="str">
        <f t="shared" si="343"/>
        <v/>
      </c>
      <c r="AM952" s="6" t="str">
        <f t="shared" si="344"/>
        <v/>
      </c>
      <c r="AN952" s="4" t="str">
        <f t="shared" si="345"/>
        <v/>
      </c>
      <c r="AO952" s="4" t="str">
        <f t="shared" si="346"/>
        <v/>
      </c>
      <c r="AP952" s="4" t="str">
        <f t="shared" si="347"/>
        <v/>
      </c>
      <c r="AQ952" s="4" t="str">
        <f t="shared" si="348"/>
        <v/>
      </c>
      <c r="AR952" s="4" t="str">
        <f t="shared" si="349"/>
        <v/>
      </c>
    </row>
    <row r="953" spans="8:44" s="1" customFormat="1" ht="14.25" x14ac:dyDescent="0.3">
      <c r="H953" s="50"/>
      <c r="J953" s="54"/>
      <c r="L953" s="54"/>
      <c r="R953" s="45"/>
      <c r="S953" s="54"/>
      <c r="T953" s="54"/>
      <c r="U953" s="54"/>
      <c r="V953" s="44"/>
      <c r="W953" s="27"/>
      <c r="Z953" s="27"/>
      <c r="AA953" s="8"/>
      <c r="AB953" s="81" t="str">
        <f t="shared" si="333"/>
        <v/>
      </c>
      <c r="AC953" s="6" t="str">
        <f t="shared" si="334"/>
        <v/>
      </c>
      <c r="AD953" s="1" t="str">
        <f t="shared" ca="1" si="335"/>
        <v/>
      </c>
      <c r="AE953" s="75" t="str">
        <f t="shared" si="336"/>
        <v/>
      </c>
      <c r="AF953" s="75" t="str">
        <f t="shared" si="337"/>
        <v/>
      </c>
      <c r="AG953" s="4" t="str">
        <f t="shared" si="338"/>
        <v/>
      </c>
      <c r="AH953" s="4" t="str">
        <f t="shared" si="339"/>
        <v/>
      </c>
      <c r="AI953" s="4" t="str">
        <f t="shared" si="340"/>
        <v/>
      </c>
      <c r="AJ953" s="4" t="str">
        <f t="shared" si="341"/>
        <v/>
      </c>
      <c r="AK953" s="4" t="str">
        <f t="shared" si="342"/>
        <v/>
      </c>
      <c r="AL953" s="2" t="str">
        <f t="shared" si="343"/>
        <v/>
      </c>
      <c r="AM953" s="6" t="str">
        <f t="shared" si="344"/>
        <v/>
      </c>
      <c r="AN953" s="4" t="str">
        <f t="shared" si="345"/>
        <v/>
      </c>
      <c r="AO953" s="4" t="str">
        <f t="shared" si="346"/>
        <v/>
      </c>
      <c r="AP953" s="4" t="str">
        <f t="shared" si="347"/>
        <v/>
      </c>
      <c r="AQ953" s="4" t="str">
        <f t="shared" si="348"/>
        <v/>
      </c>
      <c r="AR953" s="4" t="str">
        <f t="shared" si="349"/>
        <v/>
      </c>
    </row>
    <row r="954" spans="8:44" s="1" customFormat="1" ht="14.25" x14ac:dyDescent="0.3">
      <c r="H954" s="50"/>
      <c r="J954" s="54"/>
      <c r="L954" s="54"/>
      <c r="R954" s="45"/>
      <c r="S954" s="54"/>
      <c r="T954" s="54"/>
      <c r="U954" s="54"/>
      <c r="V954" s="44"/>
      <c r="W954" s="27"/>
      <c r="Z954" s="27"/>
      <c r="AA954" s="8"/>
      <c r="AB954" s="81" t="str">
        <f t="shared" si="333"/>
        <v/>
      </c>
      <c r="AC954" s="6" t="str">
        <f t="shared" si="334"/>
        <v/>
      </c>
      <c r="AD954" s="1" t="str">
        <f t="shared" ca="1" si="335"/>
        <v/>
      </c>
      <c r="AE954" s="75" t="str">
        <f t="shared" si="336"/>
        <v/>
      </c>
      <c r="AF954" s="75" t="str">
        <f t="shared" si="337"/>
        <v/>
      </c>
      <c r="AG954" s="4" t="str">
        <f t="shared" si="338"/>
        <v/>
      </c>
      <c r="AH954" s="4" t="str">
        <f t="shared" si="339"/>
        <v/>
      </c>
      <c r="AI954" s="4" t="str">
        <f t="shared" si="340"/>
        <v/>
      </c>
      <c r="AJ954" s="4" t="str">
        <f t="shared" si="341"/>
        <v/>
      </c>
      <c r="AK954" s="4" t="str">
        <f t="shared" si="342"/>
        <v/>
      </c>
      <c r="AL954" s="2" t="str">
        <f t="shared" si="343"/>
        <v/>
      </c>
      <c r="AM954" s="6" t="str">
        <f t="shared" si="344"/>
        <v/>
      </c>
      <c r="AN954" s="4" t="str">
        <f t="shared" si="345"/>
        <v/>
      </c>
      <c r="AO954" s="4" t="str">
        <f t="shared" si="346"/>
        <v/>
      </c>
      <c r="AP954" s="4" t="str">
        <f t="shared" si="347"/>
        <v/>
      </c>
      <c r="AQ954" s="4" t="str">
        <f t="shared" si="348"/>
        <v/>
      </c>
      <c r="AR954" s="4" t="str">
        <f t="shared" si="349"/>
        <v/>
      </c>
    </row>
    <row r="955" spans="8:44" s="1" customFormat="1" ht="14.25" x14ac:dyDescent="0.3">
      <c r="H955" s="50"/>
      <c r="J955" s="54"/>
      <c r="L955" s="54"/>
      <c r="R955" s="45"/>
      <c r="S955" s="54"/>
      <c r="T955" s="54"/>
      <c r="U955" s="54"/>
      <c r="V955" s="44"/>
      <c r="W955" s="27"/>
      <c r="Z955" s="27"/>
      <c r="AA955" s="8"/>
      <c r="AB955" s="81" t="str">
        <f t="shared" si="333"/>
        <v/>
      </c>
      <c r="AC955" s="6" t="str">
        <f t="shared" si="334"/>
        <v/>
      </c>
      <c r="AD955" s="1" t="str">
        <f t="shared" ca="1" si="335"/>
        <v/>
      </c>
      <c r="AE955" s="75" t="str">
        <f t="shared" si="336"/>
        <v/>
      </c>
      <c r="AF955" s="75" t="str">
        <f t="shared" si="337"/>
        <v/>
      </c>
      <c r="AG955" s="4" t="str">
        <f t="shared" si="338"/>
        <v/>
      </c>
      <c r="AH955" s="4" t="str">
        <f t="shared" si="339"/>
        <v/>
      </c>
      <c r="AI955" s="4" t="str">
        <f t="shared" si="340"/>
        <v/>
      </c>
      <c r="AJ955" s="4" t="str">
        <f t="shared" si="341"/>
        <v/>
      </c>
      <c r="AK955" s="4" t="str">
        <f t="shared" si="342"/>
        <v/>
      </c>
      <c r="AL955" s="2" t="str">
        <f t="shared" si="343"/>
        <v/>
      </c>
      <c r="AM955" s="6" t="str">
        <f t="shared" si="344"/>
        <v/>
      </c>
      <c r="AN955" s="4" t="str">
        <f t="shared" si="345"/>
        <v/>
      </c>
      <c r="AO955" s="4" t="str">
        <f t="shared" si="346"/>
        <v/>
      </c>
      <c r="AP955" s="4" t="str">
        <f t="shared" si="347"/>
        <v/>
      </c>
      <c r="AQ955" s="4" t="str">
        <f t="shared" si="348"/>
        <v/>
      </c>
      <c r="AR955" s="4" t="str">
        <f t="shared" si="349"/>
        <v/>
      </c>
    </row>
    <row r="956" spans="8:44" s="1" customFormat="1" ht="14.25" x14ac:dyDescent="0.3">
      <c r="H956" s="50"/>
      <c r="J956" s="54"/>
      <c r="L956" s="54"/>
      <c r="R956" s="45"/>
      <c r="S956" s="54"/>
      <c r="T956" s="54"/>
      <c r="U956" s="54"/>
      <c r="V956" s="44"/>
      <c r="W956" s="27"/>
      <c r="Z956" s="27"/>
      <c r="AA956" s="8"/>
      <c r="AB956" s="81" t="str">
        <f t="shared" si="333"/>
        <v/>
      </c>
      <c r="AC956" s="6" t="str">
        <f t="shared" si="334"/>
        <v/>
      </c>
      <c r="AD956" s="1" t="str">
        <f t="shared" ca="1" si="335"/>
        <v/>
      </c>
      <c r="AE956" s="75" t="str">
        <f t="shared" si="336"/>
        <v/>
      </c>
      <c r="AF956" s="75" t="str">
        <f t="shared" si="337"/>
        <v/>
      </c>
      <c r="AG956" s="4" t="str">
        <f t="shared" si="338"/>
        <v/>
      </c>
      <c r="AH956" s="4" t="str">
        <f t="shared" si="339"/>
        <v/>
      </c>
      <c r="AI956" s="4" t="str">
        <f t="shared" si="340"/>
        <v/>
      </c>
      <c r="AJ956" s="4" t="str">
        <f t="shared" si="341"/>
        <v/>
      </c>
      <c r="AK956" s="4" t="str">
        <f t="shared" si="342"/>
        <v/>
      </c>
      <c r="AL956" s="2" t="str">
        <f t="shared" si="343"/>
        <v/>
      </c>
      <c r="AM956" s="6" t="str">
        <f t="shared" si="344"/>
        <v/>
      </c>
      <c r="AN956" s="4" t="str">
        <f t="shared" si="345"/>
        <v/>
      </c>
      <c r="AO956" s="4" t="str">
        <f t="shared" si="346"/>
        <v/>
      </c>
      <c r="AP956" s="4" t="str">
        <f t="shared" si="347"/>
        <v/>
      </c>
      <c r="AQ956" s="4" t="str">
        <f t="shared" si="348"/>
        <v/>
      </c>
      <c r="AR956" s="4" t="str">
        <f t="shared" si="349"/>
        <v/>
      </c>
    </row>
    <row r="957" spans="8:44" s="1" customFormat="1" ht="14.25" x14ac:dyDescent="0.3">
      <c r="H957" s="50"/>
      <c r="J957" s="54"/>
      <c r="L957" s="54"/>
      <c r="R957" s="45"/>
      <c r="S957" s="54"/>
      <c r="T957" s="54"/>
      <c r="U957" s="54"/>
      <c r="V957" s="44"/>
      <c r="W957" s="27"/>
      <c r="Z957" s="27"/>
      <c r="AA957" s="8"/>
      <c r="AB957" s="81" t="str">
        <f t="shared" ref="AB957:AB1020" si="350">IF(X957="","",(AH957-AG957)/AG957)</f>
        <v/>
      </c>
      <c r="AC957" s="6" t="str">
        <f t="shared" ref="AC957:AC1020" si="351">IF(X957="","",AH957-AG957)</f>
        <v/>
      </c>
      <c r="AD957" s="1" t="str">
        <f t="shared" ref="AD957:AD1020" ca="1" si="352">IF(X957="","",IF(W957="","",IF(Z957="",TODAY()-W957,Z957-W957)))</f>
        <v/>
      </c>
      <c r="AE957" s="75" t="str">
        <f t="shared" ref="AE957:AE1020" si="353">IF(X957="","",IF(AE956="",IF(AM957="","",AM957),IF(AM957="",AE956,AE956+AM957)))</f>
        <v/>
      </c>
      <c r="AF957" s="75" t="str">
        <f t="shared" ref="AF957:AF1020" si="354">IF(X957="","",IF(AF956="",IF(AN957="","",AN957),IF(AN957="",AF956,AF956+AN957)))</f>
        <v/>
      </c>
      <c r="AG957" s="4" t="str">
        <f t="shared" ref="AG957:AG1020" si="355">IF(X957="","",X957*Y957*100+AO957+AP957)</f>
        <v/>
      </c>
      <c r="AH957" s="4" t="str">
        <f t="shared" ref="AH957:AH1020" si="356">IF(X957="","",IF(AA957="",C957*Y957*100-AO957-AQ957-AR957,AA957*Y957*100-AO957-AQ957-AR957))</f>
        <v/>
      </c>
      <c r="AI957" s="4" t="str">
        <f t="shared" ref="AI957:AI1020" si="357">IF(X957="","",AI956+AC957)</f>
        <v/>
      </c>
      <c r="AJ957" s="4" t="str">
        <f t="shared" ref="AJ957:AJ1020" si="358">IF(X957="","",AO957+AP957+AO957+AQ957+AR957)</f>
        <v/>
      </c>
      <c r="AK957" s="4" t="str">
        <f t="shared" ref="AK957:AK1020" si="359">IF(X957="","",AK956+AJ957)</f>
        <v/>
      </c>
      <c r="AL957" s="2" t="str">
        <f t="shared" ref="AL957:AL1020" si="360">IF(X957="","",0.18%)</f>
        <v/>
      </c>
      <c r="AM957" s="6" t="str">
        <f t="shared" ref="AM957:AM1020" si="361">IF(X957="","",IF(Z957="",AC957,""))</f>
        <v/>
      </c>
      <c r="AN957" s="4" t="str">
        <f t="shared" ref="AN957:AN1020" si="362">IF(X957="","",IF(Z957="",AH957,""))</f>
        <v/>
      </c>
      <c r="AO957" s="4" t="str">
        <f t="shared" ref="AO957:AO1020" si="363">IF(X957="","",IF(LEFT(A957,2)="sh",IF(Y957*100/1000&lt;=1,1,Y957*100/1000),0))</f>
        <v/>
      </c>
      <c r="AP957" s="4" t="str">
        <f t="shared" ref="AP957:AP1020" si="364">IF(X957="","",IF(X957*Y957*100*AL957&lt;=5,5,X957*Y957*100*AL957))</f>
        <v/>
      </c>
      <c r="AQ957" s="4" t="str">
        <f t="shared" ref="AQ957:AQ1020" si="365">IF(X957="","",IF(AA957="",IF(C957*Y957*100*AL957&lt;=5,5,C957*Y957*100*AL957),IF(AA957*Y957*100*AL957&lt;=5,5,AA957*Y957*100*AL957)))</f>
        <v/>
      </c>
      <c r="AR957" s="4" t="str">
        <f t="shared" ref="AR957:AR1020" si="366">IF(X957="","",IF(AA957="",C957*Y957*100*0.001,AA957*Y957*100*0.001))</f>
        <v/>
      </c>
    </row>
    <row r="958" spans="8:44" s="1" customFormat="1" ht="14.25" x14ac:dyDescent="0.3">
      <c r="H958" s="50"/>
      <c r="J958" s="54"/>
      <c r="L958" s="54"/>
      <c r="R958" s="45"/>
      <c r="S958" s="54"/>
      <c r="T958" s="54"/>
      <c r="U958" s="54"/>
      <c r="V958" s="44"/>
      <c r="W958" s="27"/>
      <c r="Z958" s="27"/>
      <c r="AA958" s="8"/>
      <c r="AB958" s="81" t="str">
        <f t="shared" si="350"/>
        <v/>
      </c>
      <c r="AC958" s="6" t="str">
        <f t="shared" si="351"/>
        <v/>
      </c>
      <c r="AD958" s="1" t="str">
        <f t="shared" ca="1" si="352"/>
        <v/>
      </c>
      <c r="AE958" s="75" t="str">
        <f t="shared" si="353"/>
        <v/>
      </c>
      <c r="AF958" s="75" t="str">
        <f t="shared" si="354"/>
        <v/>
      </c>
      <c r="AG958" s="4" t="str">
        <f t="shared" si="355"/>
        <v/>
      </c>
      <c r="AH958" s="4" t="str">
        <f t="shared" si="356"/>
        <v/>
      </c>
      <c r="AI958" s="4" t="str">
        <f t="shared" si="357"/>
        <v/>
      </c>
      <c r="AJ958" s="4" t="str">
        <f t="shared" si="358"/>
        <v/>
      </c>
      <c r="AK958" s="4" t="str">
        <f t="shared" si="359"/>
        <v/>
      </c>
      <c r="AL958" s="2" t="str">
        <f t="shared" si="360"/>
        <v/>
      </c>
      <c r="AM958" s="6" t="str">
        <f t="shared" si="361"/>
        <v/>
      </c>
      <c r="AN958" s="4" t="str">
        <f t="shared" si="362"/>
        <v/>
      </c>
      <c r="AO958" s="4" t="str">
        <f t="shared" si="363"/>
        <v/>
      </c>
      <c r="AP958" s="4" t="str">
        <f t="shared" si="364"/>
        <v/>
      </c>
      <c r="AQ958" s="4" t="str">
        <f t="shared" si="365"/>
        <v/>
      </c>
      <c r="AR958" s="4" t="str">
        <f t="shared" si="366"/>
        <v/>
      </c>
    </row>
    <row r="959" spans="8:44" s="1" customFormat="1" ht="14.25" x14ac:dyDescent="0.3">
      <c r="H959" s="50"/>
      <c r="J959" s="54"/>
      <c r="L959" s="54"/>
      <c r="R959" s="45"/>
      <c r="S959" s="54"/>
      <c r="T959" s="54"/>
      <c r="U959" s="54"/>
      <c r="V959" s="44"/>
      <c r="W959" s="27"/>
      <c r="Z959" s="27"/>
      <c r="AA959" s="8"/>
      <c r="AB959" s="81" t="str">
        <f t="shared" si="350"/>
        <v/>
      </c>
      <c r="AC959" s="6" t="str">
        <f t="shared" si="351"/>
        <v/>
      </c>
      <c r="AD959" s="1" t="str">
        <f t="shared" ca="1" si="352"/>
        <v/>
      </c>
      <c r="AE959" s="75" t="str">
        <f t="shared" si="353"/>
        <v/>
      </c>
      <c r="AF959" s="75" t="str">
        <f t="shared" si="354"/>
        <v/>
      </c>
      <c r="AG959" s="4" t="str">
        <f t="shared" si="355"/>
        <v/>
      </c>
      <c r="AH959" s="4" t="str">
        <f t="shared" si="356"/>
        <v/>
      </c>
      <c r="AI959" s="4" t="str">
        <f t="shared" si="357"/>
        <v/>
      </c>
      <c r="AJ959" s="4" t="str">
        <f t="shared" si="358"/>
        <v/>
      </c>
      <c r="AK959" s="4" t="str">
        <f t="shared" si="359"/>
        <v/>
      </c>
      <c r="AL959" s="2" t="str">
        <f t="shared" si="360"/>
        <v/>
      </c>
      <c r="AM959" s="6" t="str">
        <f t="shared" si="361"/>
        <v/>
      </c>
      <c r="AN959" s="4" t="str">
        <f t="shared" si="362"/>
        <v/>
      </c>
      <c r="AO959" s="4" t="str">
        <f t="shared" si="363"/>
        <v/>
      </c>
      <c r="AP959" s="4" t="str">
        <f t="shared" si="364"/>
        <v/>
      </c>
      <c r="AQ959" s="4" t="str">
        <f t="shared" si="365"/>
        <v/>
      </c>
      <c r="AR959" s="4" t="str">
        <f t="shared" si="366"/>
        <v/>
      </c>
    </row>
    <row r="960" spans="8:44" s="1" customFormat="1" ht="14.25" x14ac:dyDescent="0.3">
      <c r="H960" s="50"/>
      <c r="J960" s="54"/>
      <c r="L960" s="54"/>
      <c r="R960" s="45"/>
      <c r="S960" s="54"/>
      <c r="T960" s="54"/>
      <c r="U960" s="54"/>
      <c r="V960" s="44"/>
      <c r="W960" s="27"/>
      <c r="Z960" s="27"/>
      <c r="AA960" s="8"/>
      <c r="AB960" s="81" t="str">
        <f t="shared" si="350"/>
        <v/>
      </c>
      <c r="AC960" s="6" t="str">
        <f t="shared" si="351"/>
        <v/>
      </c>
      <c r="AD960" s="1" t="str">
        <f t="shared" ca="1" si="352"/>
        <v/>
      </c>
      <c r="AE960" s="75" t="str">
        <f t="shared" si="353"/>
        <v/>
      </c>
      <c r="AF960" s="75" t="str">
        <f t="shared" si="354"/>
        <v/>
      </c>
      <c r="AG960" s="4" t="str">
        <f t="shared" si="355"/>
        <v/>
      </c>
      <c r="AH960" s="4" t="str">
        <f t="shared" si="356"/>
        <v/>
      </c>
      <c r="AI960" s="4" t="str">
        <f t="shared" si="357"/>
        <v/>
      </c>
      <c r="AJ960" s="4" t="str">
        <f t="shared" si="358"/>
        <v/>
      </c>
      <c r="AK960" s="4" t="str">
        <f t="shared" si="359"/>
        <v/>
      </c>
      <c r="AL960" s="2" t="str">
        <f t="shared" si="360"/>
        <v/>
      </c>
      <c r="AM960" s="6" t="str">
        <f t="shared" si="361"/>
        <v/>
      </c>
      <c r="AN960" s="4" t="str">
        <f t="shared" si="362"/>
        <v/>
      </c>
      <c r="AO960" s="4" t="str">
        <f t="shared" si="363"/>
        <v/>
      </c>
      <c r="AP960" s="4" t="str">
        <f t="shared" si="364"/>
        <v/>
      </c>
      <c r="AQ960" s="4" t="str">
        <f t="shared" si="365"/>
        <v/>
      </c>
      <c r="AR960" s="4" t="str">
        <f t="shared" si="366"/>
        <v/>
      </c>
    </row>
    <row r="961" spans="8:44" s="1" customFormat="1" ht="14.25" x14ac:dyDescent="0.3">
      <c r="H961" s="50"/>
      <c r="J961" s="54"/>
      <c r="L961" s="54"/>
      <c r="R961" s="45"/>
      <c r="S961" s="54"/>
      <c r="T961" s="54"/>
      <c r="U961" s="54"/>
      <c r="V961" s="44"/>
      <c r="W961" s="27"/>
      <c r="Z961" s="27"/>
      <c r="AA961" s="8"/>
      <c r="AB961" s="81" t="str">
        <f t="shared" si="350"/>
        <v/>
      </c>
      <c r="AC961" s="6" t="str">
        <f t="shared" si="351"/>
        <v/>
      </c>
      <c r="AD961" s="1" t="str">
        <f t="shared" ca="1" si="352"/>
        <v/>
      </c>
      <c r="AE961" s="75" t="str">
        <f t="shared" si="353"/>
        <v/>
      </c>
      <c r="AF961" s="75" t="str">
        <f t="shared" si="354"/>
        <v/>
      </c>
      <c r="AG961" s="4" t="str">
        <f t="shared" si="355"/>
        <v/>
      </c>
      <c r="AH961" s="4" t="str">
        <f t="shared" si="356"/>
        <v/>
      </c>
      <c r="AI961" s="4" t="str">
        <f t="shared" si="357"/>
        <v/>
      </c>
      <c r="AJ961" s="4" t="str">
        <f t="shared" si="358"/>
        <v/>
      </c>
      <c r="AK961" s="4" t="str">
        <f t="shared" si="359"/>
        <v/>
      </c>
      <c r="AL961" s="2" t="str">
        <f t="shared" si="360"/>
        <v/>
      </c>
      <c r="AM961" s="6" t="str">
        <f t="shared" si="361"/>
        <v/>
      </c>
      <c r="AN961" s="4" t="str">
        <f t="shared" si="362"/>
        <v/>
      </c>
      <c r="AO961" s="4" t="str">
        <f t="shared" si="363"/>
        <v/>
      </c>
      <c r="AP961" s="4" t="str">
        <f t="shared" si="364"/>
        <v/>
      </c>
      <c r="AQ961" s="4" t="str">
        <f t="shared" si="365"/>
        <v/>
      </c>
      <c r="AR961" s="4" t="str">
        <f t="shared" si="366"/>
        <v/>
      </c>
    </row>
    <row r="962" spans="8:44" s="1" customFormat="1" ht="14.25" x14ac:dyDescent="0.3">
      <c r="H962" s="50"/>
      <c r="J962" s="54"/>
      <c r="L962" s="54"/>
      <c r="R962" s="45"/>
      <c r="S962" s="54"/>
      <c r="T962" s="54"/>
      <c r="U962" s="54"/>
      <c r="V962" s="44"/>
      <c r="W962" s="27"/>
      <c r="Z962" s="27"/>
      <c r="AA962" s="8"/>
      <c r="AB962" s="81" t="str">
        <f t="shared" si="350"/>
        <v/>
      </c>
      <c r="AC962" s="6" t="str">
        <f t="shared" si="351"/>
        <v/>
      </c>
      <c r="AD962" s="1" t="str">
        <f t="shared" ca="1" si="352"/>
        <v/>
      </c>
      <c r="AE962" s="75" t="str">
        <f t="shared" si="353"/>
        <v/>
      </c>
      <c r="AF962" s="75" t="str">
        <f t="shared" si="354"/>
        <v/>
      </c>
      <c r="AG962" s="4" t="str">
        <f t="shared" si="355"/>
        <v/>
      </c>
      <c r="AH962" s="4" t="str">
        <f t="shared" si="356"/>
        <v/>
      </c>
      <c r="AI962" s="4" t="str">
        <f t="shared" si="357"/>
        <v/>
      </c>
      <c r="AJ962" s="4" t="str">
        <f t="shared" si="358"/>
        <v/>
      </c>
      <c r="AK962" s="4" t="str">
        <f t="shared" si="359"/>
        <v/>
      </c>
      <c r="AL962" s="2" t="str">
        <f t="shared" si="360"/>
        <v/>
      </c>
      <c r="AM962" s="6" t="str">
        <f t="shared" si="361"/>
        <v/>
      </c>
      <c r="AN962" s="4" t="str">
        <f t="shared" si="362"/>
        <v/>
      </c>
      <c r="AO962" s="4" t="str">
        <f t="shared" si="363"/>
        <v/>
      </c>
      <c r="AP962" s="4" t="str">
        <f t="shared" si="364"/>
        <v/>
      </c>
      <c r="AQ962" s="4" t="str">
        <f t="shared" si="365"/>
        <v/>
      </c>
      <c r="AR962" s="4" t="str">
        <f t="shared" si="366"/>
        <v/>
      </c>
    </row>
    <row r="963" spans="8:44" s="1" customFormat="1" ht="14.25" x14ac:dyDescent="0.3">
      <c r="H963" s="50"/>
      <c r="J963" s="54"/>
      <c r="L963" s="54"/>
      <c r="R963" s="45"/>
      <c r="S963" s="54"/>
      <c r="T963" s="54"/>
      <c r="U963" s="54"/>
      <c r="V963" s="44"/>
      <c r="W963" s="27"/>
      <c r="Z963" s="27"/>
      <c r="AA963" s="8"/>
      <c r="AB963" s="81" t="str">
        <f t="shared" si="350"/>
        <v/>
      </c>
      <c r="AC963" s="6" t="str">
        <f t="shared" si="351"/>
        <v/>
      </c>
      <c r="AD963" s="1" t="str">
        <f t="shared" ca="1" si="352"/>
        <v/>
      </c>
      <c r="AE963" s="75" t="str">
        <f t="shared" si="353"/>
        <v/>
      </c>
      <c r="AF963" s="75" t="str">
        <f t="shared" si="354"/>
        <v/>
      </c>
      <c r="AG963" s="4" t="str">
        <f t="shared" si="355"/>
        <v/>
      </c>
      <c r="AH963" s="4" t="str">
        <f t="shared" si="356"/>
        <v/>
      </c>
      <c r="AI963" s="4" t="str">
        <f t="shared" si="357"/>
        <v/>
      </c>
      <c r="AJ963" s="4" t="str">
        <f t="shared" si="358"/>
        <v/>
      </c>
      <c r="AK963" s="4" t="str">
        <f t="shared" si="359"/>
        <v/>
      </c>
      <c r="AL963" s="2" t="str">
        <f t="shared" si="360"/>
        <v/>
      </c>
      <c r="AM963" s="6" t="str">
        <f t="shared" si="361"/>
        <v/>
      </c>
      <c r="AN963" s="4" t="str">
        <f t="shared" si="362"/>
        <v/>
      </c>
      <c r="AO963" s="4" t="str">
        <f t="shared" si="363"/>
        <v/>
      </c>
      <c r="AP963" s="4" t="str">
        <f t="shared" si="364"/>
        <v/>
      </c>
      <c r="AQ963" s="4" t="str">
        <f t="shared" si="365"/>
        <v/>
      </c>
      <c r="AR963" s="4" t="str">
        <f t="shared" si="366"/>
        <v/>
      </c>
    </row>
    <row r="964" spans="8:44" s="1" customFormat="1" ht="14.25" x14ac:dyDescent="0.3">
      <c r="H964" s="50"/>
      <c r="J964" s="54"/>
      <c r="L964" s="54"/>
      <c r="R964" s="45"/>
      <c r="S964" s="54"/>
      <c r="T964" s="54"/>
      <c r="U964" s="54"/>
      <c r="V964" s="44"/>
      <c r="W964" s="27"/>
      <c r="Z964" s="27"/>
      <c r="AA964" s="8"/>
      <c r="AB964" s="81" t="str">
        <f t="shared" si="350"/>
        <v/>
      </c>
      <c r="AC964" s="6" t="str">
        <f t="shared" si="351"/>
        <v/>
      </c>
      <c r="AD964" s="1" t="str">
        <f t="shared" ca="1" si="352"/>
        <v/>
      </c>
      <c r="AE964" s="75" t="str">
        <f t="shared" si="353"/>
        <v/>
      </c>
      <c r="AF964" s="75" t="str">
        <f t="shared" si="354"/>
        <v/>
      </c>
      <c r="AG964" s="4" t="str">
        <f t="shared" si="355"/>
        <v/>
      </c>
      <c r="AH964" s="4" t="str">
        <f t="shared" si="356"/>
        <v/>
      </c>
      <c r="AI964" s="4" t="str">
        <f t="shared" si="357"/>
        <v/>
      </c>
      <c r="AJ964" s="4" t="str">
        <f t="shared" si="358"/>
        <v/>
      </c>
      <c r="AK964" s="4" t="str">
        <f t="shared" si="359"/>
        <v/>
      </c>
      <c r="AL964" s="2" t="str">
        <f t="shared" si="360"/>
        <v/>
      </c>
      <c r="AM964" s="6" t="str">
        <f t="shared" si="361"/>
        <v/>
      </c>
      <c r="AN964" s="4" t="str">
        <f t="shared" si="362"/>
        <v/>
      </c>
      <c r="AO964" s="4" t="str">
        <f t="shared" si="363"/>
        <v/>
      </c>
      <c r="AP964" s="4" t="str">
        <f t="shared" si="364"/>
        <v/>
      </c>
      <c r="AQ964" s="4" t="str">
        <f t="shared" si="365"/>
        <v/>
      </c>
      <c r="AR964" s="4" t="str">
        <f t="shared" si="366"/>
        <v/>
      </c>
    </row>
    <row r="965" spans="8:44" s="1" customFormat="1" ht="14.25" x14ac:dyDescent="0.3">
      <c r="H965" s="50"/>
      <c r="J965" s="54"/>
      <c r="L965" s="54"/>
      <c r="R965" s="45"/>
      <c r="S965" s="54"/>
      <c r="T965" s="54"/>
      <c r="U965" s="54"/>
      <c r="V965" s="44"/>
      <c r="W965" s="27"/>
      <c r="Z965" s="27"/>
      <c r="AA965" s="8"/>
      <c r="AB965" s="81" t="str">
        <f t="shared" si="350"/>
        <v/>
      </c>
      <c r="AC965" s="6" t="str">
        <f t="shared" si="351"/>
        <v/>
      </c>
      <c r="AD965" s="1" t="str">
        <f t="shared" ca="1" si="352"/>
        <v/>
      </c>
      <c r="AE965" s="75" t="str">
        <f t="shared" si="353"/>
        <v/>
      </c>
      <c r="AF965" s="75" t="str">
        <f t="shared" si="354"/>
        <v/>
      </c>
      <c r="AG965" s="4" t="str">
        <f t="shared" si="355"/>
        <v/>
      </c>
      <c r="AH965" s="4" t="str">
        <f t="shared" si="356"/>
        <v/>
      </c>
      <c r="AI965" s="4" t="str">
        <f t="shared" si="357"/>
        <v/>
      </c>
      <c r="AJ965" s="4" t="str">
        <f t="shared" si="358"/>
        <v/>
      </c>
      <c r="AK965" s="4" t="str">
        <f t="shared" si="359"/>
        <v/>
      </c>
      <c r="AL965" s="2" t="str">
        <f t="shared" si="360"/>
        <v/>
      </c>
      <c r="AM965" s="6" t="str">
        <f t="shared" si="361"/>
        <v/>
      </c>
      <c r="AN965" s="4" t="str">
        <f t="shared" si="362"/>
        <v/>
      </c>
      <c r="AO965" s="4" t="str">
        <f t="shared" si="363"/>
        <v/>
      </c>
      <c r="AP965" s="4" t="str">
        <f t="shared" si="364"/>
        <v/>
      </c>
      <c r="AQ965" s="4" t="str">
        <f t="shared" si="365"/>
        <v/>
      </c>
      <c r="AR965" s="4" t="str">
        <f t="shared" si="366"/>
        <v/>
      </c>
    </row>
    <row r="966" spans="8:44" s="1" customFormat="1" ht="14.25" x14ac:dyDescent="0.3">
      <c r="H966" s="50"/>
      <c r="J966" s="54"/>
      <c r="L966" s="54"/>
      <c r="R966" s="45"/>
      <c r="S966" s="54"/>
      <c r="T966" s="54"/>
      <c r="U966" s="54"/>
      <c r="V966" s="44"/>
      <c r="W966" s="27"/>
      <c r="Z966" s="27"/>
      <c r="AA966" s="8"/>
      <c r="AB966" s="81" t="str">
        <f t="shared" si="350"/>
        <v/>
      </c>
      <c r="AC966" s="6" t="str">
        <f t="shared" si="351"/>
        <v/>
      </c>
      <c r="AD966" s="1" t="str">
        <f t="shared" ca="1" si="352"/>
        <v/>
      </c>
      <c r="AE966" s="75" t="str">
        <f t="shared" si="353"/>
        <v/>
      </c>
      <c r="AF966" s="75" t="str">
        <f t="shared" si="354"/>
        <v/>
      </c>
      <c r="AG966" s="4" t="str">
        <f t="shared" si="355"/>
        <v/>
      </c>
      <c r="AH966" s="4" t="str">
        <f t="shared" si="356"/>
        <v/>
      </c>
      <c r="AI966" s="4" t="str">
        <f t="shared" si="357"/>
        <v/>
      </c>
      <c r="AJ966" s="4" t="str">
        <f t="shared" si="358"/>
        <v/>
      </c>
      <c r="AK966" s="4" t="str">
        <f t="shared" si="359"/>
        <v/>
      </c>
      <c r="AL966" s="2" t="str">
        <f t="shared" si="360"/>
        <v/>
      </c>
      <c r="AM966" s="6" t="str">
        <f t="shared" si="361"/>
        <v/>
      </c>
      <c r="AN966" s="4" t="str">
        <f t="shared" si="362"/>
        <v/>
      </c>
      <c r="AO966" s="4" t="str">
        <f t="shared" si="363"/>
        <v/>
      </c>
      <c r="AP966" s="4" t="str">
        <f t="shared" si="364"/>
        <v/>
      </c>
      <c r="AQ966" s="4" t="str">
        <f t="shared" si="365"/>
        <v/>
      </c>
      <c r="AR966" s="4" t="str">
        <f t="shared" si="366"/>
        <v/>
      </c>
    </row>
    <row r="967" spans="8:44" s="1" customFormat="1" ht="14.25" x14ac:dyDescent="0.3">
      <c r="H967" s="50"/>
      <c r="J967" s="54"/>
      <c r="L967" s="54"/>
      <c r="R967" s="45"/>
      <c r="S967" s="54"/>
      <c r="T967" s="54"/>
      <c r="U967" s="54"/>
      <c r="V967" s="44"/>
      <c r="W967" s="27"/>
      <c r="Z967" s="27"/>
      <c r="AA967" s="8"/>
      <c r="AB967" s="81" t="str">
        <f t="shared" si="350"/>
        <v/>
      </c>
      <c r="AC967" s="6" t="str">
        <f t="shared" si="351"/>
        <v/>
      </c>
      <c r="AD967" s="1" t="str">
        <f t="shared" ca="1" si="352"/>
        <v/>
      </c>
      <c r="AE967" s="75" t="str">
        <f t="shared" si="353"/>
        <v/>
      </c>
      <c r="AF967" s="75" t="str">
        <f t="shared" si="354"/>
        <v/>
      </c>
      <c r="AG967" s="4" t="str">
        <f t="shared" si="355"/>
        <v/>
      </c>
      <c r="AH967" s="4" t="str">
        <f t="shared" si="356"/>
        <v/>
      </c>
      <c r="AI967" s="4" t="str">
        <f t="shared" si="357"/>
        <v/>
      </c>
      <c r="AJ967" s="4" t="str">
        <f t="shared" si="358"/>
        <v/>
      </c>
      <c r="AK967" s="4" t="str">
        <f t="shared" si="359"/>
        <v/>
      </c>
      <c r="AL967" s="2" t="str">
        <f t="shared" si="360"/>
        <v/>
      </c>
      <c r="AM967" s="6" t="str">
        <f t="shared" si="361"/>
        <v/>
      </c>
      <c r="AN967" s="4" t="str">
        <f t="shared" si="362"/>
        <v/>
      </c>
      <c r="AO967" s="4" t="str">
        <f t="shared" si="363"/>
        <v/>
      </c>
      <c r="AP967" s="4" t="str">
        <f t="shared" si="364"/>
        <v/>
      </c>
      <c r="AQ967" s="4" t="str">
        <f t="shared" si="365"/>
        <v/>
      </c>
      <c r="AR967" s="4" t="str">
        <f t="shared" si="366"/>
        <v/>
      </c>
    </row>
    <row r="968" spans="8:44" s="1" customFormat="1" ht="14.25" x14ac:dyDescent="0.3">
      <c r="H968" s="50"/>
      <c r="J968" s="54"/>
      <c r="L968" s="54"/>
      <c r="R968" s="45"/>
      <c r="S968" s="54"/>
      <c r="T968" s="54"/>
      <c r="U968" s="54"/>
      <c r="V968" s="44"/>
      <c r="W968" s="27"/>
      <c r="Z968" s="27"/>
      <c r="AA968" s="8"/>
      <c r="AB968" s="81" t="str">
        <f t="shared" si="350"/>
        <v/>
      </c>
      <c r="AC968" s="6" t="str">
        <f t="shared" si="351"/>
        <v/>
      </c>
      <c r="AD968" s="1" t="str">
        <f t="shared" ca="1" si="352"/>
        <v/>
      </c>
      <c r="AE968" s="75" t="str">
        <f t="shared" si="353"/>
        <v/>
      </c>
      <c r="AF968" s="75" t="str">
        <f t="shared" si="354"/>
        <v/>
      </c>
      <c r="AG968" s="4" t="str">
        <f t="shared" si="355"/>
        <v/>
      </c>
      <c r="AH968" s="4" t="str">
        <f t="shared" si="356"/>
        <v/>
      </c>
      <c r="AI968" s="4" t="str">
        <f t="shared" si="357"/>
        <v/>
      </c>
      <c r="AJ968" s="4" t="str">
        <f t="shared" si="358"/>
        <v/>
      </c>
      <c r="AK968" s="4" t="str">
        <f t="shared" si="359"/>
        <v/>
      </c>
      <c r="AL968" s="2" t="str">
        <f t="shared" si="360"/>
        <v/>
      </c>
      <c r="AM968" s="6" t="str">
        <f t="shared" si="361"/>
        <v/>
      </c>
      <c r="AN968" s="4" t="str">
        <f t="shared" si="362"/>
        <v/>
      </c>
      <c r="AO968" s="4" t="str">
        <f t="shared" si="363"/>
        <v/>
      </c>
      <c r="AP968" s="4" t="str">
        <f t="shared" si="364"/>
        <v/>
      </c>
      <c r="AQ968" s="4" t="str">
        <f t="shared" si="365"/>
        <v/>
      </c>
      <c r="AR968" s="4" t="str">
        <f t="shared" si="366"/>
        <v/>
      </c>
    </row>
    <row r="969" spans="8:44" s="1" customFormat="1" ht="14.25" x14ac:dyDescent="0.3">
      <c r="H969" s="50"/>
      <c r="J969" s="54"/>
      <c r="L969" s="54"/>
      <c r="R969" s="45"/>
      <c r="S969" s="54"/>
      <c r="T969" s="54"/>
      <c r="U969" s="54"/>
      <c r="V969" s="44"/>
      <c r="W969" s="27"/>
      <c r="Z969" s="27"/>
      <c r="AA969" s="8"/>
      <c r="AB969" s="81" t="str">
        <f t="shared" si="350"/>
        <v/>
      </c>
      <c r="AC969" s="6" t="str">
        <f t="shared" si="351"/>
        <v/>
      </c>
      <c r="AD969" s="1" t="str">
        <f t="shared" ca="1" si="352"/>
        <v/>
      </c>
      <c r="AE969" s="75" t="str">
        <f t="shared" si="353"/>
        <v/>
      </c>
      <c r="AF969" s="75" t="str">
        <f t="shared" si="354"/>
        <v/>
      </c>
      <c r="AG969" s="4" t="str">
        <f t="shared" si="355"/>
        <v/>
      </c>
      <c r="AH969" s="4" t="str">
        <f t="shared" si="356"/>
        <v/>
      </c>
      <c r="AI969" s="4" t="str">
        <f t="shared" si="357"/>
        <v/>
      </c>
      <c r="AJ969" s="4" t="str">
        <f t="shared" si="358"/>
        <v/>
      </c>
      <c r="AK969" s="4" t="str">
        <f t="shared" si="359"/>
        <v/>
      </c>
      <c r="AL969" s="2" t="str">
        <f t="shared" si="360"/>
        <v/>
      </c>
      <c r="AM969" s="6" t="str">
        <f t="shared" si="361"/>
        <v/>
      </c>
      <c r="AN969" s="4" t="str">
        <f t="shared" si="362"/>
        <v/>
      </c>
      <c r="AO969" s="4" t="str">
        <f t="shared" si="363"/>
        <v/>
      </c>
      <c r="AP969" s="4" t="str">
        <f t="shared" si="364"/>
        <v/>
      </c>
      <c r="AQ969" s="4" t="str">
        <f t="shared" si="365"/>
        <v/>
      </c>
      <c r="AR969" s="4" t="str">
        <f t="shared" si="366"/>
        <v/>
      </c>
    </row>
    <row r="970" spans="8:44" s="1" customFormat="1" ht="14.25" x14ac:dyDescent="0.3">
      <c r="H970" s="50"/>
      <c r="J970" s="54"/>
      <c r="L970" s="54"/>
      <c r="R970" s="45"/>
      <c r="S970" s="54"/>
      <c r="T970" s="54"/>
      <c r="U970" s="54"/>
      <c r="V970" s="44"/>
      <c r="W970" s="27"/>
      <c r="Z970" s="27"/>
      <c r="AA970" s="8"/>
      <c r="AB970" s="81" t="str">
        <f t="shared" si="350"/>
        <v/>
      </c>
      <c r="AC970" s="6" t="str">
        <f t="shared" si="351"/>
        <v/>
      </c>
      <c r="AD970" s="1" t="str">
        <f t="shared" ca="1" si="352"/>
        <v/>
      </c>
      <c r="AE970" s="75" t="str">
        <f t="shared" si="353"/>
        <v/>
      </c>
      <c r="AF970" s="75" t="str">
        <f t="shared" si="354"/>
        <v/>
      </c>
      <c r="AG970" s="4" t="str">
        <f t="shared" si="355"/>
        <v/>
      </c>
      <c r="AH970" s="4" t="str">
        <f t="shared" si="356"/>
        <v/>
      </c>
      <c r="AI970" s="4" t="str">
        <f t="shared" si="357"/>
        <v/>
      </c>
      <c r="AJ970" s="4" t="str">
        <f t="shared" si="358"/>
        <v/>
      </c>
      <c r="AK970" s="4" t="str">
        <f t="shared" si="359"/>
        <v/>
      </c>
      <c r="AL970" s="2" t="str">
        <f t="shared" si="360"/>
        <v/>
      </c>
      <c r="AM970" s="6" t="str">
        <f t="shared" si="361"/>
        <v/>
      </c>
      <c r="AN970" s="4" t="str">
        <f t="shared" si="362"/>
        <v/>
      </c>
      <c r="AO970" s="4" t="str">
        <f t="shared" si="363"/>
        <v/>
      </c>
      <c r="AP970" s="4" t="str">
        <f t="shared" si="364"/>
        <v/>
      </c>
      <c r="AQ970" s="4" t="str">
        <f t="shared" si="365"/>
        <v/>
      </c>
      <c r="AR970" s="4" t="str">
        <f t="shared" si="366"/>
        <v/>
      </c>
    </row>
    <row r="971" spans="8:44" s="1" customFormat="1" ht="14.25" x14ac:dyDescent="0.3">
      <c r="H971" s="50"/>
      <c r="J971" s="54"/>
      <c r="L971" s="54"/>
      <c r="R971" s="45"/>
      <c r="S971" s="54"/>
      <c r="T971" s="54"/>
      <c r="U971" s="54"/>
      <c r="V971" s="44"/>
      <c r="W971" s="27"/>
      <c r="Z971" s="27"/>
      <c r="AA971" s="8"/>
      <c r="AB971" s="81" t="str">
        <f t="shared" si="350"/>
        <v/>
      </c>
      <c r="AC971" s="6" t="str">
        <f t="shared" si="351"/>
        <v/>
      </c>
      <c r="AD971" s="1" t="str">
        <f t="shared" ca="1" si="352"/>
        <v/>
      </c>
      <c r="AE971" s="75" t="str">
        <f t="shared" si="353"/>
        <v/>
      </c>
      <c r="AF971" s="75" t="str">
        <f t="shared" si="354"/>
        <v/>
      </c>
      <c r="AG971" s="4" t="str">
        <f t="shared" si="355"/>
        <v/>
      </c>
      <c r="AH971" s="4" t="str">
        <f t="shared" si="356"/>
        <v/>
      </c>
      <c r="AI971" s="4" t="str">
        <f t="shared" si="357"/>
        <v/>
      </c>
      <c r="AJ971" s="4" t="str">
        <f t="shared" si="358"/>
        <v/>
      </c>
      <c r="AK971" s="4" t="str">
        <f t="shared" si="359"/>
        <v/>
      </c>
      <c r="AL971" s="2" t="str">
        <f t="shared" si="360"/>
        <v/>
      </c>
      <c r="AM971" s="6" t="str">
        <f t="shared" si="361"/>
        <v/>
      </c>
      <c r="AN971" s="4" t="str">
        <f t="shared" si="362"/>
        <v/>
      </c>
      <c r="AO971" s="4" t="str">
        <f t="shared" si="363"/>
        <v/>
      </c>
      <c r="AP971" s="4" t="str">
        <f t="shared" si="364"/>
        <v/>
      </c>
      <c r="AQ971" s="4" t="str">
        <f t="shared" si="365"/>
        <v/>
      </c>
      <c r="AR971" s="4" t="str">
        <f t="shared" si="366"/>
        <v/>
      </c>
    </row>
    <row r="972" spans="8:44" s="1" customFormat="1" ht="14.25" x14ac:dyDescent="0.3">
      <c r="H972" s="50"/>
      <c r="J972" s="54"/>
      <c r="L972" s="54"/>
      <c r="R972" s="45"/>
      <c r="S972" s="54"/>
      <c r="T972" s="54"/>
      <c r="U972" s="54"/>
      <c r="V972" s="44"/>
      <c r="W972" s="27"/>
      <c r="Z972" s="27"/>
      <c r="AA972" s="8"/>
      <c r="AB972" s="81" t="str">
        <f t="shared" si="350"/>
        <v/>
      </c>
      <c r="AC972" s="6" t="str">
        <f t="shared" si="351"/>
        <v/>
      </c>
      <c r="AD972" s="1" t="str">
        <f t="shared" ca="1" si="352"/>
        <v/>
      </c>
      <c r="AE972" s="75" t="str">
        <f t="shared" si="353"/>
        <v/>
      </c>
      <c r="AF972" s="75" t="str">
        <f t="shared" si="354"/>
        <v/>
      </c>
      <c r="AG972" s="4" t="str">
        <f t="shared" si="355"/>
        <v/>
      </c>
      <c r="AH972" s="4" t="str">
        <f t="shared" si="356"/>
        <v/>
      </c>
      <c r="AI972" s="4" t="str">
        <f t="shared" si="357"/>
        <v/>
      </c>
      <c r="AJ972" s="4" t="str">
        <f t="shared" si="358"/>
        <v/>
      </c>
      <c r="AK972" s="4" t="str">
        <f t="shared" si="359"/>
        <v/>
      </c>
      <c r="AL972" s="2" t="str">
        <f t="shared" si="360"/>
        <v/>
      </c>
      <c r="AM972" s="6" t="str">
        <f t="shared" si="361"/>
        <v/>
      </c>
      <c r="AN972" s="4" t="str">
        <f t="shared" si="362"/>
        <v/>
      </c>
      <c r="AO972" s="4" t="str">
        <f t="shared" si="363"/>
        <v/>
      </c>
      <c r="AP972" s="4" t="str">
        <f t="shared" si="364"/>
        <v/>
      </c>
      <c r="AQ972" s="4" t="str">
        <f t="shared" si="365"/>
        <v/>
      </c>
      <c r="AR972" s="4" t="str">
        <f t="shared" si="366"/>
        <v/>
      </c>
    </row>
    <row r="973" spans="8:44" s="1" customFormat="1" ht="14.25" x14ac:dyDescent="0.3">
      <c r="H973" s="50"/>
      <c r="J973" s="54"/>
      <c r="L973" s="54"/>
      <c r="R973" s="45"/>
      <c r="S973" s="54"/>
      <c r="T973" s="54"/>
      <c r="U973" s="54"/>
      <c r="V973" s="44"/>
      <c r="W973" s="27"/>
      <c r="Z973" s="27"/>
      <c r="AA973" s="8"/>
      <c r="AB973" s="81" t="str">
        <f t="shared" si="350"/>
        <v/>
      </c>
      <c r="AC973" s="6" t="str">
        <f t="shared" si="351"/>
        <v/>
      </c>
      <c r="AD973" s="1" t="str">
        <f t="shared" ca="1" si="352"/>
        <v/>
      </c>
      <c r="AE973" s="75" t="str">
        <f t="shared" si="353"/>
        <v/>
      </c>
      <c r="AF973" s="75" t="str">
        <f t="shared" si="354"/>
        <v/>
      </c>
      <c r="AG973" s="4" t="str">
        <f t="shared" si="355"/>
        <v/>
      </c>
      <c r="AH973" s="4" t="str">
        <f t="shared" si="356"/>
        <v/>
      </c>
      <c r="AI973" s="4" t="str">
        <f t="shared" si="357"/>
        <v/>
      </c>
      <c r="AJ973" s="4" t="str">
        <f t="shared" si="358"/>
        <v/>
      </c>
      <c r="AK973" s="4" t="str">
        <f t="shared" si="359"/>
        <v/>
      </c>
      <c r="AL973" s="2" t="str">
        <f t="shared" si="360"/>
        <v/>
      </c>
      <c r="AM973" s="6" t="str">
        <f t="shared" si="361"/>
        <v/>
      </c>
      <c r="AN973" s="4" t="str">
        <f t="shared" si="362"/>
        <v/>
      </c>
      <c r="AO973" s="4" t="str">
        <f t="shared" si="363"/>
        <v/>
      </c>
      <c r="AP973" s="4" t="str">
        <f t="shared" si="364"/>
        <v/>
      </c>
      <c r="AQ973" s="4" t="str">
        <f t="shared" si="365"/>
        <v/>
      </c>
      <c r="AR973" s="4" t="str">
        <f t="shared" si="366"/>
        <v/>
      </c>
    </row>
    <row r="974" spans="8:44" s="1" customFormat="1" ht="14.25" x14ac:dyDescent="0.3">
      <c r="H974" s="50"/>
      <c r="J974" s="54"/>
      <c r="L974" s="54"/>
      <c r="R974" s="45"/>
      <c r="S974" s="54"/>
      <c r="T974" s="54"/>
      <c r="U974" s="54"/>
      <c r="V974" s="44"/>
      <c r="W974" s="27"/>
      <c r="Z974" s="27"/>
      <c r="AA974" s="8"/>
      <c r="AB974" s="81" t="str">
        <f t="shared" si="350"/>
        <v/>
      </c>
      <c r="AC974" s="6" t="str">
        <f t="shared" si="351"/>
        <v/>
      </c>
      <c r="AD974" s="1" t="str">
        <f t="shared" ca="1" si="352"/>
        <v/>
      </c>
      <c r="AE974" s="75" t="str">
        <f t="shared" si="353"/>
        <v/>
      </c>
      <c r="AF974" s="75" t="str">
        <f t="shared" si="354"/>
        <v/>
      </c>
      <c r="AG974" s="4" t="str">
        <f t="shared" si="355"/>
        <v/>
      </c>
      <c r="AH974" s="4" t="str">
        <f t="shared" si="356"/>
        <v/>
      </c>
      <c r="AI974" s="4" t="str">
        <f t="shared" si="357"/>
        <v/>
      </c>
      <c r="AJ974" s="4" t="str">
        <f t="shared" si="358"/>
        <v/>
      </c>
      <c r="AK974" s="4" t="str">
        <f t="shared" si="359"/>
        <v/>
      </c>
      <c r="AL974" s="2" t="str">
        <f t="shared" si="360"/>
        <v/>
      </c>
      <c r="AM974" s="6" t="str">
        <f t="shared" si="361"/>
        <v/>
      </c>
      <c r="AN974" s="4" t="str">
        <f t="shared" si="362"/>
        <v/>
      </c>
      <c r="AO974" s="4" t="str">
        <f t="shared" si="363"/>
        <v/>
      </c>
      <c r="AP974" s="4" t="str">
        <f t="shared" si="364"/>
        <v/>
      </c>
      <c r="AQ974" s="4" t="str">
        <f t="shared" si="365"/>
        <v/>
      </c>
      <c r="AR974" s="4" t="str">
        <f t="shared" si="366"/>
        <v/>
      </c>
    </row>
    <row r="975" spans="8:44" s="1" customFormat="1" ht="14.25" x14ac:dyDescent="0.3">
      <c r="H975" s="50"/>
      <c r="J975" s="54"/>
      <c r="L975" s="54"/>
      <c r="R975" s="45"/>
      <c r="S975" s="54"/>
      <c r="T975" s="54"/>
      <c r="U975" s="54"/>
      <c r="V975" s="44"/>
      <c r="W975" s="27"/>
      <c r="Z975" s="27"/>
      <c r="AA975" s="8"/>
      <c r="AB975" s="81" t="str">
        <f t="shared" si="350"/>
        <v/>
      </c>
      <c r="AC975" s="6" t="str">
        <f t="shared" si="351"/>
        <v/>
      </c>
      <c r="AD975" s="1" t="str">
        <f t="shared" ca="1" si="352"/>
        <v/>
      </c>
      <c r="AE975" s="75" t="str">
        <f t="shared" si="353"/>
        <v/>
      </c>
      <c r="AF975" s="75" t="str">
        <f t="shared" si="354"/>
        <v/>
      </c>
      <c r="AG975" s="4" t="str">
        <f t="shared" si="355"/>
        <v/>
      </c>
      <c r="AH975" s="4" t="str">
        <f t="shared" si="356"/>
        <v/>
      </c>
      <c r="AI975" s="4" t="str">
        <f t="shared" si="357"/>
        <v/>
      </c>
      <c r="AJ975" s="4" t="str">
        <f t="shared" si="358"/>
        <v/>
      </c>
      <c r="AK975" s="4" t="str">
        <f t="shared" si="359"/>
        <v/>
      </c>
      <c r="AL975" s="2" t="str">
        <f t="shared" si="360"/>
        <v/>
      </c>
      <c r="AM975" s="6" t="str">
        <f t="shared" si="361"/>
        <v/>
      </c>
      <c r="AN975" s="4" t="str">
        <f t="shared" si="362"/>
        <v/>
      </c>
      <c r="AO975" s="4" t="str">
        <f t="shared" si="363"/>
        <v/>
      </c>
      <c r="AP975" s="4" t="str">
        <f t="shared" si="364"/>
        <v/>
      </c>
      <c r="AQ975" s="4" t="str">
        <f t="shared" si="365"/>
        <v/>
      </c>
      <c r="AR975" s="4" t="str">
        <f t="shared" si="366"/>
        <v/>
      </c>
    </row>
    <row r="976" spans="8:44" s="1" customFormat="1" ht="14.25" x14ac:dyDescent="0.3">
      <c r="H976" s="50"/>
      <c r="J976" s="54"/>
      <c r="L976" s="54"/>
      <c r="R976" s="45"/>
      <c r="S976" s="54"/>
      <c r="T976" s="54"/>
      <c r="U976" s="54"/>
      <c r="V976" s="44"/>
      <c r="W976" s="27"/>
      <c r="Z976" s="27"/>
      <c r="AA976" s="8"/>
      <c r="AB976" s="81" t="str">
        <f t="shared" si="350"/>
        <v/>
      </c>
      <c r="AC976" s="6" t="str">
        <f t="shared" si="351"/>
        <v/>
      </c>
      <c r="AD976" s="1" t="str">
        <f t="shared" ca="1" si="352"/>
        <v/>
      </c>
      <c r="AE976" s="75" t="str">
        <f t="shared" si="353"/>
        <v/>
      </c>
      <c r="AF976" s="75" t="str">
        <f t="shared" si="354"/>
        <v/>
      </c>
      <c r="AG976" s="4" t="str">
        <f t="shared" si="355"/>
        <v/>
      </c>
      <c r="AH976" s="4" t="str">
        <f t="shared" si="356"/>
        <v/>
      </c>
      <c r="AI976" s="4" t="str">
        <f t="shared" si="357"/>
        <v/>
      </c>
      <c r="AJ976" s="4" t="str">
        <f t="shared" si="358"/>
        <v/>
      </c>
      <c r="AK976" s="4" t="str">
        <f t="shared" si="359"/>
        <v/>
      </c>
      <c r="AL976" s="2" t="str">
        <f t="shared" si="360"/>
        <v/>
      </c>
      <c r="AM976" s="6" t="str">
        <f t="shared" si="361"/>
        <v/>
      </c>
      <c r="AN976" s="4" t="str">
        <f t="shared" si="362"/>
        <v/>
      </c>
      <c r="AO976" s="4" t="str">
        <f t="shared" si="363"/>
        <v/>
      </c>
      <c r="AP976" s="4" t="str">
        <f t="shared" si="364"/>
        <v/>
      </c>
      <c r="AQ976" s="4" t="str">
        <f t="shared" si="365"/>
        <v/>
      </c>
      <c r="AR976" s="4" t="str">
        <f t="shared" si="366"/>
        <v/>
      </c>
    </row>
    <row r="977" spans="8:44" s="1" customFormat="1" ht="14.25" x14ac:dyDescent="0.3">
      <c r="H977" s="50"/>
      <c r="J977" s="54"/>
      <c r="L977" s="54"/>
      <c r="R977" s="45"/>
      <c r="S977" s="54"/>
      <c r="T977" s="54"/>
      <c r="U977" s="54"/>
      <c r="V977" s="44"/>
      <c r="W977" s="27"/>
      <c r="Z977" s="27"/>
      <c r="AA977" s="8"/>
      <c r="AB977" s="81" t="str">
        <f t="shared" si="350"/>
        <v/>
      </c>
      <c r="AC977" s="6" t="str">
        <f t="shared" si="351"/>
        <v/>
      </c>
      <c r="AD977" s="1" t="str">
        <f t="shared" ca="1" si="352"/>
        <v/>
      </c>
      <c r="AE977" s="75" t="str">
        <f t="shared" si="353"/>
        <v/>
      </c>
      <c r="AF977" s="75" t="str">
        <f t="shared" si="354"/>
        <v/>
      </c>
      <c r="AG977" s="4" t="str">
        <f t="shared" si="355"/>
        <v/>
      </c>
      <c r="AH977" s="4" t="str">
        <f t="shared" si="356"/>
        <v/>
      </c>
      <c r="AI977" s="4" t="str">
        <f t="shared" si="357"/>
        <v/>
      </c>
      <c r="AJ977" s="4" t="str">
        <f t="shared" si="358"/>
        <v/>
      </c>
      <c r="AK977" s="4" t="str">
        <f t="shared" si="359"/>
        <v/>
      </c>
      <c r="AL977" s="2" t="str">
        <f t="shared" si="360"/>
        <v/>
      </c>
      <c r="AM977" s="6" t="str">
        <f t="shared" si="361"/>
        <v/>
      </c>
      <c r="AN977" s="4" t="str">
        <f t="shared" si="362"/>
        <v/>
      </c>
      <c r="AO977" s="4" t="str">
        <f t="shared" si="363"/>
        <v/>
      </c>
      <c r="AP977" s="4" t="str">
        <f t="shared" si="364"/>
        <v/>
      </c>
      <c r="AQ977" s="4" t="str">
        <f t="shared" si="365"/>
        <v/>
      </c>
      <c r="AR977" s="4" t="str">
        <f t="shared" si="366"/>
        <v/>
      </c>
    </row>
    <row r="978" spans="8:44" s="1" customFormat="1" ht="14.25" x14ac:dyDescent="0.3">
      <c r="H978" s="50"/>
      <c r="J978" s="54"/>
      <c r="L978" s="54"/>
      <c r="R978" s="45"/>
      <c r="S978" s="54"/>
      <c r="T978" s="54"/>
      <c r="U978" s="54"/>
      <c r="V978" s="44"/>
      <c r="W978" s="27"/>
      <c r="Z978" s="27"/>
      <c r="AA978" s="8"/>
      <c r="AB978" s="81" t="str">
        <f t="shared" si="350"/>
        <v/>
      </c>
      <c r="AC978" s="6" t="str">
        <f t="shared" si="351"/>
        <v/>
      </c>
      <c r="AD978" s="1" t="str">
        <f t="shared" ca="1" si="352"/>
        <v/>
      </c>
      <c r="AE978" s="75" t="str">
        <f t="shared" si="353"/>
        <v/>
      </c>
      <c r="AF978" s="75" t="str">
        <f t="shared" si="354"/>
        <v/>
      </c>
      <c r="AG978" s="4" t="str">
        <f t="shared" si="355"/>
        <v/>
      </c>
      <c r="AH978" s="4" t="str">
        <f t="shared" si="356"/>
        <v/>
      </c>
      <c r="AI978" s="4" t="str">
        <f t="shared" si="357"/>
        <v/>
      </c>
      <c r="AJ978" s="4" t="str">
        <f t="shared" si="358"/>
        <v/>
      </c>
      <c r="AK978" s="4" t="str">
        <f t="shared" si="359"/>
        <v/>
      </c>
      <c r="AL978" s="2" t="str">
        <f t="shared" si="360"/>
        <v/>
      </c>
      <c r="AM978" s="6" t="str">
        <f t="shared" si="361"/>
        <v/>
      </c>
      <c r="AN978" s="4" t="str">
        <f t="shared" si="362"/>
        <v/>
      </c>
      <c r="AO978" s="4" t="str">
        <f t="shared" si="363"/>
        <v/>
      </c>
      <c r="AP978" s="4" t="str">
        <f t="shared" si="364"/>
        <v/>
      </c>
      <c r="AQ978" s="4" t="str">
        <f t="shared" si="365"/>
        <v/>
      </c>
      <c r="AR978" s="4" t="str">
        <f t="shared" si="366"/>
        <v/>
      </c>
    </row>
    <row r="979" spans="8:44" s="1" customFormat="1" ht="14.25" x14ac:dyDescent="0.3">
      <c r="H979" s="50"/>
      <c r="J979" s="54"/>
      <c r="L979" s="54"/>
      <c r="R979" s="45"/>
      <c r="S979" s="54"/>
      <c r="T979" s="54"/>
      <c r="U979" s="54"/>
      <c r="V979" s="44"/>
      <c r="W979" s="27"/>
      <c r="Z979" s="27"/>
      <c r="AA979" s="8"/>
      <c r="AB979" s="81" t="str">
        <f t="shared" si="350"/>
        <v/>
      </c>
      <c r="AC979" s="6" t="str">
        <f t="shared" si="351"/>
        <v/>
      </c>
      <c r="AD979" s="1" t="str">
        <f t="shared" ca="1" si="352"/>
        <v/>
      </c>
      <c r="AE979" s="75" t="str">
        <f t="shared" si="353"/>
        <v/>
      </c>
      <c r="AF979" s="75" t="str">
        <f t="shared" si="354"/>
        <v/>
      </c>
      <c r="AG979" s="4" t="str">
        <f t="shared" si="355"/>
        <v/>
      </c>
      <c r="AH979" s="4" t="str">
        <f t="shared" si="356"/>
        <v/>
      </c>
      <c r="AI979" s="4" t="str">
        <f t="shared" si="357"/>
        <v/>
      </c>
      <c r="AJ979" s="4" t="str">
        <f t="shared" si="358"/>
        <v/>
      </c>
      <c r="AK979" s="4" t="str">
        <f t="shared" si="359"/>
        <v/>
      </c>
      <c r="AL979" s="2" t="str">
        <f t="shared" si="360"/>
        <v/>
      </c>
      <c r="AM979" s="6" t="str">
        <f t="shared" si="361"/>
        <v/>
      </c>
      <c r="AN979" s="4" t="str">
        <f t="shared" si="362"/>
        <v/>
      </c>
      <c r="AO979" s="4" t="str">
        <f t="shared" si="363"/>
        <v/>
      </c>
      <c r="AP979" s="4" t="str">
        <f t="shared" si="364"/>
        <v/>
      </c>
      <c r="AQ979" s="4" t="str">
        <f t="shared" si="365"/>
        <v/>
      </c>
      <c r="AR979" s="4" t="str">
        <f t="shared" si="366"/>
        <v/>
      </c>
    </row>
    <row r="980" spans="8:44" s="1" customFormat="1" ht="14.25" x14ac:dyDescent="0.3">
      <c r="H980" s="50"/>
      <c r="J980" s="54"/>
      <c r="L980" s="54"/>
      <c r="R980" s="45"/>
      <c r="S980" s="54"/>
      <c r="T980" s="54"/>
      <c r="U980" s="54"/>
      <c r="V980" s="44"/>
      <c r="W980" s="27"/>
      <c r="Z980" s="27"/>
      <c r="AA980" s="8"/>
      <c r="AB980" s="81" t="str">
        <f t="shared" si="350"/>
        <v/>
      </c>
      <c r="AC980" s="6" t="str">
        <f t="shared" si="351"/>
        <v/>
      </c>
      <c r="AD980" s="1" t="str">
        <f t="shared" ca="1" si="352"/>
        <v/>
      </c>
      <c r="AE980" s="75" t="str">
        <f t="shared" si="353"/>
        <v/>
      </c>
      <c r="AF980" s="75" t="str">
        <f t="shared" si="354"/>
        <v/>
      </c>
      <c r="AG980" s="4" t="str">
        <f t="shared" si="355"/>
        <v/>
      </c>
      <c r="AH980" s="4" t="str">
        <f t="shared" si="356"/>
        <v/>
      </c>
      <c r="AI980" s="4" t="str">
        <f t="shared" si="357"/>
        <v/>
      </c>
      <c r="AJ980" s="4" t="str">
        <f t="shared" si="358"/>
        <v/>
      </c>
      <c r="AK980" s="4" t="str">
        <f t="shared" si="359"/>
        <v/>
      </c>
      <c r="AL980" s="2" t="str">
        <f t="shared" si="360"/>
        <v/>
      </c>
      <c r="AM980" s="6" t="str">
        <f t="shared" si="361"/>
        <v/>
      </c>
      <c r="AN980" s="4" t="str">
        <f t="shared" si="362"/>
        <v/>
      </c>
      <c r="AO980" s="4" t="str">
        <f t="shared" si="363"/>
        <v/>
      </c>
      <c r="AP980" s="4" t="str">
        <f t="shared" si="364"/>
        <v/>
      </c>
      <c r="AQ980" s="4" t="str">
        <f t="shared" si="365"/>
        <v/>
      </c>
      <c r="AR980" s="4" t="str">
        <f t="shared" si="366"/>
        <v/>
      </c>
    </row>
    <row r="981" spans="8:44" s="1" customFormat="1" ht="14.25" x14ac:dyDescent="0.3">
      <c r="H981" s="50"/>
      <c r="J981" s="54"/>
      <c r="L981" s="54"/>
      <c r="R981" s="45"/>
      <c r="S981" s="54"/>
      <c r="T981" s="54"/>
      <c r="U981" s="54"/>
      <c r="V981" s="44"/>
      <c r="W981" s="27"/>
      <c r="Z981" s="27"/>
      <c r="AA981" s="8"/>
      <c r="AB981" s="81" t="str">
        <f t="shared" si="350"/>
        <v/>
      </c>
      <c r="AC981" s="6" t="str">
        <f t="shared" si="351"/>
        <v/>
      </c>
      <c r="AD981" s="1" t="str">
        <f t="shared" ca="1" si="352"/>
        <v/>
      </c>
      <c r="AE981" s="75" t="str">
        <f t="shared" si="353"/>
        <v/>
      </c>
      <c r="AF981" s="75" t="str">
        <f t="shared" si="354"/>
        <v/>
      </c>
      <c r="AG981" s="4" t="str">
        <f t="shared" si="355"/>
        <v/>
      </c>
      <c r="AH981" s="4" t="str">
        <f t="shared" si="356"/>
        <v/>
      </c>
      <c r="AI981" s="4" t="str">
        <f t="shared" si="357"/>
        <v/>
      </c>
      <c r="AJ981" s="4" t="str">
        <f t="shared" si="358"/>
        <v/>
      </c>
      <c r="AK981" s="4" t="str">
        <f t="shared" si="359"/>
        <v/>
      </c>
      <c r="AL981" s="2" t="str">
        <f t="shared" si="360"/>
        <v/>
      </c>
      <c r="AM981" s="6" t="str">
        <f t="shared" si="361"/>
        <v/>
      </c>
      <c r="AN981" s="4" t="str">
        <f t="shared" si="362"/>
        <v/>
      </c>
      <c r="AO981" s="4" t="str">
        <f t="shared" si="363"/>
        <v/>
      </c>
      <c r="AP981" s="4" t="str">
        <f t="shared" si="364"/>
        <v/>
      </c>
      <c r="AQ981" s="4" t="str">
        <f t="shared" si="365"/>
        <v/>
      </c>
      <c r="AR981" s="4" t="str">
        <f t="shared" si="366"/>
        <v/>
      </c>
    </row>
    <row r="982" spans="8:44" s="1" customFormat="1" ht="14.25" x14ac:dyDescent="0.3">
      <c r="H982" s="50"/>
      <c r="J982" s="54"/>
      <c r="L982" s="54"/>
      <c r="R982" s="45"/>
      <c r="S982" s="54"/>
      <c r="T982" s="54"/>
      <c r="U982" s="54"/>
      <c r="V982" s="44"/>
      <c r="W982" s="27"/>
      <c r="Z982" s="27"/>
      <c r="AA982" s="8"/>
      <c r="AB982" s="81" t="str">
        <f t="shared" si="350"/>
        <v/>
      </c>
      <c r="AC982" s="6" t="str">
        <f t="shared" si="351"/>
        <v/>
      </c>
      <c r="AD982" s="1" t="str">
        <f t="shared" ca="1" si="352"/>
        <v/>
      </c>
      <c r="AE982" s="75" t="str">
        <f t="shared" si="353"/>
        <v/>
      </c>
      <c r="AF982" s="75" t="str">
        <f t="shared" si="354"/>
        <v/>
      </c>
      <c r="AG982" s="4" t="str">
        <f t="shared" si="355"/>
        <v/>
      </c>
      <c r="AH982" s="4" t="str">
        <f t="shared" si="356"/>
        <v/>
      </c>
      <c r="AI982" s="4" t="str">
        <f t="shared" si="357"/>
        <v/>
      </c>
      <c r="AJ982" s="4" t="str">
        <f t="shared" si="358"/>
        <v/>
      </c>
      <c r="AK982" s="4" t="str">
        <f t="shared" si="359"/>
        <v/>
      </c>
      <c r="AL982" s="2" t="str">
        <f t="shared" si="360"/>
        <v/>
      </c>
      <c r="AM982" s="6" t="str">
        <f t="shared" si="361"/>
        <v/>
      </c>
      <c r="AN982" s="4" t="str">
        <f t="shared" si="362"/>
        <v/>
      </c>
      <c r="AO982" s="4" t="str">
        <f t="shared" si="363"/>
        <v/>
      </c>
      <c r="AP982" s="4" t="str">
        <f t="shared" si="364"/>
        <v/>
      </c>
      <c r="AQ982" s="4" t="str">
        <f t="shared" si="365"/>
        <v/>
      </c>
      <c r="AR982" s="4" t="str">
        <f t="shared" si="366"/>
        <v/>
      </c>
    </row>
    <row r="983" spans="8:44" s="1" customFormat="1" ht="14.25" x14ac:dyDescent="0.3">
      <c r="H983" s="50"/>
      <c r="J983" s="54"/>
      <c r="L983" s="54"/>
      <c r="R983" s="45"/>
      <c r="S983" s="54"/>
      <c r="T983" s="54"/>
      <c r="U983" s="54"/>
      <c r="V983" s="44"/>
      <c r="W983" s="27"/>
      <c r="Z983" s="27"/>
      <c r="AA983" s="8"/>
      <c r="AB983" s="81" t="str">
        <f t="shared" si="350"/>
        <v/>
      </c>
      <c r="AC983" s="6" t="str">
        <f t="shared" si="351"/>
        <v/>
      </c>
      <c r="AD983" s="1" t="str">
        <f t="shared" ca="1" si="352"/>
        <v/>
      </c>
      <c r="AE983" s="75" t="str">
        <f t="shared" si="353"/>
        <v/>
      </c>
      <c r="AF983" s="75" t="str">
        <f t="shared" si="354"/>
        <v/>
      </c>
      <c r="AG983" s="4" t="str">
        <f t="shared" si="355"/>
        <v/>
      </c>
      <c r="AH983" s="4" t="str">
        <f t="shared" si="356"/>
        <v/>
      </c>
      <c r="AI983" s="4" t="str">
        <f t="shared" si="357"/>
        <v/>
      </c>
      <c r="AJ983" s="4" t="str">
        <f t="shared" si="358"/>
        <v/>
      </c>
      <c r="AK983" s="4" t="str">
        <f t="shared" si="359"/>
        <v/>
      </c>
      <c r="AL983" s="2" t="str">
        <f t="shared" si="360"/>
        <v/>
      </c>
      <c r="AM983" s="6" t="str">
        <f t="shared" si="361"/>
        <v/>
      </c>
      <c r="AN983" s="4" t="str">
        <f t="shared" si="362"/>
        <v/>
      </c>
      <c r="AO983" s="4" t="str">
        <f t="shared" si="363"/>
        <v/>
      </c>
      <c r="AP983" s="4" t="str">
        <f t="shared" si="364"/>
        <v/>
      </c>
      <c r="AQ983" s="4" t="str">
        <f t="shared" si="365"/>
        <v/>
      </c>
      <c r="AR983" s="4" t="str">
        <f t="shared" si="366"/>
        <v/>
      </c>
    </row>
    <row r="984" spans="8:44" s="1" customFormat="1" ht="14.25" x14ac:dyDescent="0.3">
      <c r="H984" s="50"/>
      <c r="J984" s="54"/>
      <c r="L984" s="54"/>
      <c r="R984" s="45"/>
      <c r="S984" s="54"/>
      <c r="T984" s="54"/>
      <c r="U984" s="54"/>
      <c r="V984" s="44"/>
      <c r="W984" s="27"/>
      <c r="Z984" s="27"/>
      <c r="AA984" s="8"/>
      <c r="AB984" s="81" t="str">
        <f t="shared" si="350"/>
        <v/>
      </c>
      <c r="AC984" s="6" t="str">
        <f t="shared" si="351"/>
        <v/>
      </c>
      <c r="AD984" s="1" t="str">
        <f t="shared" ca="1" si="352"/>
        <v/>
      </c>
      <c r="AE984" s="75" t="str">
        <f t="shared" si="353"/>
        <v/>
      </c>
      <c r="AF984" s="75" t="str">
        <f t="shared" si="354"/>
        <v/>
      </c>
      <c r="AG984" s="4" t="str">
        <f t="shared" si="355"/>
        <v/>
      </c>
      <c r="AH984" s="4" t="str">
        <f t="shared" si="356"/>
        <v/>
      </c>
      <c r="AI984" s="4" t="str">
        <f t="shared" si="357"/>
        <v/>
      </c>
      <c r="AJ984" s="4" t="str">
        <f t="shared" si="358"/>
        <v/>
      </c>
      <c r="AK984" s="4" t="str">
        <f t="shared" si="359"/>
        <v/>
      </c>
      <c r="AL984" s="2" t="str">
        <f t="shared" si="360"/>
        <v/>
      </c>
      <c r="AM984" s="6" t="str">
        <f t="shared" si="361"/>
        <v/>
      </c>
      <c r="AN984" s="4" t="str">
        <f t="shared" si="362"/>
        <v/>
      </c>
      <c r="AO984" s="4" t="str">
        <f t="shared" si="363"/>
        <v/>
      </c>
      <c r="AP984" s="4" t="str">
        <f t="shared" si="364"/>
        <v/>
      </c>
      <c r="AQ984" s="4" t="str">
        <f t="shared" si="365"/>
        <v/>
      </c>
      <c r="AR984" s="4" t="str">
        <f t="shared" si="366"/>
        <v/>
      </c>
    </row>
    <row r="985" spans="8:44" s="1" customFormat="1" ht="14.25" x14ac:dyDescent="0.3">
      <c r="H985" s="50"/>
      <c r="J985" s="54"/>
      <c r="L985" s="54"/>
      <c r="R985" s="45"/>
      <c r="S985" s="54"/>
      <c r="T985" s="54"/>
      <c r="U985" s="54"/>
      <c r="V985" s="44"/>
      <c r="W985" s="27"/>
      <c r="Z985" s="27"/>
      <c r="AA985" s="8"/>
      <c r="AB985" s="81" t="str">
        <f t="shared" si="350"/>
        <v/>
      </c>
      <c r="AC985" s="6" t="str">
        <f t="shared" si="351"/>
        <v/>
      </c>
      <c r="AD985" s="1" t="str">
        <f t="shared" ca="1" si="352"/>
        <v/>
      </c>
      <c r="AE985" s="75" t="str">
        <f t="shared" si="353"/>
        <v/>
      </c>
      <c r="AF985" s="75" t="str">
        <f t="shared" si="354"/>
        <v/>
      </c>
      <c r="AG985" s="4" t="str">
        <f t="shared" si="355"/>
        <v/>
      </c>
      <c r="AH985" s="4" t="str">
        <f t="shared" si="356"/>
        <v/>
      </c>
      <c r="AI985" s="4" t="str">
        <f t="shared" si="357"/>
        <v/>
      </c>
      <c r="AJ985" s="4" t="str">
        <f t="shared" si="358"/>
        <v/>
      </c>
      <c r="AK985" s="4" t="str">
        <f t="shared" si="359"/>
        <v/>
      </c>
      <c r="AL985" s="2" t="str">
        <f t="shared" si="360"/>
        <v/>
      </c>
      <c r="AM985" s="6" t="str">
        <f t="shared" si="361"/>
        <v/>
      </c>
      <c r="AN985" s="4" t="str">
        <f t="shared" si="362"/>
        <v/>
      </c>
      <c r="AO985" s="4" t="str">
        <f t="shared" si="363"/>
        <v/>
      </c>
      <c r="AP985" s="4" t="str">
        <f t="shared" si="364"/>
        <v/>
      </c>
      <c r="AQ985" s="4" t="str">
        <f t="shared" si="365"/>
        <v/>
      </c>
      <c r="AR985" s="4" t="str">
        <f t="shared" si="366"/>
        <v/>
      </c>
    </row>
    <row r="986" spans="8:44" s="1" customFormat="1" ht="14.25" x14ac:dyDescent="0.3">
      <c r="H986" s="50"/>
      <c r="J986" s="54"/>
      <c r="L986" s="54"/>
      <c r="R986" s="45"/>
      <c r="S986" s="54"/>
      <c r="T986" s="54"/>
      <c r="U986" s="54"/>
      <c r="V986" s="44"/>
      <c r="W986" s="27"/>
      <c r="Z986" s="27"/>
      <c r="AA986" s="8"/>
      <c r="AB986" s="81" t="str">
        <f t="shared" si="350"/>
        <v/>
      </c>
      <c r="AC986" s="6" t="str">
        <f t="shared" si="351"/>
        <v/>
      </c>
      <c r="AD986" s="1" t="str">
        <f t="shared" ca="1" si="352"/>
        <v/>
      </c>
      <c r="AE986" s="75" t="str">
        <f t="shared" si="353"/>
        <v/>
      </c>
      <c r="AF986" s="75" t="str">
        <f t="shared" si="354"/>
        <v/>
      </c>
      <c r="AG986" s="4" t="str">
        <f t="shared" si="355"/>
        <v/>
      </c>
      <c r="AH986" s="4" t="str">
        <f t="shared" si="356"/>
        <v/>
      </c>
      <c r="AI986" s="4" t="str">
        <f t="shared" si="357"/>
        <v/>
      </c>
      <c r="AJ986" s="4" t="str">
        <f t="shared" si="358"/>
        <v/>
      </c>
      <c r="AK986" s="4" t="str">
        <f t="shared" si="359"/>
        <v/>
      </c>
      <c r="AL986" s="2" t="str">
        <f t="shared" si="360"/>
        <v/>
      </c>
      <c r="AM986" s="6" t="str">
        <f t="shared" si="361"/>
        <v/>
      </c>
      <c r="AN986" s="4" t="str">
        <f t="shared" si="362"/>
        <v/>
      </c>
      <c r="AO986" s="4" t="str">
        <f t="shared" si="363"/>
        <v/>
      </c>
      <c r="AP986" s="4" t="str">
        <f t="shared" si="364"/>
        <v/>
      </c>
      <c r="AQ986" s="4" t="str">
        <f t="shared" si="365"/>
        <v/>
      </c>
      <c r="AR986" s="4" t="str">
        <f t="shared" si="366"/>
        <v/>
      </c>
    </row>
    <row r="987" spans="8:44" s="1" customFormat="1" ht="14.25" x14ac:dyDescent="0.3">
      <c r="H987" s="50"/>
      <c r="J987" s="54"/>
      <c r="L987" s="54"/>
      <c r="R987" s="45"/>
      <c r="S987" s="54"/>
      <c r="T987" s="54"/>
      <c r="U987" s="54"/>
      <c r="V987" s="44"/>
      <c r="W987" s="27"/>
      <c r="Z987" s="27"/>
      <c r="AA987" s="8"/>
      <c r="AB987" s="81" t="str">
        <f t="shared" si="350"/>
        <v/>
      </c>
      <c r="AC987" s="6" t="str">
        <f t="shared" si="351"/>
        <v/>
      </c>
      <c r="AD987" s="1" t="str">
        <f t="shared" ca="1" si="352"/>
        <v/>
      </c>
      <c r="AE987" s="75" t="str">
        <f t="shared" si="353"/>
        <v/>
      </c>
      <c r="AF987" s="75" t="str">
        <f t="shared" si="354"/>
        <v/>
      </c>
      <c r="AG987" s="4" t="str">
        <f t="shared" si="355"/>
        <v/>
      </c>
      <c r="AH987" s="4" t="str">
        <f t="shared" si="356"/>
        <v/>
      </c>
      <c r="AI987" s="4" t="str">
        <f t="shared" si="357"/>
        <v/>
      </c>
      <c r="AJ987" s="4" t="str">
        <f t="shared" si="358"/>
        <v/>
      </c>
      <c r="AK987" s="4" t="str">
        <f t="shared" si="359"/>
        <v/>
      </c>
      <c r="AL987" s="2" t="str">
        <f t="shared" si="360"/>
        <v/>
      </c>
      <c r="AM987" s="6" t="str">
        <f t="shared" si="361"/>
        <v/>
      </c>
      <c r="AN987" s="4" t="str">
        <f t="shared" si="362"/>
        <v/>
      </c>
      <c r="AO987" s="4" t="str">
        <f t="shared" si="363"/>
        <v/>
      </c>
      <c r="AP987" s="4" t="str">
        <f t="shared" si="364"/>
        <v/>
      </c>
      <c r="AQ987" s="4" t="str">
        <f t="shared" si="365"/>
        <v/>
      </c>
      <c r="AR987" s="4" t="str">
        <f t="shared" si="366"/>
        <v/>
      </c>
    </row>
    <row r="988" spans="8:44" s="1" customFormat="1" ht="14.25" x14ac:dyDescent="0.3">
      <c r="H988" s="50"/>
      <c r="J988" s="54"/>
      <c r="L988" s="54"/>
      <c r="R988" s="45"/>
      <c r="S988" s="54"/>
      <c r="T988" s="54"/>
      <c r="U988" s="54"/>
      <c r="V988" s="44"/>
      <c r="W988" s="27"/>
      <c r="Z988" s="27"/>
      <c r="AA988" s="8"/>
      <c r="AB988" s="81" t="str">
        <f t="shared" si="350"/>
        <v/>
      </c>
      <c r="AC988" s="6" t="str">
        <f t="shared" si="351"/>
        <v/>
      </c>
      <c r="AD988" s="1" t="str">
        <f t="shared" ca="1" si="352"/>
        <v/>
      </c>
      <c r="AE988" s="75" t="str">
        <f t="shared" si="353"/>
        <v/>
      </c>
      <c r="AF988" s="75" t="str">
        <f t="shared" si="354"/>
        <v/>
      </c>
      <c r="AG988" s="4" t="str">
        <f t="shared" si="355"/>
        <v/>
      </c>
      <c r="AH988" s="4" t="str">
        <f t="shared" si="356"/>
        <v/>
      </c>
      <c r="AI988" s="4" t="str">
        <f t="shared" si="357"/>
        <v/>
      </c>
      <c r="AJ988" s="4" t="str">
        <f t="shared" si="358"/>
        <v/>
      </c>
      <c r="AK988" s="4" t="str">
        <f t="shared" si="359"/>
        <v/>
      </c>
      <c r="AL988" s="2" t="str">
        <f t="shared" si="360"/>
        <v/>
      </c>
      <c r="AM988" s="6" t="str">
        <f t="shared" si="361"/>
        <v/>
      </c>
      <c r="AN988" s="4" t="str">
        <f t="shared" si="362"/>
        <v/>
      </c>
      <c r="AO988" s="4" t="str">
        <f t="shared" si="363"/>
        <v/>
      </c>
      <c r="AP988" s="4" t="str">
        <f t="shared" si="364"/>
        <v/>
      </c>
      <c r="AQ988" s="4" t="str">
        <f t="shared" si="365"/>
        <v/>
      </c>
      <c r="AR988" s="4" t="str">
        <f t="shared" si="366"/>
        <v/>
      </c>
    </row>
    <row r="989" spans="8:44" s="1" customFormat="1" ht="14.25" x14ac:dyDescent="0.3">
      <c r="H989" s="50"/>
      <c r="J989" s="54"/>
      <c r="L989" s="54"/>
      <c r="R989" s="45"/>
      <c r="S989" s="54"/>
      <c r="T989" s="54"/>
      <c r="U989" s="54"/>
      <c r="V989" s="44"/>
      <c r="W989" s="27"/>
      <c r="Z989" s="27"/>
      <c r="AA989" s="8"/>
      <c r="AB989" s="81" t="str">
        <f t="shared" si="350"/>
        <v/>
      </c>
      <c r="AC989" s="6" t="str">
        <f t="shared" si="351"/>
        <v/>
      </c>
      <c r="AD989" s="1" t="str">
        <f t="shared" ca="1" si="352"/>
        <v/>
      </c>
      <c r="AE989" s="75" t="str">
        <f t="shared" si="353"/>
        <v/>
      </c>
      <c r="AF989" s="75" t="str">
        <f t="shared" si="354"/>
        <v/>
      </c>
      <c r="AG989" s="4" t="str">
        <f t="shared" si="355"/>
        <v/>
      </c>
      <c r="AH989" s="4" t="str">
        <f t="shared" si="356"/>
        <v/>
      </c>
      <c r="AI989" s="4" t="str">
        <f t="shared" si="357"/>
        <v/>
      </c>
      <c r="AJ989" s="4" t="str">
        <f t="shared" si="358"/>
        <v/>
      </c>
      <c r="AK989" s="4" t="str">
        <f t="shared" si="359"/>
        <v/>
      </c>
      <c r="AL989" s="2" t="str">
        <f t="shared" si="360"/>
        <v/>
      </c>
      <c r="AM989" s="6" t="str">
        <f t="shared" si="361"/>
        <v/>
      </c>
      <c r="AN989" s="4" t="str">
        <f t="shared" si="362"/>
        <v/>
      </c>
      <c r="AO989" s="4" t="str">
        <f t="shared" si="363"/>
        <v/>
      </c>
      <c r="AP989" s="4" t="str">
        <f t="shared" si="364"/>
        <v/>
      </c>
      <c r="AQ989" s="4" t="str">
        <f t="shared" si="365"/>
        <v/>
      </c>
      <c r="AR989" s="4" t="str">
        <f t="shared" si="366"/>
        <v/>
      </c>
    </row>
    <row r="990" spans="8:44" s="1" customFormat="1" ht="14.25" x14ac:dyDescent="0.3">
      <c r="H990" s="50"/>
      <c r="J990" s="54"/>
      <c r="L990" s="54"/>
      <c r="R990" s="45"/>
      <c r="S990" s="54"/>
      <c r="T990" s="54"/>
      <c r="U990" s="54"/>
      <c r="V990" s="44"/>
      <c r="W990" s="27"/>
      <c r="Z990" s="27"/>
      <c r="AA990" s="8"/>
      <c r="AB990" s="81" t="str">
        <f t="shared" si="350"/>
        <v/>
      </c>
      <c r="AC990" s="6" t="str">
        <f t="shared" si="351"/>
        <v/>
      </c>
      <c r="AD990" s="1" t="str">
        <f t="shared" ca="1" si="352"/>
        <v/>
      </c>
      <c r="AE990" s="75" t="str">
        <f t="shared" si="353"/>
        <v/>
      </c>
      <c r="AF990" s="75" t="str">
        <f t="shared" si="354"/>
        <v/>
      </c>
      <c r="AG990" s="4" t="str">
        <f t="shared" si="355"/>
        <v/>
      </c>
      <c r="AH990" s="4" t="str">
        <f t="shared" si="356"/>
        <v/>
      </c>
      <c r="AI990" s="4" t="str">
        <f t="shared" si="357"/>
        <v/>
      </c>
      <c r="AJ990" s="4" t="str">
        <f t="shared" si="358"/>
        <v/>
      </c>
      <c r="AK990" s="4" t="str">
        <f t="shared" si="359"/>
        <v/>
      </c>
      <c r="AL990" s="2" t="str">
        <f t="shared" si="360"/>
        <v/>
      </c>
      <c r="AM990" s="6" t="str">
        <f t="shared" si="361"/>
        <v/>
      </c>
      <c r="AN990" s="4" t="str">
        <f t="shared" si="362"/>
        <v/>
      </c>
      <c r="AO990" s="4" t="str">
        <f t="shared" si="363"/>
        <v/>
      </c>
      <c r="AP990" s="4" t="str">
        <f t="shared" si="364"/>
        <v/>
      </c>
      <c r="AQ990" s="4" t="str">
        <f t="shared" si="365"/>
        <v/>
      </c>
      <c r="AR990" s="4" t="str">
        <f t="shared" si="366"/>
        <v/>
      </c>
    </row>
    <row r="991" spans="8:44" s="1" customFormat="1" ht="14.25" x14ac:dyDescent="0.3">
      <c r="H991" s="50"/>
      <c r="J991" s="54"/>
      <c r="L991" s="54"/>
      <c r="R991" s="45"/>
      <c r="S991" s="54"/>
      <c r="T991" s="54"/>
      <c r="U991" s="54"/>
      <c r="V991" s="44"/>
      <c r="W991" s="27"/>
      <c r="Z991" s="27"/>
      <c r="AA991" s="8"/>
      <c r="AB991" s="81" t="str">
        <f t="shared" si="350"/>
        <v/>
      </c>
      <c r="AC991" s="6" t="str">
        <f t="shared" si="351"/>
        <v/>
      </c>
      <c r="AD991" s="1" t="str">
        <f t="shared" ca="1" si="352"/>
        <v/>
      </c>
      <c r="AE991" s="75" t="str">
        <f t="shared" si="353"/>
        <v/>
      </c>
      <c r="AF991" s="75" t="str">
        <f t="shared" si="354"/>
        <v/>
      </c>
      <c r="AG991" s="4" t="str">
        <f t="shared" si="355"/>
        <v/>
      </c>
      <c r="AH991" s="4" t="str">
        <f t="shared" si="356"/>
        <v/>
      </c>
      <c r="AI991" s="4" t="str">
        <f t="shared" si="357"/>
        <v/>
      </c>
      <c r="AJ991" s="4" t="str">
        <f t="shared" si="358"/>
        <v/>
      </c>
      <c r="AK991" s="4" t="str">
        <f t="shared" si="359"/>
        <v/>
      </c>
      <c r="AL991" s="2" t="str">
        <f t="shared" si="360"/>
        <v/>
      </c>
      <c r="AM991" s="6" t="str">
        <f t="shared" si="361"/>
        <v/>
      </c>
      <c r="AN991" s="4" t="str">
        <f t="shared" si="362"/>
        <v/>
      </c>
      <c r="AO991" s="4" t="str">
        <f t="shared" si="363"/>
        <v/>
      </c>
      <c r="AP991" s="4" t="str">
        <f t="shared" si="364"/>
        <v/>
      </c>
      <c r="AQ991" s="4" t="str">
        <f t="shared" si="365"/>
        <v/>
      </c>
      <c r="AR991" s="4" t="str">
        <f t="shared" si="366"/>
        <v/>
      </c>
    </row>
    <row r="992" spans="8:44" s="1" customFormat="1" ht="14.25" x14ac:dyDescent="0.3">
      <c r="H992" s="50"/>
      <c r="J992" s="54"/>
      <c r="L992" s="54"/>
      <c r="R992" s="45"/>
      <c r="S992" s="54"/>
      <c r="T992" s="54"/>
      <c r="U992" s="54"/>
      <c r="V992" s="44"/>
      <c r="W992" s="27"/>
      <c r="Z992" s="27"/>
      <c r="AA992" s="8"/>
      <c r="AB992" s="81" t="str">
        <f t="shared" si="350"/>
        <v/>
      </c>
      <c r="AC992" s="6" t="str">
        <f t="shared" si="351"/>
        <v/>
      </c>
      <c r="AD992" s="1" t="str">
        <f t="shared" ca="1" si="352"/>
        <v/>
      </c>
      <c r="AE992" s="75" t="str">
        <f t="shared" si="353"/>
        <v/>
      </c>
      <c r="AF992" s="75" t="str">
        <f t="shared" si="354"/>
        <v/>
      </c>
      <c r="AG992" s="4" t="str">
        <f t="shared" si="355"/>
        <v/>
      </c>
      <c r="AH992" s="4" t="str">
        <f t="shared" si="356"/>
        <v/>
      </c>
      <c r="AI992" s="4" t="str">
        <f t="shared" si="357"/>
        <v/>
      </c>
      <c r="AJ992" s="4" t="str">
        <f t="shared" si="358"/>
        <v/>
      </c>
      <c r="AK992" s="4" t="str">
        <f t="shared" si="359"/>
        <v/>
      </c>
      <c r="AL992" s="2" t="str">
        <f t="shared" si="360"/>
        <v/>
      </c>
      <c r="AM992" s="6" t="str">
        <f t="shared" si="361"/>
        <v/>
      </c>
      <c r="AN992" s="4" t="str">
        <f t="shared" si="362"/>
        <v/>
      </c>
      <c r="AO992" s="4" t="str">
        <f t="shared" si="363"/>
        <v/>
      </c>
      <c r="AP992" s="4" t="str">
        <f t="shared" si="364"/>
        <v/>
      </c>
      <c r="AQ992" s="4" t="str">
        <f t="shared" si="365"/>
        <v/>
      </c>
      <c r="AR992" s="4" t="str">
        <f t="shared" si="366"/>
        <v/>
      </c>
    </row>
    <row r="993" spans="8:44" s="1" customFormat="1" ht="14.25" x14ac:dyDescent="0.3">
      <c r="H993" s="50"/>
      <c r="J993" s="54"/>
      <c r="L993" s="54"/>
      <c r="R993" s="45"/>
      <c r="S993" s="54"/>
      <c r="T993" s="54"/>
      <c r="U993" s="54"/>
      <c r="V993" s="44"/>
      <c r="W993" s="27"/>
      <c r="Z993" s="27"/>
      <c r="AA993" s="8"/>
      <c r="AB993" s="81" t="str">
        <f t="shared" si="350"/>
        <v/>
      </c>
      <c r="AC993" s="6" t="str">
        <f t="shared" si="351"/>
        <v/>
      </c>
      <c r="AD993" s="1" t="str">
        <f t="shared" ca="1" si="352"/>
        <v/>
      </c>
      <c r="AE993" s="75" t="str">
        <f t="shared" si="353"/>
        <v/>
      </c>
      <c r="AF993" s="75" t="str">
        <f t="shared" si="354"/>
        <v/>
      </c>
      <c r="AG993" s="4" t="str">
        <f t="shared" si="355"/>
        <v/>
      </c>
      <c r="AH993" s="4" t="str">
        <f t="shared" si="356"/>
        <v/>
      </c>
      <c r="AI993" s="4" t="str">
        <f t="shared" si="357"/>
        <v/>
      </c>
      <c r="AJ993" s="4" t="str">
        <f t="shared" si="358"/>
        <v/>
      </c>
      <c r="AK993" s="4" t="str">
        <f t="shared" si="359"/>
        <v/>
      </c>
      <c r="AL993" s="2" t="str">
        <f t="shared" si="360"/>
        <v/>
      </c>
      <c r="AM993" s="6" t="str">
        <f t="shared" si="361"/>
        <v/>
      </c>
      <c r="AN993" s="4" t="str">
        <f t="shared" si="362"/>
        <v/>
      </c>
      <c r="AO993" s="4" t="str">
        <f t="shared" si="363"/>
        <v/>
      </c>
      <c r="AP993" s="4" t="str">
        <f t="shared" si="364"/>
        <v/>
      </c>
      <c r="AQ993" s="4" t="str">
        <f t="shared" si="365"/>
        <v/>
      </c>
      <c r="AR993" s="4" t="str">
        <f t="shared" si="366"/>
        <v/>
      </c>
    </row>
    <row r="994" spans="8:44" s="1" customFormat="1" ht="14.25" x14ac:dyDescent="0.3">
      <c r="H994" s="50"/>
      <c r="J994" s="54"/>
      <c r="L994" s="54"/>
      <c r="R994" s="45"/>
      <c r="S994" s="54"/>
      <c r="T994" s="54"/>
      <c r="U994" s="54"/>
      <c r="V994" s="44"/>
      <c r="W994" s="27"/>
      <c r="Z994" s="27"/>
      <c r="AA994" s="8"/>
      <c r="AB994" s="81" t="str">
        <f t="shared" si="350"/>
        <v/>
      </c>
      <c r="AC994" s="6" t="str">
        <f t="shared" si="351"/>
        <v/>
      </c>
      <c r="AD994" s="1" t="str">
        <f t="shared" ca="1" si="352"/>
        <v/>
      </c>
      <c r="AE994" s="75" t="str">
        <f t="shared" si="353"/>
        <v/>
      </c>
      <c r="AF994" s="75" t="str">
        <f t="shared" si="354"/>
        <v/>
      </c>
      <c r="AG994" s="4" t="str">
        <f t="shared" si="355"/>
        <v/>
      </c>
      <c r="AH994" s="4" t="str">
        <f t="shared" si="356"/>
        <v/>
      </c>
      <c r="AI994" s="4" t="str">
        <f t="shared" si="357"/>
        <v/>
      </c>
      <c r="AJ994" s="4" t="str">
        <f t="shared" si="358"/>
        <v/>
      </c>
      <c r="AK994" s="4" t="str">
        <f t="shared" si="359"/>
        <v/>
      </c>
      <c r="AL994" s="2" t="str">
        <f t="shared" si="360"/>
        <v/>
      </c>
      <c r="AM994" s="6" t="str">
        <f t="shared" si="361"/>
        <v/>
      </c>
      <c r="AN994" s="4" t="str">
        <f t="shared" si="362"/>
        <v/>
      </c>
      <c r="AO994" s="4" t="str">
        <f t="shared" si="363"/>
        <v/>
      </c>
      <c r="AP994" s="4" t="str">
        <f t="shared" si="364"/>
        <v/>
      </c>
      <c r="AQ994" s="4" t="str">
        <f t="shared" si="365"/>
        <v/>
      </c>
      <c r="AR994" s="4" t="str">
        <f t="shared" si="366"/>
        <v/>
      </c>
    </row>
    <row r="995" spans="8:44" s="1" customFormat="1" ht="14.25" x14ac:dyDescent="0.3">
      <c r="H995" s="50"/>
      <c r="J995" s="54"/>
      <c r="L995" s="54"/>
      <c r="R995" s="45"/>
      <c r="S995" s="54"/>
      <c r="T995" s="54"/>
      <c r="U995" s="54"/>
      <c r="V995" s="44"/>
      <c r="W995" s="27"/>
      <c r="Z995" s="27"/>
      <c r="AA995" s="8"/>
      <c r="AB995" s="81" t="str">
        <f t="shared" si="350"/>
        <v/>
      </c>
      <c r="AC995" s="6" t="str">
        <f t="shared" si="351"/>
        <v/>
      </c>
      <c r="AD995" s="1" t="str">
        <f t="shared" ca="1" si="352"/>
        <v/>
      </c>
      <c r="AE995" s="75" t="str">
        <f t="shared" si="353"/>
        <v/>
      </c>
      <c r="AF995" s="75" t="str">
        <f t="shared" si="354"/>
        <v/>
      </c>
      <c r="AG995" s="4" t="str">
        <f t="shared" si="355"/>
        <v/>
      </c>
      <c r="AH995" s="4" t="str">
        <f t="shared" si="356"/>
        <v/>
      </c>
      <c r="AI995" s="4" t="str">
        <f t="shared" si="357"/>
        <v/>
      </c>
      <c r="AJ995" s="4" t="str">
        <f t="shared" si="358"/>
        <v/>
      </c>
      <c r="AK995" s="4" t="str">
        <f t="shared" si="359"/>
        <v/>
      </c>
      <c r="AL995" s="2" t="str">
        <f t="shared" si="360"/>
        <v/>
      </c>
      <c r="AM995" s="6" t="str">
        <f t="shared" si="361"/>
        <v/>
      </c>
      <c r="AN995" s="4" t="str">
        <f t="shared" si="362"/>
        <v/>
      </c>
      <c r="AO995" s="4" t="str">
        <f t="shared" si="363"/>
        <v/>
      </c>
      <c r="AP995" s="4" t="str">
        <f t="shared" si="364"/>
        <v/>
      </c>
      <c r="AQ995" s="4" t="str">
        <f t="shared" si="365"/>
        <v/>
      </c>
      <c r="AR995" s="4" t="str">
        <f t="shared" si="366"/>
        <v/>
      </c>
    </row>
    <row r="996" spans="8:44" s="1" customFormat="1" ht="14.25" x14ac:dyDescent="0.3">
      <c r="H996" s="50"/>
      <c r="J996" s="54"/>
      <c r="L996" s="54"/>
      <c r="R996" s="45"/>
      <c r="S996" s="54"/>
      <c r="T996" s="54"/>
      <c r="U996" s="54"/>
      <c r="V996" s="44"/>
      <c r="W996" s="27"/>
      <c r="Z996" s="27"/>
      <c r="AA996" s="8"/>
      <c r="AB996" s="81" t="str">
        <f t="shared" si="350"/>
        <v/>
      </c>
      <c r="AC996" s="6" t="str">
        <f t="shared" si="351"/>
        <v/>
      </c>
      <c r="AD996" s="1" t="str">
        <f t="shared" ca="1" si="352"/>
        <v/>
      </c>
      <c r="AE996" s="75" t="str">
        <f t="shared" si="353"/>
        <v/>
      </c>
      <c r="AF996" s="75" t="str">
        <f t="shared" si="354"/>
        <v/>
      </c>
      <c r="AG996" s="4" t="str">
        <f t="shared" si="355"/>
        <v/>
      </c>
      <c r="AH996" s="4" t="str">
        <f t="shared" si="356"/>
        <v/>
      </c>
      <c r="AI996" s="4" t="str">
        <f t="shared" si="357"/>
        <v/>
      </c>
      <c r="AJ996" s="4" t="str">
        <f t="shared" si="358"/>
        <v/>
      </c>
      <c r="AK996" s="4" t="str">
        <f t="shared" si="359"/>
        <v/>
      </c>
      <c r="AL996" s="2" t="str">
        <f t="shared" si="360"/>
        <v/>
      </c>
      <c r="AM996" s="6" t="str">
        <f t="shared" si="361"/>
        <v/>
      </c>
      <c r="AN996" s="4" t="str">
        <f t="shared" si="362"/>
        <v/>
      </c>
      <c r="AO996" s="4" t="str">
        <f t="shared" si="363"/>
        <v/>
      </c>
      <c r="AP996" s="4" t="str">
        <f t="shared" si="364"/>
        <v/>
      </c>
      <c r="AQ996" s="4" t="str">
        <f t="shared" si="365"/>
        <v/>
      </c>
      <c r="AR996" s="4" t="str">
        <f t="shared" si="366"/>
        <v/>
      </c>
    </row>
    <row r="997" spans="8:44" s="1" customFormat="1" ht="14.25" x14ac:dyDescent="0.3">
      <c r="H997" s="50"/>
      <c r="J997" s="54"/>
      <c r="L997" s="54"/>
      <c r="R997" s="45"/>
      <c r="S997" s="54"/>
      <c r="T997" s="54"/>
      <c r="U997" s="54"/>
      <c r="V997" s="44"/>
      <c r="W997" s="27"/>
      <c r="Z997" s="27"/>
      <c r="AA997" s="8"/>
      <c r="AB997" s="81" t="str">
        <f t="shared" si="350"/>
        <v/>
      </c>
      <c r="AC997" s="6" t="str">
        <f t="shared" si="351"/>
        <v/>
      </c>
      <c r="AD997" s="1" t="str">
        <f t="shared" ca="1" si="352"/>
        <v/>
      </c>
      <c r="AE997" s="75" t="str">
        <f t="shared" si="353"/>
        <v/>
      </c>
      <c r="AF997" s="75" t="str">
        <f t="shared" si="354"/>
        <v/>
      </c>
      <c r="AG997" s="4" t="str">
        <f t="shared" si="355"/>
        <v/>
      </c>
      <c r="AH997" s="4" t="str">
        <f t="shared" si="356"/>
        <v/>
      </c>
      <c r="AI997" s="4" t="str">
        <f t="shared" si="357"/>
        <v/>
      </c>
      <c r="AJ997" s="4" t="str">
        <f t="shared" si="358"/>
        <v/>
      </c>
      <c r="AK997" s="4" t="str">
        <f t="shared" si="359"/>
        <v/>
      </c>
      <c r="AL997" s="2" t="str">
        <f t="shared" si="360"/>
        <v/>
      </c>
      <c r="AM997" s="6" t="str">
        <f t="shared" si="361"/>
        <v/>
      </c>
      <c r="AN997" s="4" t="str">
        <f t="shared" si="362"/>
        <v/>
      </c>
      <c r="AO997" s="4" t="str">
        <f t="shared" si="363"/>
        <v/>
      </c>
      <c r="AP997" s="4" t="str">
        <f t="shared" si="364"/>
        <v/>
      </c>
      <c r="AQ997" s="4" t="str">
        <f t="shared" si="365"/>
        <v/>
      </c>
      <c r="AR997" s="4" t="str">
        <f t="shared" si="366"/>
        <v/>
      </c>
    </row>
    <row r="998" spans="8:44" s="1" customFormat="1" ht="14.25" x14ac:dyDescent="0.3">
      <c r="H998" s="50"/>
      <c r="J998" s="54"/>
      <c r="L998" s="54"/>
      <c r="R998" s="45"/>
      <c r="S998" s="54"/>
      <c r="T998" s="54"/>
      <c r="U998" s="54"/>
      <c r="V998" s="44"/>
      <c r="W998" s="27"/>
      <c r="Z998" s="27"/>
      <c r="AA998" s="8"/>
      <c r="AB998" s="81" t="str">
        <f t="shared" si="350"/>
        <v/>
      </c>
      <c r="AC998" s="6" t="str">
        <f t="shared" si="351"/>
        <v/>
      </c>
      <c r="AD998" s="1" t="str">
        <f t="shared" ca="1" si="352"/>
        <v/>
      </c>
      <c r="AE998" s="75" t="str">
        <f t="shared" si="353"/>
        <v/>
      </c>
      <c r="AF998" s="75" t="str">
        <f t="shared" si="354"/>
        <v/>
      </c>
      <c r="AG998" s="4" t="str">
        <f t="shared" si="355"/>
        <v/>
      </c>
      <c r="AH998" s="4" t="str">
        <f t="shared" si="356"/>
        <v/>
      </c>
      <c r="AI998" s="4" t="str">
        <f t="shared" si="357"/>
        <v/>
      </c>
      <c r="AJ998" s="4" t="str">
        <f t="shared" si="358"/>
        <v/>
      </c>
      <c r="AK998" s="4" t="str">
        <f t="shared" si="359"/>
        <v/>
      </c>
      <c r="AL998" s="2" t="str">
        <f t="shared" si="360"/>
        <v/>
      </c>
      <c r="AM998" s="6" t="str">
        <f t="shared" si="361"/>
        <v/>
      </c>
      <c r="AN998" s="4" t="str">
        <f t="shared" si="362"/>
        <v/>
      </c>
      <c r="AO998" s="4" t="str">
        <f t="shared" si="363"/>
        <v/>
      </c>
      <c r="AP998" s="4" t="str">
        <f t="shared" si="364"/>
        <v/>
      </c>
      <c r="AQ998" s="4" t="str">
        <f t="shared" si="365"/>
        <v/>
      </c>
      <c r="AR998" s="4" t="str">
        <f t="shared" si="366"/>
        <v/>
      </c>
    </row>
    <row r="999" spans="8:44" s="1" customFormat="1" ht="14.25" x14ac:dyDescent="0.3">
      <c r="H999" s="50"/>
      <c r="J999" s="54"/>
      <c r="L999" s="54"/>
      <c r="R999" s="45"/>
      <c r="S999" s="54"/>
      <c r="T999" s="54"/>
      <c r="U999" s="54"/>
      <c r="V999" s="44"/>
      <c r="W999" s="27"/>
      <c r="Z999" s="27"/>
      <c r="AA999" s="8"/>
      <c r="AB999" s="81" t="str">
        <f t="shared" si="350"/>
        <v/>
      </c>
      <c r="AC999" s="6" t="str">
        <f t="shared" si="351"/>
        <v/>
      </c>
      <c r="AD999" s="1" t="str">
        <f t="shared" ca="1" si="352"/>
        <v/>
      </c>
      <c r="AE999" s="75" t="str">
        <f t="shared" si="353"/>
        <v/>
      </c>
      <c r="AF999" s="75" t="str">
        <f t="shared" si="354"/>
        <v/>
      </c>
      <c r="AG999" s="4" t="str">
        <f t="shared" si="355"/>
        <v/>
      </c>
      <c r="AH999" s="4" t="str">
        <f t="shared" si="356"/>
        <v/>
      </c>
      <c r="AI999" s="4" t="str">
        <f t="shared" si="357"/>
        <v/>
      </c>
      <c r="AJ999" s="4" t="str">
        <f t="shared" si="358"/>
        <v/>
      </c>
      <c r="AK999" s="4" t="str">
        <f t="shared" si="359"/>
        <v/>
      </c>
      <c r="AL999" s="2" t="str">
        <f t="shared" si="360"/>
        <v/>
      </c>
      <c r="AM999" s="6" t="str">
        <f t="shared" si="361"/>
        <v/>
      </c>
      <c r="AN999" s="4" t="str">
        <f t="shared" si="362"/>
        <v/>
      </c>
      <c r="AO999" s="4" t="str">
        <f t="shared" si="363"/>
        <v/>
      </c>
      <c r="AP999" s="4" t="str">
        <f t="shared" si="364"/>
        <v/>
      </c>
      <c r="AQ999" s="4" t="str">
        <f t="shared" si="365"/>
        <v/>
      </c>
      <c r="AR999" s="4" t="str">
        <f t="shared" si="366"/>
        <v/>
      </c>
    </row>
    <row r="1000" spans="8:44" s="1" customFormat="1" ht="14.25" x14ac:dyDescent="0.3">
      <c r="H1000" s="50"/>
      <c r="J1000" s="54"/>
      <c r="L1000" s="54"/>
      <c r="R1000" s="45"/>
      <c r="S1000" s="54"/>
      <c r="T1000" s="54"/>
      <c r="U1000" s="54"/>
      <c r="V1000" s="44"/>
      <c r="W1000" s="27"/>
      <c r="Z1000" s="27"/>
      <c r="AA1000" s="8"/>
      <c r="AB1000" s="81" t="str">
        <f t="shared" si="350"/>
        <v/>
      </c>
      <c r="AC1000" s="6" t="str">
        <f t="shared" si="351"/>
        <v/>
      </c>
      <c r="AD1000" s="1" t="str">
        <f t="shared" ca="1" si="352"/>
        <v/>
      </c>
      <c r="AE1000" s="75" t="str">
        <f t="shared" si="353"/>
        <v/>
      </c>
      <c r="AF1000" s="75" t="str">
        <f t="shared" si="354"/>
        <v/>
      </c>
      <c r="AG1000" s="4" t="str">
        <f t="shared" si="355"/>
        <v/>
      </c>
      <c r="AH1000" s="4" t="str">
        <f t="shared" si="356"/>
        <v/>
      </c>
      <c r="AI1000" s="4" t="str">
        <f t="shared" si="357"/>
        <v/>
      </c>
      <c r="AJ1000" s="4" t="str">
        <f t="shared" si="358"/>
        <v/>
      </c>
      <c r="AK1000" s="4" t="str">
        <f t="shared" si="359"/>
        <v/>
      </c>
      <c r="AL1000" s="2" t="str">
        <f t="shared" si="360"/>
        <v/>
      </c>
      <c r="AM1000" s="6" t="str">
        <f t="shared" si="361"/>
        <v/>
      </c>
      <c r="AN1000" s="4" t="str">
        <f t="shared" si="362"/>
        <v/>
      </c>
      <c r="AO1000" s="4" t="str">
        <f t="shared" si="363"/>
        <v/>
      </c>
      <c r="AP1000" s="4" t="str">
        <f t="shared" si="364"/>
        <v/>
      </c>
      <c r="AQ1000" s="4" t="str">
        <f t="shared" si="365"/>
        <v/>
      </c>
      <c r="AR1000" s="4" t="str">
        <f t="shared" si="366"/>
        <v/>
      </c>
    </row>
    <row r="1001" spans="8:44" s="1" customFormat="1" ht="14.25" x14ac:dyDescent="0.3">
      <c r="H1001" s="50"/>
      <c r="J1001" s="54"/>
      <c r="L1001" s="54"/>
      <c r="R1001" s="45"/>
      <c r="S1001" s="54"/>
      <c r="T1001" s="54"/>
      <c r="U1001" s="54"/>
      <c r="V1001" s="44"/>
      <c r="W1001" s="27"/>
      <c r="Z1001" s="27"/>
      <c r="AA1001" s="8"/>
      <c r="AB1001" s="81" t="str">
        <f t="shared" si="350"/>
        <v/>
      </c>
      <c r="AC1001" s="6" t="str">
        <f t="shared" si="351"/>
        <v/>
      </c>
      <c r="AD1001" s="1" t="str">
        <f t="shared" ca="1" si="352"/>
        <v/>
      </c>
      <c r="AE1001" s="75" t="str">
        <f t="shared" si="353"/>
        <v/>
      </c>
      <c r="AF1001" s="75" t="str">
        <f t="shared" si="354"/>
        <v/>
      </c>
      <c r="AG1001" s="4" t="str">
        <f t="shared" si="355"/>
        <v/>
      </c>
      <c r="AH1001" s="4" t="str">
        <f t="shared" si="356"/>
        <v/>
      </c>
      <c r="AI1001" s="4" t="str">
        <f t="shared" si="357"/>
        <v/>
      </c>
      <c r="AJ1001" s="4" t="str">
        <f t="shared" si="358"/>
        <v/>
      </c>
      <c r="AK1001" s="4" t="str">
        <f t="shared" si="359"/>
        <v/>
      </c>
      <c r="AL1001" s="2" t="str">
        <f t="shared" si="360"/>
        <v/>
      </c>
      <c r="AM1001" s="6" t="str">
        <f t="shared" si="361"/>
        <v/>
      </c>
      <c r="AN1001" s="4" t="str">
        <f t="shared" si="362"/>
        <v/>
      </c>
      <c r="AO1001" s="4" t="str">
        <f t="shared" si="363"/>
        <v/>
      </c>
      <c r="AP1001" s="4" t="str">
        <f t="shared" si="364"/>
        <v/>
      </c>
      <c r="AQ1001" s="4" t="str">
        <f t="shared" si="365"/>
        <v/>
      </c>
      <c r="AR1001" s="4" t="str">
        <f t="shared" si="366"/>
        <v/>
      </c>
    </row>
    <row r="1002" spans="8:44" s="1" customFormat="1" ht="14.25" x14ac:dyDescent="0.3">
      <c r="H1002" s="50"/>
      <c r="J1002" s="54"/>
      <c r="L1002" s="54"/>
      <c r="R1002" s="45"/>
      <c r="S1002" s="54"/>
      <c r="T1002" s="54"/>
      <c r="U1002" s="54"/>
      <c r="V1002" s="44"/>
      <c r="W1002" s="27"/>
      <c r="Z1002" s="27"/>
      <c r="AA1002" s="8"/>
      <c r="AB1002" s="81" t="str">
        <f t="shared" si="350"/>
        <v/>
      </c>
      <c r="AC1002" s="6" t="str">
        <f t="shared" si="351"/>
        <v/>
      </c>
      <c r="AD1002" s="1" t="str">
        <f t="shared" ca="1" si="352"/>
        <v/>
      </c>
      <c r="AE1002" s="75" t="str">
        <f t="shared" si="353"/>
        <v/>
      </c>
      <c r="AF1002" s="75" t="str">
        <f t="shared" si="354"/>
        <v/>
      </c>
      <c r="AG1002" s="4" t="str">
        <f t="shared" si="355"/>
        <v/>
      </c>
      <c r="AH1002" s="4" t="str">
        <f t="shared" si="356"/>
        <v/>
      </c>
      <c r="AI1002" s="4" t="str">
        <f t="shared" si="357"/>
        <v/>
      </c>
      <c r="AJ1002" s="4" t="str">
        <f t="shared" si="358"/>
        <v/>
      </c>
      <c r="AK1002" s="4" t="str">
        <f t="shared" si="359"/>
        <v/>
      </c>
      <c r="AL1002" s="2" t="str">
        <f t="shared" si="360"/>
        <v/>
      </c>
      <c r="AM1002" s="6" t="str">
        <f t="shared" si="361"/>
        <v/>
      </c>
      <c r="AN1002" s="4" t="str">
        <f t="shared" si="362"/>
        <v/>
      </c>
      <c r="AO1002" s="4" t="str">
        <f t="shared" si="363"/>
        <v/>
      </c>
      <c r="AP1002" s="4" t="str">
        <f t="shared" si="364"/>
        <v/>
      </c>
      <c r="AQ1002" s="4" t="str">
        <f t="shared" si="365"/>
        <v/>
      </c>
      <c r="AR1002" s="4" t="str">
        <f t="shared" si="366"/>
        <v/>
      </c>
    </row>
    <row r="1003" spans="8:44" s="1" customFormat="1" ht="14.25" x14ac:dyDescent="0.3">
      <c r="H1003" s="50"/>
      <c r="J1003" s="54"/>
      <c r="L1003" s="54"/>
      <c r="R1003" s="45"/>
      <c r="S1003" s="54"/>
      <c r="T1003" s="54"/>
      <c r="U1003" s="54"/>
      <c r="V1003" s="44"/>
      <c r="W1003" s="27"/>
      <c r="Z1003" s="27"/>
      <c r="AA1003" s="8"/>
      <c r="AB1003" s="81" t="str">
        <f t="shared" si="350"/>
        <v/>
      </c>
      <c r="AC1003" s="6" t="str">
        <f t="shared" si="351"/>
        <v/>
      </c>
      <c r="AD1003" s="1" t="str">
        <f t="shared" ca="1" si="352"/>
        <v/>
      </c>
      <c r="AE1003" s="75" t="str">
        <f t="shared" si="353"/>
        <v/>
      </c>
      <c r="AF1003" s="75" t="str">
        <f t="shared" si="354"/>
        <v/>
      </c>
      <c r="AG1003" s="4" t="str">
        <f t="shared" si="355"/>
        <v/>
      </c>
      <c r="AH1003" s="4" t="str">
        <f t="shared" si="356"/>
        <v/>
      </c>
      <c r="AI1003" s="4" t="str">
        <f t="shared" si="357"/>
        <v/>
      </c>
      <c r="AJ1003" s="4" t="str">
        <f t="shared" si="358"/>
        <v/>
      </c>
      <c r="AK1003" s="4" t="str">
        <f t="shared" si="359"/>
        <v/>
      </c>
      <c r="AL1003" s="2" t="str">
        <f t="shared" si="360"/>
        <v/>
      </c>
      <c r="AM1003" s="6" t="str">
        <f t="shared" si="361"/>
        <v/>
      </c>
      <c r="AN1003" s="4" t="str">
        <f t="shared" si="362"/>
        <v/>
      </c>
      <c r="AO1003" s="4" t="str">
        <f t="shared" si="363"/>
        <v/>
      </c>
      <c r="AP1003" s="4" t="str">
        <f t="shared" si="364"/>
        <v/>
      </c>
      <c r="AQ1003" s="4" t="str">
        <f t="shared" si="365"/>
        <v/>
      </c>
      <c r="AR1003" s="4" t="str">
        <f t="shared" si="366"/>
        <v/>
      </c>
    </row>
    <row r="1004" spans="8:44" s="1" customFormat="1" ht="14.25" x14ac:dyDescent="0.3">
      <c r="H1004" s="50"/>
      <c r="J1004" s="54"/>
      <c r="L1004" s="54"/>
      <c r="R1004" s="45"/>
      <c r="S1004" s="54"/>
      <c r="T1004" s="54"/>
      <c r="U1004" s="54"/>
      <c r="V1004" s="44"/>
      <c r="W1004" s="27"/>
      <c r="Z1004" s="27"/>
      <c r="AA1004" s="8"/>
      <c r="AB1004" s="81" t="str">
        <f t="shared" si="350"/>
        <v/>
      </c>
      <c r="AC1004" s="6" t="str">
        <f t="shared" si="351"/>
        <v/>
      </c>
      <c r="AD1004" s="1" t="str">
        <f t="shared" ca="1" si="352"/>
        <v/>
      </c>
      <c r="AE1004" s="75" t="str">
        <f t="shared" si="353"/>
        <v/>
      </c>
      <c r="AF1004" s="75" t="str">
        <f t="shared" si="354"/>
        <v/>
      </c>
      <c r="AG1004" s="4" t="str">
        <f t="shared" si="355"/>
        <v/>
      </c>
      <c r="AH1004" s="4" t="str">
        <f t="shared" si="356"/>
        <v/>
      </c>
      <c r="AI1004" s="4" t="str">
        <f t="shared" si="357"/>
        <v/>
      </c>
      <c r="AJ1004" s="4" t="str">
        <f t="shared" si="358"/>
        <v/>
      </c>
      <c r="AK1004" s="4" t="str">
        <f t="shared" si="359"/>
        <v/>
      </c>
      <c r="AL1004" s="2" t="str">
        <f t="shared" si="360"/>
        <v/>
      </c>
      <c r="AM1004" s="6" t="str">
        <f t="shared" si="361"/>
        <v/>
      </c>
      <c r="AN1004" s="4" t="str">
        <f t="shared" si="362"/>
        <v/>
      </c>
      <c r="AO1004" s="4" t="str">
        <f t="shared" si="363"/>
        <v/>
      </c>
      <c r="AP1004" s="4" t="str">
        <f t="shared" si="364"/>
        <v/>
      </c>
      <c r="AQ1004" s="4" t="str">
        <f t="shared" si="365"/>
        <v/>
      </c>
      <c r="AR1004" s="4" t="str">
        <f t="shared" si="366"/>
        <v/>
      </c>
    </row>
    <row r="1005" spans="8:44" s="1" customFormat="1" ht="14.25" x14ac:dyDescent="0.3">
      <c r="H1005" s="50"/>
      <c r="J1005" s="54"/>
      <c r="L1005" s="54"/>
      <c r="R1005" s="45"/>
      <c r="S1005" s="54"/>
      <c r="T1005" s="54"/>
      <c r="U1005" s="54"/>
      <c r="V1005" s="44"/>
      <c r="W1005" s="27"/>
      <c r="Z1005" s="27"/>
      <c r="AA1005" s="8"/>
      <c r="AB1005" s="81" t="str">
        <f t="shared" si="350"/>
        <v/>
      </c>
      <c r="AC1005" s="6" t="str">
        <f t="shared" si="351"/>
        <v/>
      </c>
      <c r="AD1005" s="1" t="str">
        <f t="shared" ca="1" si="352"/>
        <v/>
      </c>
      <c r="AE1005" s="75" t="str">
        <f t="shared" si="353"/>
        <v/>
      </c>
      <c r="AF1005" s="75" t="str">
        <f t="shared" si="354"/>
        <v/>
      </c>
      <c r="AG1005" s="4" t="str">
        <f t="shared" si="355"/>
        <v/>
      </c>
      <c r="AH1005" s="4" t="str">
        <f t="shared" si="356"/>
        <v/>
      </c>
      <c r="AI1005" s="4" t="str">
        <f t="shared" si="357"/>
        <v/>
      </c>
      <c r="AJ1005" s="4" t="str">
        <f t="shared" si="358"/>
        <v/>
      </c>
      <c r="AK1005" s="4" t="str">
        <f t="shared" si="359"/>
        <v/>
      </c>
      <c r="AL1005" s="2" t="str">
        <f t="shared" si="360"/>
        <v/>
      </c>
      <c r="AM1005" s="6" t="str">
        <f t="shared" si="361"/>
        <v/>
      </c>
      <c r="AN1005" s="4" t="str">
        <f t="shared" si="362"/>
        <v/>
      </c>
      <c r="AO1005" s="4" t="str">
        <f t="shared" si="363"/>
        <v/>
      </c>
      <c r="AP1005" s="4" t="str">
        <f t="shared" si="364"/>
        <v/>
      </c>
      <c r="AQ1005" s="4" t="str">
        <f t="shared" si="365"/>
        <v/>
      </c>
      <c r="AR1005" s="4" t="str">
        <f t="shared" si="366"/>
        <v/>
      </c>
    </row>
    <row r="1006" spans="8:44" s="1" customFormat="1" ht="14.25" x14ac:dyDescent="0.3">
      <c r="H1006" s="50"/>
      <c r="J1006" s="54"/>
      <c r="L1006" s="54"/>
      <c r="R1006" s="45"/>
      <c r="S1006" s="54"/>
      <c r="T1006" s="54"/>
      <c r="U1006" s="54"/>
      <c r="V1006" s="44"/>
      <c r="W1006" s="27"/>
      <c r="Z1006" s="27"/>
      <c r="AA1006" s="8"/>
      <c r="AB1006" s="81" t="str">
        <f t="shared" si="350"/>
        <v/>
      </c>
      <c r="AC1006" s="6" t="str">
        <f t="shared" si="351"/>
        <v/>
      </c>
      <c r="AD1006" s="1" t="str">
        <f t="shared" ca="1" si="352"/>
        <v/>
      </c>
      <c r="AE1006" s="75" t="str">
        <f t="shared" si="353"/>
        <v/>
      </c>
      <c r="AF1006" s="75" t="str">
        <f t="shared" si="354"/>
        <v/>
      </c>
      <c r="AG1006" s="4" t="str">
        <f t="shared" si="355"/>
        <v/>
      </c>
      <c r="AH1006" s="4" t="str">
        <f t="shared" si="356"/>
        <v/>
      </c>
      <c r="AI1006" s="4" t="str">
        <f t="shared" si="357"/>
        <v/>
      </c>
      <c r="AJ1006" s="4" t="str">
        <f t="shared" si="358"/>
        <v/>
      </c>
      <c r="AK1006" s="4" t="str">
        <f t="shared" si="359"/>
        <v/>
      </c>
      <c r="AL1006" s="2" t="str">
        <f t="shared" si="360"/>
        <v/>
      </c>
      <c r="AM1006" s="6" t="str">
        <f t="shared" si="361"/>
        <v/>
      </c>
      <c r="AN1006" s="4" t="str">
        <f t="shared" si="362"/>
        <v/>
      </c>
      <c r="AO1006" s="4" t="str">
        <f t="shared" si="363"/>
        <v/>
      </c>
      <c r="AP1006" s="4" t="str">
        <f t="shared" si="364"/>
        <v/>
      </c>
      <c r="AQ1006" s="4" t="str">
        <f t="shared" si="365"/>
        <v/>
      </c>
      <c r="AR1006" s="4" t="str">
        <f t="shared" si="366"/>
        <v/>
      </c>
    </row>
    <row r="1007" spans="8:44" s="1" customFormat="1" ht="14.25" x14ac:dyDescent="0.3">
      <c r="H1007" s="50"/>
      <c r="J1007" s="54"/>
      <c r="L1007" s="54"/>
      <c r="R1007" s="45"/>
      <c r="S1007" s="54"/>
      <c r="T1007" s="54"/>
      <c r="U1007" s="54"/>
      <c r="V1007" s="44"/>
      <c r="W1007" s="27"/>
      <c r="Z1007" s="27"/>
      <c r="AA1007" s="8"/>
      <c r="AB1007" s="81" t="str">
        <f t="shared" si="350"/>
        <v/>
      </c>
      <c r="AC1007" s="6" t="str">
        <f t="shared" si="351"/>
        <v/>
      </c>
      <c r="AD1007" s="1" t="str">
        <f t="shared" ca="1" si="352"/>
        <v/>
      </c>
      <c r="AE1007" s="75" t="str">
        <f t="shared" si="353"/>
        <v/>
      </c>
      <c r="AF1007" s="75" t="str">
        <f t="shared" si="354"/>
        <v/>
      </c>
      <c r="AG1007" s="4" t="str">
        <f t="shared" si="355"/>
        <v/>
      </c>
      <c r="AH1007" s="4" t="str">
        <f t="shared" si="356"/>
        <v/>
      </c>
      <c r="AI1007" s="4" t="str">
        <f t="shared" si="357"/>
        <v/>
      </c>
      <c r="AJ1007" s="4" t="str">
        <f t="shared" si="358"/>
        <v/>
      </c>
      <c r="AK1007" s="4" t="str">
        <f t="shared" si="359"/>
        <v/>
      </c>
      <c r="AL1007" s="2" t="str">
        <f t="shared" si="360"/>
        <v/>
      </c>
      <c r="AM1007" s="6" t="str">
        <f t="shared" si="361"/>
        <v/>
      </c>
      <c r="AN1007" s="4" t="str">
        <f t="shared" si="362"/>
        <v/>
      </c>
      <c r="AO1007" s="4" t="str">
        <f t="shared" si="363"/>
        <v/>
      </c>
      <c r="AP1007" s="4" t="str">
        <f t="shared" si="364"/>
        <v/>
      </c>
      <c r="AQ1007" s="4" t="str">
        <f t="shared" si="365"/>
        <v/>
      </c>
      <c r="AR1007" s="4" t="str">
        <f t="shared" si="366"/>
        <v/>
      </c>
    </row>
    <row r="1008" spans="8:44" s="1" customFormat="1" ht="14.25" x14ac:dyDescent="0.3">
      <c r="H1008" s="50"/>
      <c r="J1008" s="54"/>
      <c r="L1008" s="54"/>
      <c r="R1008" s="45"/>
      <c r="S1008" s="54"/>
      <c r="T1008" s="54"/>
      <c r="U1008" s="54"/>
      <c r="V1008" s="44"/>
      <c r="W1008" s="27"/>
      <c r="Z1008" s="27"/>
      <c r="AA1008" s="8"/>
      <c r="AB1008" s="81" t="str">
        <f t="shared" si="350"/>
        <v/>
      </c>
      <c r="AC1008" s="6" t="str">
        <f t="shared" si="351"/>
        <v/>
      </c>
      <c r="AD1008" s="1" t="str">
        <f t="shared" ca="1" si="352"/>
        <v/>
      </c>
      <c r="AE1008" s="75" t="str">
        <f t="shared" si="353"/>
        <v/>
      </c>
      <c r="AF1008" s="75" t="str">
        <f t="shared" si="354"/>
        <v/>
      </c>
      <c r="AG1008" s="4" t="str">
        <f t="shared" si="355"/>
        <v/>
      </c>
      <c r="AH1008" s="4" t="str">
        <f t="shared" si="356"/>
        <v/>
      </c>
      <c r="AI1008" s="4" t="str">
        <f t="shared" si="357"/>
        <v/>
      </c>
      <c r="AJ1008" s="4" t="str">
        <f t="shared" si="358"/>
        <v/>
      </c>
      <c r="AK1008" s="4" t="str">
        <f t="shared" si="359"/>
        <v/>
      </c>
      <c r="AL1008" s="2" t="str">
        <f t="shared" si="360"/>
        <v/>
      </c>
      <c r="AM1008" s="6" t="str">
        <f t="shared" si="361"/>
        <v/>
      </c>
      <c r="AN1008" s="4" t="str">
        <f t="shared" si="362"/>
        <v/>
      </c>
      <c r="AO1008" s="4" t="str">
        <f t="shared" si="363"/>
        <v/>
      </c>
      <c r="AP1008" s="4" t="str">
        <f t="shared" si="364"/>
        <v/>
      </c>
      <c r="AQ1008" s="4" t="str">
        <f t="shared" si="365"/>
        <v/>
      </c>
      <c r="AR1008" s="4" t="str">
        <f t="shared" si="366"/>
        <v/>
      </c>
    </row>
    <row r="1009" spans="8:44" s="1" customFormat="1" ht="14.25" x14ac:dyDescent="0.3">
      <c r="H1009" s="50"/>
      <c r="J1009" s="54"/>
      <c r="L1009" s="54"/>
      <c r="R1009" s="45"/>
      <c r="S1009" s="54"/>
      <c r="T1009" s="54"/>
      <c r="U1009" s="54"/>
      <c r="V1009" s="44"/>
      <c r="W1009" s="27"/>
      <c r="Z1009" s="27"/>
      <c r="AA1009" s="8"/>
      <c r="AB1009" s="81" t="str">
        <f t="shared" si="350"/>
        <v/>
      </c>
      <c r="AC1009" s="6" t="str">
        <f t="shared" si="351"/>
        <v/>
      </c>
      <c r="AD1009" s="1" t="str">
        <f t="shared" ca="1" si="352"/>
        <v/>
      </c>
      <c r="AE1009" s="75" t="str">
        <f t="shared" si="353"/>
        <v/>
      </c>
      <c r="AF1009" s="75" t="str">
        <f t="shared" si="354"/>
        <v/>
      </c>
      <c r="AG1009" s="4" t="str">
        <f t="shared" si="355"/>
        <v/>
      </c>
      <c r="AH1009" s="4" t="str">
        <f t="shared" si="356"/>
        <v/>
      </c>
      <c r="AI1009" s="4" t="str">
        <f t="shared" si="357"/>
        <v/>
      </c>
      <c r="AJ1009" s="4" t="str">
        <f t="shared" si="358"/>
        <v/>
      </c>
      <c r="AK1009" s="4" t="str">
        <f t="shared" si="359"/>
        <v/>
      </c>
      <c r="AL1009" s="2" t="str">
        <f t="shared" si="360"/>
        <v/>
      </c>
      <c r="AM1009" s="6" t="str">
        <f t="shared" si="361"/>
        <v/>
      </c>
      <c r="AN1009" s="4" t="str">
        <f t="shared" si="362"/>
        <v/>
      </c>
      <c r="AO1009" s="4" t="str">
        <f t="shared" si="363"/>
        <v/>
      </c>
      <c r="AP1009" s="4" t="str">
        <f t="shared" si="364"/>
        <v/>
      </c>
      <c r="AQ1009" s="4" t="str">
        <f t="shared" si="365"/>
        <v/>
      </c>
      <c r="AR1009" s="4" t="str">
        <f t="shared" si="366"/>
        <v/>
      </c>
    </row>
    <row r="1010" spans="8:44" s="1" customFormat="1" ht="14.25" x14ac:dyDescent="0.3">
      <c r="H1010" s="50"/>
      <c r="J1010" s="54"/>
      <c r="L1010" s="54"/>
      <c r="R1010" s="45"/>
      <c r="S1010" s="54"/>
      <c r="T1010" s="54"/>
      <c r="U1010" s="54"/>
      <c r="V1010" s="44"/>
      <c r="W1010" s="27"/>
      <c r="Z1010" s="27"/>
      <c r="AA1010" s="8"/>
      <c r="AB1010" s="81" t="str">
        <f t="shared" si="350"/>
        <v/>
      </c>
      <c r="AC1010" s="6" t="str">
        <f t="shared" si="351"/>
        <v/>
      </c>
      <c r="AD1010" s="1" t="str">
        <f t="shared" ca="1" si="352"/>
        <v/>
      </c>
      <c r="AE1010" s="75" t="str">
        <f t="shared" si="353"/>
        <v/>
      </c>
      <c r="AF1010" s="75" t="str">
        <f t="shared" si="354"/>
        <v/>
      </c>
      <c r="AG1010" s="4" t="str">
        <f t="shared" si="355"/>
        <v/>
      </c>
      <c r="AH1010" s="4" t="str">
        <f t="shared" si="356"/>
        <v/>
      </c>
      <c r="AI1010" s="4" t="str">
        <f t="shared" si="357"/>
        <v/>
      </c>
      <c r="AJ1010" s="4" t="str">
        <f t="shared" si="358"/>
        <v/>
      </c>
      <c r="AK1010" s="4" t="str">
        <f t="shared" si="359"/>
        <v/>
      </c>
      <c r="AL1010" s="2" t="str">
        <f t="shared" si="360"/>
        <v/>
      </c>
      <c r="AM1010" s="6" t="str">
        <f t="shared" si="361"/>
        <v/>
      </c>
      <c r="AN1010" s="4" t="str">
        <f t="shared" si="362"/>
        <v/>
      </c>
      <c r="AO1010" s="4" t="str">
        <f t="shared" si="363"/>
        <v/>
      </c>
      <c r="AP1010" s="4" t="str">
        <f t="shared" si="364"/>
        <v/>
      </c>
      <c r="AQ1010" s="4" t="str">
        <f t="shared" si="365"/>
        <v/>
      </c>
      <c r="AR1010" s="4" t="str">
        <f t="shared" si="366"/>
        <v/>
      </c>
    </row>
    <row r="1011" spans="8:44" s="1" customFormat="1" ht="14.25" x14ac:dyDescent="0.3">
      <c r="H1011" s="50"/>
      <c r="J1011" s="54"/>
      <c r="L1011" s="54"/>
      <c r="R1011" s="45"/>
      <c r="S1011" s="54"/>
      <c r="T1011" s="54"/>
      <c r="U1011" s="54"/>
      <c r="V1011" s="44"/>
      <c r="W1011" s="27"/>
      <c r="Z1011" s="27"/>
      <c r="AA1011" s="8"/>
      <c r="AB1011" s="81" t="str">
        <f t="shared" si="350"/>
        <v/>
      </c>
      <c r="AC1011" s="6" t="str">
        <f t="shared" si="351"/>
        <v/>
      </c>
      <c r="AD1011" s="1" t="str">
        <f t="shared" ca="1" si="352"/>
        <v/>
      </c>
      <c r="AE1011" s="75" t="str">
        <f t="shared" si="353"/>
        <v/>
      </c>
      <c r="AF1011" s="75" t="str">
        <f t="shared" si="354"/>
        <v/>
      </c>
      <c r="AG1011" s="4" t="str">
        <f t="shared" si="355"/>
        <v/>
      </c>
      <c r="AH1011" s="4" t="str">
        <f t="shared" si="356"/>
        <v/>
      </c>
      <c r="AI1011" s="4" t="str">
        <f t="shared" si="357"/>
        <v/>
      </c>
      <c r="AJ1011" s="4" t="str">
        <f t="shared" si="358"/>
        <v/>
      </c>
      <c r="AK1011" s="4" t="str">
        <f t="shared" si="359"/>
        <v/>
      </c>
      <c r="AL1011" s="2" t="str">
        <f t="shared" si="360"/>
        <v/>
      </c>
      <c r="AM1011" s="6" t="str">
        <f t="shared" si="361"/>
        <v/>
      </c>
      <c r="AN1011" s="4" t="str">
        <f t="shared" si="362"/>
        <v/>
      </c>
      <c r="AO1011" s="4" t="str">
        <f t="shared" si="363"/>
        <v/>
      </c>
      <c r="AP1011" s="4" t="str">
        <f t="shared" si="364"/>
        <v/>
      </c>
      <c r="AQ1011" s="4" t="str">
        <f t="shared" si="365"/>
        <v/>
      </c>
      <c r="AR1011" s="4" t="str">
        <f t="shared" si="366"/>
        <v/>
      </c>
    </row>
    <row r="1012" spans="8:44" s="1" customFormat="1" ht="14.25" x14ac:dyDescent="0.3">
      <c r="H1012" s="50"/>
      <c r="J1012" s="54"/>
      <c r="L1012" s="54"/>
      <c r="R1012" s="45"/>
      <c r="S1012" s="54"/>
      <c r="T1012" s="54"/>
      <c r="U1012" s="54"/>
      <c r="V1012" s="44"/>
      <c r="W1012" s="27"/>
      <c r="Z1012" s="27"/>
      <c r="AA1012" s="8"/>
      <c r="AB1012" s="81" t="str">
        <f t="shared" si="350"/>
        <v/>
      </c>
      <c r="AC1012" s="6" t="str">
        <f t="shared" si="351"/>
        <v/>
      </c>
      <c r="AD1012" s="1" t="str">
        <f t="shared" ca="1" si="352"/>
        <v/>
      </c>
      <c r="AE1012" s="75" t="str">
        <f t="shared" si="353"/>
        <v/>
      </c>
      <c r="AF1012" s="75" t="str">
        <f t="shared" si="354"/>
        <v/>
      </c>
      <c r="AG1012" s="4" t="str">
        <f t="shared" si="355"/>
        <v/>
      </c>
      <c r="AH1012" s="4" t="str">
        <f t="shared" si="356"/>
        <v/>
      </c>
      <c r="AI1012" s="4" t="str">
        <f t="shared" si="357"/>
        <v/>
      </c>
      <c r="AJ1012" s="4" t="str">
        <f t="shared" si="358"/>
        <v/>
      </c>
      <c r="AK1012" s="4" t="str">
        <f t="shared" si="359"/>
        <v/>
      </c>
      <c r="AL1012" s="2" t="str">
        <f t="shared" si="360"/>
        <v/>
      </c>
      <c r="AM1012" s="6" t="str">
        <f t="shared" si="361"/>
        <v/>
      </c>
      <c r="AN1012" s="4" t="str">
        <f t="shared" si="362"/>
        <v/>
      </c>
      <c r="AO1012" s="4" t="str">
        <f t="shared" si="363"/>
        <v/>
      </c>
      <c r="AP1012" s="4" t="str">
        <f t="shared" si="364"/>
        <v/>
      </c>
      <c r="AQ1012" s="4" t="str">
        <f t="shared" si="365"/>
        <v/>
      </c>
      <c r="AR1012" s="4" t="str">
        <f t="shared" si="366"/>
        <v/>
      </c>
    </row>
    <row r="1013" spans="8:44" s="1" customFormat="1" ht="14.25" x14ac:dyDescent="0.3">
      <c r="H1013" s="50"/>
      <c r="J1013" s="54"/>
      <c r="L1013" s="54"/>
      <c r="R1013" s="45"/>
      <c r="S1013" s="54"/>
      <c r="T1013" s="54"/>
      <c r="U1013" s="54"/>
      <c r="V1013" s="44"/>
      <c r="W1013" s="27"/>
      <c r="Z1013" s="27"/>
      <c r="AA1013" s="8"/>
      <c r="AB1013" s="81" t="str">
        <f t="shared" si="350"/>
        <v/>
      </c>
      <c r="AC1013" s="6" t="str">
        <f t="shared" si="351"/>
        <v/>
      </c>
      <c r="AD1013" s="1" t="str">
        <f t="shared" ca="1" si="352"/>
        <v/>
      </c>
      <c r="AE1013" s="75" t="str">
        <f t="shared" si="353"/>
        <v/>
      </c>
      <c r="AF1013" s="75" t="str">
        <f t="shared" si="354"/>
        <v/>
      </c>
      <c r="AG1013" s="4" t="str">
        <f t="shared" si="355"/>
        <v/>
      </c>
      <c r="AH1013" s="4" t="str">
        <f t="shared" si="356"/>
        <v/>
      </c>
      <c r="AI1013" s="4" t="str">
        <f t="shared" si="357"/>
        <v/>
      </c>
      <c r="AJ1013" s="4" t="str">
        <f t="shared" si="358"/>
        <v/>
      </c>
      <c r="AK1013" s="4" t="str">
        <f t="shared" si="359"/>
        <v/>
      </c>
      <c r="AL1013" s="2" t="str">
        <f t="shared" si="360"/>
        <v/>
      </c>
      <c r="AM1013" s="6" t="str">
        <f t="shared" si="361"/>
        <v/>
      </c>
      <c r="AN1013" s="4" t="str">
        <f t="shared" si="362"/>
        <v/>
      </c>
      <c r="AO1013" s="4" t="str">
        <f t="shared" si="363"/>
        <v/>
      </c>
      <c r="AP1013" s="4" t="str">
        <f t="shared" si="364"/>
        <v/>
      </c>
      <c r="AQ1013" s="4" t="str">
        <f t="shared" si="365"/>
        <v/>
      </c>
      <c r="AR1013" s="4" t="str">
        <f t="shared" si="366"/>
        <v/>
      </c>
    </row>
    <row r="1014" spans="8:44" s="1" customFormat="1" ht="14.25" x14ac:dyDescent="0.3">
      <c r="H1014" s="50"/>
      <c r="J1014" s="54"/>
      <c r="L1014" s="54"/>
      <c r="R1014" s="45"/>
      <c r="S1014" s="54"/>
      <c r="T1014" s="54"/>
      <c r="U1014" s="54"/>
      <c r="V1014" s="44"/>
      <c r="W1014" s="27"/>
      <c r="Z1014" s="27"/>
      <c r="AA1014" s="8"/>
      <c r="AB1014" s="81" t="str">
        <f t="shared" si="350"/>
        <v/>
      </c>
      <c r="AC1014" s="6" t="str">
        <f t="shared" si="351"/>
        <v/>
      </c>
      <c r="AD1014" s="1" t="str">
        <f t="shared" ca="1" si="352"/>
        <v/>
      </c>
      <c r="AE1014" s="75" t="str">
        <f t="shared" si="353"/>
        <v/>
      </c>
      <c r="AF1014" s="75" t="str">
        <f t="shared" si="354"/>
        <v/>
      </c>
      <c r="AG1014" s="4" t="str">
        <f t="shared" si="355"/>
        <v/>
      </c>
      <c r="AH1014" s="4" t="str">
        <f t="shared" si="356"/>
        <v/>
      </c>
      <c r="AI1014" s="4" t="str">
        <f t="shared" si="357"/>
        <v/>
      </c>
      <c r="AJ1014" s="4" t="str">
        <f t="shared" si="358"/>
        <v/>
      </c>
      <c r="AK1014" s="4" t="str">
        <f t="shared" si="359"/>
        <v/>
      </c>
      <c r="AL1014" s="2" t="str">
        <f t="shared" si="360"/>
        <v/>
      </c>
      <c r="AM1014" s="6" t="str">
        <f t="shared" si="361"/>
        <v/>
      </c>
      <c r="AN1014" s="4" t="str">
        <f t="shared" si="362"/>
        <v/>
      </c>
      <c r="AO1014" s="4" t="str">
        <f t="shared" si="363"/>
        <v/>
      </c>
      <c r="AP1014" s="4" t="str">
        <f t="shared" si="364"/>
        <v/>
      </c>
      <c r="AQ1014" s="4" t="str">
        <f t="shared" si="365"/>
        <v/>
      </c>
      <c r="AR1014" s="4" t="str">
        <f t="shared" si="366"/>
        <v/>
      </c>
    </row>
    <row r="1015" spans="8:44" s="1" customFormat="1" ht="14.25" x14ac:dyDescent="0.3">
      <c r="H1015" s="50"/>
      <c r="J1015" s="54"/>
      <c r="L1015" s="54"/>
      <c r="R1015" s="45"/>
      <c r="S1015" s="54"/>
      <c r="T1015" s="54"/>
      <c r="U1015" s="54"/>
      <c r="V1015" s="44"/>
      <c r="W1015" s="27"/>
      <c r="Z1015" s="27"/>
      <c r="AA1015" s="8"/>
      <c r="AB1015" s="81" t="str">
        <f t="shared" si="350"/>
        <v/>
      </c>
      <c r="AC1015" s="6" t="str">
        <f t="shared" si="351"/>
        <v/>
      </c>
      <c r="AD1015" s="1" t="str">
        <f t="shared" ca="1" si="352"/>
        <v/>
      </c>
      <c r="AE1015" s="75" t="str">
        <f t="shared" si="353"/>
        <v/>
      </c>
      <c r="AF1015" s="75" t="str">
        <f t="shared" si="354"/>
        <v/>
      </c>
      <c r="AG1015" s="4" t="str">
        <f t="shared" si="355"/>
        <v/>
      </c>
      <c r="AH1015" s="4" t="str">
        <f t="shared" si="356"/>
        <v/>
      </c>
      <c r="AI1015" s="4" t="str">
        <f t="shared" si="357"/>
        <v/>
      </c>
      <c r="AJ1015" s="4" t="str">
        <f t="shared" si="358"/>
        <v/>
      </c>
      <c r="AK1015" s="4" t="str">
        <f t="shared" si="359"/>
        <v/>
      </c>
      <c r="AL1015" s="2" t="str">
        <f t="shared" si="360"/>
        <v/>
      </c>
      <c r="AM1015" s="6" t="str">
        <f t="shared" si="361"/>
        <v/>
      </c>
      <c r="AN1015" s="4" t="str">
        <f t="shared" si="362"/>
        <v/>
      </c>
      <c r="AO1015" s="4" t="str">
        <f t="shared" si="363"/>
        <v/>
      </c>
      <c r="AP1015" s="4" t="str">
        <f t="shared" si="364"/>
        <v/>
      </c>
      <c r="AQ1015" s="4" t="str">
        <f t="shared" si="365"/>
        <v/>
      </c>
      <c r="AR1015" s="4" t="str">
        <f t="shared" si="366"/>
        <v/>
      </c>
    </row>
    <row r="1016" spans="8:44" s="1" customFormat="1" ht="14.25" x14ac:dyDescent="0.3">
      <c r="H1016" s="50"/>
      <c r="J1016" s="54"/>
      <c r="L1016" s="54"/>
      <c r="R1016" s="45"/>
      <c r="S1016" s="54"/>
      <c r="T1016" s="54"/>
      <c r="U1016" s="54"/>
      <c r="V1016" s="44"/>
      <c r="W1016" s="27"/>
      <c r="Z1016" s="27"/>
      <c r="AA1016" s="8"/>
      <c r="AB1016" s="81" t="str">
        <f t="shared" si="350"/>
        <v/>
      </c>
      <c r="AC1016" s="6" t="str">
        <f t="shared" si="351"/>
        <v/>
      </c>
      <c r="AD1016" s="1" t="str">
        <f t="shared" ca="1" si="352"/>
        <v/>
      </c>
      <c r="AE1016" s="75" t="str">
        <f t="shared" si="353"/>
        <v/>
      </c>
      <c r="AF1016" s="75" t="str">
        <f t="shared" si="354"/>
        <v/>
      </c>
      <c r="AG1016" s="4" t="str">
        <f t="shared" si="355"/>
        <v/>
      </c>
      <c r="AH1016" s="4" t="str">
        <f t="shared" si="356"/>
        <v/>
      </c>
      <c r="AI1016" s="4" t="str">
        <f t="shared" si="357"/>
        <v/>
      </c>
      <c r="AJ1016" s="4" t="str">
        <f t="shared" si="358"/>
        <v/>
      </c>
      <c r="AK1016" s="4" t="str">
        <f t="shared" si="359"/>
        <v/>
      </c>
      <c r="AL1016" s="2" t="str">
        <f t="shared" si="360"/>
        <v/>
      </c>
      <c r="AM1016" s="6" t="str">
        <f t="shared" si="361"/>
        <v/>
      </c>
      <c r="AN1016" s="4" t="str">
        <f t="shared" si="362"/>
        <v/>
      </c>
      <c r="AO1016" s="4" t="str">
        <f t="shared" si="363"/>
        <v/>
      </c>
      <c r="AP1016" s="4" t="str">
        <f t="shared" si="364"/>
        <v/>
      </c>
      <c r="AQ1016" s="4" t="str">
        <f t="shared" si="365"/>
        <v/>
      </c>
      <c r="AR1016" s="4" t="str">
        <f t="shared" si="366"/>
        <v/>
      </c>
    </row>
    <row r="1017" spans="8:44" s="1" customFormat="1" ht="14.25" x14ac:dyDescent="0.3">
      <c r="H1017" s="50"/>
      <c r="J1017" s="54"/>
      <c r="L1017" s="54"/>
      <c r="R1017" s="45"/>
      <c r="S1017" s="54"/>
      <c r="T1017" s="54"/>
      <c r="U1017" s="54"/>
      <c r="V1017" s="44"/>
      <c r="W1017" s="27"/>
      <c r="Z1017" s="27"/>
      <c r="AA1017" s="8"/>
      <c r="AB1017" s="81" t="str">
        <f t="shared" si="350"/>
        <v/>
      </c>
      <c r="AC1017" s="6" t="str">
        <f t="shared" si="351"/>
        <v/>
      </c>
      <c r="AD1017" s="1" t="str">
        <f t="shared" ca="1" si="352"/>
        <v/>
      </c>
      <c r="AE1017" s="75" t="str">
        <f t="shared" si="353"/>
        <v/>
      </c>
      <c r="AF1017" s="75" t="str">
        <f t="shared" si="354"/>
        <v/>
      </c>
      <c r="AG1017" s="4" t="str">
        <f t="shared" si="355"/>
        <v/>
      </c>
      <c r="AH1017" s="4" t="str">
        <f t="shared" si="356"/>
        <v/>
      </c>
      <c r="AI1017" s="4" t="str">
        <f t="shared" si="357"/>
        <v/>
      </c>
      <c r="AJ1017" s="4" t="str">
        <f t="shared" si="358"/>
        <v/>
      </c>
      <c r="AK1017" s="4" t="str">
        <f t="shared" si="359"/>
        <v/>
      </c>
      <c r="AL1017" s="2" t="str">
        <f t="shared" si="360"/>
        <v/>
      </c>
      <c r="AM1017" s="6" t="str">
        <f t="shared" si="361"/>
        <v/>
      </c>
      <c r="AN1017" s="4" t="str">
        <f t="shared" si="362"/>
        <v/>
      </c>
      <c r="AO1017" s="4" t="str">
        <f t="shared" si="363"/>
        <v/>
      </c>
      <c r="AP1017" s="4" t="str">
        <f t="shared" si="364"/>
        <v/>
      </c>
      <c r="AQ1017" s="4" t="str">
        <f t="shared" si="365"/>
        <v/>
      </c>
      <c r="AR1017" s="4" t="str">
        <f t="shared" si="366"/>
        <v/>
      </c>
    </row>
    <row r="1018" spans="8:44" s="1" customFormat="1" ht="14.25" x14ac:dyDescent="0.3">
      <c r="H1018" s="50"/>
      <c r="J1018" s="54"/>
      <c r="L1018" s="54"/>
      <c r="R1018" s="45"/>
      <c r="S1018" s="54"/>
      <c r="T1018" s="54"/>
      <c r="U1018" s="54"/>
      <c r="V1018" s="44"/>
      <c r="W1018" s="27"/>
      <c r="Z1018" s="27"/>
      <c r="AA1018" s="8"/>
      <c r="AB1018" s="81" t="str">
        <f t="shared" si="350"/>
        <v/>
      </c>
      <c r="AC1018" s="6" t="str">
        <f t="shared" si="351"/>
        <v/>
      </c>
      <c r="AD1018" s="1" t="str">
        <f t="shared" ca="1" si="352"/>
        <v/>
      </c>
      <c r="AE1018" s="75" t="str">
        <f t="shared" si="353"/>
        <v/>
      </c>
      <c r="AF1018" s="75" t="str">
        <f t="shared" si="354"/>
        <v/>
      </c>
      <c r="AG1018" s="4" t="str">
        <f t="shared" si="355"/>
        <v/>
      </c>
      <c r="AH1018" s="4" t="str">
        <f t="shared" si="356"/>
        <v/>
      </c>
      <c r="AI1018" s="4" t="str">
        <f t="shared" si="357"/>
        <v/>
      </c>
      <c r="AJ1018" s="4" t="str">
        <f t="shared" si="358"/>
        <v/>
      </c>
      <c r="AK1018" s="4" t="str">
        <f t="shared" si="359"/>
        <v/>
      </c>
      <c r="AL1018" s="2" t="str">
        <f t="shared" si="360"/>
        <v/>
      </c>
      <c r="AM1018" s="6" t="str">
        <f t="shared" si="361"/>
        <v/>
      </c>
      <c r="AN1018" s="4" t="str">
        <f t="shared" si="362"/>
        <v/>
      </c>
      <c r="AO1018" s="4" t="str">
        <f t="shared" si="363"/>
        <v/>
      </c>
      <c r="AP1018" s="4" t="str">
        <f t="shared" si="364"/>
        <v/>
      </c>
      <c r="AQ1018" s="4" t="str">
        <f t="shared" si="365"/>
        <v/>
      </c>
      <c r="AR1018" s="4" t="str">
        <f t="shared" si="366"/>
        <v/>
      </c>
    </row>
    <row r="1019" spans="8:44" s="1" customFormat="1" ht="14.25" x14ac:dyDescent="0.3">
      <c r="H1019" s="50"/>
      <c r="J1019" s="54"/>
      <c r="L1019" s="54"/>
      <c r="R1019" s="45"/>
      <c r="S1019" s="54"/>
      <c r="T1019" s="54"/>
      <c r="U1019" s="54"/>
      <c r="V1019" s="44"/>
      <c r="W1019" s="27"/>
      <c r="Z1019" s="27"/>
      <c r="AA1019" s="8"/>
      <c r="AB1019" s="81" t="str">
        <f t="shared" si="350"/>
        <v/>
      </c>
      <c r="AC1019" s="6" t="str">
        <f t="shared" si="351"/>
        <v/>
      </c>
      <c r="AD1019" s="1" t="str">
        <f t="shared" ca="1" si="352"/>
        <v/>
      </c>
      <c r="AE1019" s="75" t="str">
        <f t="shared" si="353"/>
        <v/>
      </c>
      <c r="AF1019" s="75" t="str">
        <f t="shared" si="354"/>
        <v/>
      </c>
      <c r="AG1019" s="4" t="str">
        <f t="shared" si="355"/>
        <v/>
      </c>
      <c r="AH1019" s="4" t="str">
        <f t="shared" si="356"/>
        <v/>
      </c>
      <c r="AI1019" s="4" t="str">
        <f t="shared" si="357"/>
        <v/>
      </c>
      <c r="AJ1019" s="4" t="str">
        <f t="shared" si="358"/>
        <v/>
      </c>
      <c r="AK1019" s="4" t="str">
        <f t="shared" si="359"/>
        <v/>
      </c>
      <c r="AL1019" s="2" t="str">
        <f t="shared" si="360"/>
        <v/>
      </c>
      <c r="AM1019" s="6" t="str">
        <f t="shared" si="361"/>
        <v/>
      </c>
      <c r="AN1019" s="4" t="str">
        <f t="shared" si="362"/>
        <v/>
      </c>
      <c r="AO1019" s="4" t="str">
        <f t="shared" si="363"/>
        <v/>
      </c>
      <c r="AP1019" s="4" t="str">
        <f t="shared" si="364"/>
        <v/>
      </c>
      <c r="AQ1019" s="4" t="str">
        <f t="shared" si="365"/>
        <v/>
      </c>
      <c r="AR1019" s="4" t="str">
        <f t="shared" si="366"/>
        <v/>
      </c>
    </row>
    <row r="1020" spans="8:44" s="1" customFormat="1" ht="14.25" x14ac:dyDescent="0.3">
      <c r="H1020" s="50"/>
      <c r="J1020" s="54"/>
      <c r="L1020" s="54"/>
      <c r="R1020" s="45"/>
      <c r="S1020" s="54"/>
      <c r="T1020" s="54"/>
      <c r="U1020" s="54"/>
      <c r="V1020" s="44"/>
      <c r="W1020" s="27"/>
      <c r="Z1020" s="27"/>
      <c r="AA1020" s="8"/>
      <c r="AB1020" s="81" t="str">
        <f t="shared" si="350"/>
        <v/>
      </c>
      <c r="AC1020" s="6" t="str">
        <f t="shared" si="351"/>
        <v/>
      </c>
      <c r="AD1020" s="1" t="str">
        <f t="shared" ca="1" si="352"/>
        <v/>
      </c>
      <c r="AE1020" s="75" t="str">
        <f t="shared" si="353"/>
        <v/>
      </c>
      <c r="AF1020" s="75" t="str">
        <f t="shared" si="354"/>
        <v/>
      </c>
      <c r="AG1020" s="4" t="str">
        <f t="shared" si="355"/>
        <v/>
      </c>
      <c r="AH1020" s="4" t="str">
        <f t="shared" si="356"/>
        <v/>
      </c>
      <c r="AI1020" s="4" t="str">
        <f t="shared" si="357"/>
        <v/>
      </c>
      <c r="AJ1020" s="4" t="str">
        <f t="shared" si="358"/>
        <v/>
      </c>
      <c r="AK1020" s="4" t="str">
        <f t="shared" si="359"/>
        <v/>
      </c>
      <c r="AL1020" s="2" t="str">
        <f t="shared" si="360"/>
        <v/>
      </c>
      <c r="AM1020" s="6" t="str">
        <f t="shared" si="361"/>
        <v/>
      </c>
      <c r="AN1020" s="4" t="str">
        <f t="shared" si="362"/>
        <v/>
      </c>
      <c r="AO1020" s="4" t="str">
        <f t="shared" si="363"/>
        <v/>
      </c>
      <c r="AP1020" s="4" t="str">
        <f t="shared" si="364"/>
        <v/>
      </c>
      <c r="AQ1020" s="4" t="str">
        <f t="shared" si="365"/>
        <v/>
      </c>
      <c r="AR1020" s="4" t="str">
        <f t="shared" si="366"/>
        <v/>
      </c>
    </row>
    <row r="1021" spans="8:44" s="1" customFormat="1" ht="14.25" x14ac:dyDescent="0.3">
      <c r="H1021" s="50"/>
      <c r="J1021" s="54"/>
      <c r="L1021" s="54"/>
      <c r="R1021" s="45"/>
      <c r="S1021" s="54"/>
      <c r="T1021" s="54"/>
      <c r="U1021" s="54"/>
      <c r="V1021" s="44"/>
      <c r="W1021" s="27"/>
      <c r="Z1021" s="27"/>
      <c r="AA1021" s="8"/>
      <c r="AB1021" s="81" t="str">
        <f t="shared" ref="AB1021:AB1032" si="367">IF(X1021="","",(AH1021-AG1021)/AG1021)</f>
        <v/>
      </c>
      <c r="AC1021" s="6" t="str">
        <f t="shared" ref="AC1021:AC1032" si="368">IF(X1021="","",AH1021-AG1021)</f>
        <v/>
      </c>
      <c r="AD1021" s="1" t="str">
        <f t="shared" ref="AD1021:AD1032" ca="1" si="369">IF(X1021="","",IF(W1021="","",IF(Z1021="",TODAY()-W1021,Z1021-W1021)))</f>
        <v/>
      </c>
      <c r="AE1021" s="75" t="str">
        <f t="shared" ref="AE1021:AE1032" si="370">IF(X1021="","",IF(AE1020="",IF(AM1021="","",AM1021),IF(AM1021="",AE1020,AE1020+AM1021)))</f>
        <v/>
      </c>
      <c r="AF1021" s="75" t="str">
        <f t="shared" ref="AF1021:AF1032" si="371">IF(X1021="","",IF(AF1020="",IF(AN1021="","",AN1021),IF(AN1021="",AF1020,AF1020+AN1021)))</f>
        <v/>
      </c>
      <c r="AG1021" s="4" t="str">
        <f t="shared" ref="AG1021:AG1032" si="372">IF(X1021="","",X1021*Y1021*100+AO1021+AP1021)</f>
        <v/>
      </c>
      <c r="AH1021" s="4" t="str">
        <f t="shared" ref="AH1021:AH1032" si="373">IF(X1021="","",IF(AA1021="",C1021*Y1021*100-AO1021-AQ1021-AR1021,AA1021*Y1021*100-AO1021-AQ1021-AR1021))</f>
        <v/>
      </c>
      <c r="AI1021" s="4" t="str">
        <f t="shared" ref="AI1021:AI1032" si="374">IF(X1021="","",AI1020+AC1021)</f>
        <v/>
      </c>
      <c r="AJ1021" s="4" t="str">
        <f t="shared" ref="AJ1021:AJ1032" si="375">IF(X1021="","",AO1021+AP1021+AO1021+AQ1021+AR1021)</f>
        <v/>
      </c>
      <c r="AK1021" s="4" t="str">
        <f t="shared" ref="AK1021:AK1032" si="376">IF(X1021="","",AK1020+AJ1021)</f>
        <v/>
      </c>
      <c r="AL1021" s="2" t="str">
        <f t="shared" ref="AL1021:AL1032" si="377">IF(X1021="","",0.18%)</f>
        <v/>
      </c>
      <c r="AM1021" s="6" t="str">
        <f t="shared" ref="AM1021:AM1032" si="378">IF(X1021="","",IF(Z1021="",AC1021,""))</f>
        <v/>
      </c>
      <c r="AN1021" s="4" t="str">
        <f t="shared" ref="AN1021:AN1032" si="379">IF(X1021="","",IF(Z1021="",AH1021,""))</f>
        <v/>
      </c>
      <c r="AO1021" s="4" t="str">
        <f t="shared" ref="AO1021:AO1032" si="380">IF(X1021="","",IF(LEFT(A1021,2)="sh",IF(Y1021*100/1000&lt;=1,1,Y1021*100/1000),0))</f>
        <v/>
      </c>
      <c r="AP1021" s="4" t="str">
        <f t="shared" ref="AP1021:AP1032" si="381">IF(X1021="","",IF(X1021*Y1021*100*AL1021&lt;=5,5,X1021*Y1021*100*AL1021))</f>
        <v/>
      </c>
      <c r="AQ1021" s="4" t="str">
        <f t="shared" ref="AQ1021:AQ1032" si="382">IF(X1021="","",IF(AA1021="",IF(C1021*Y1021*100*AL1021&lt;=5,5,C1021*Y1021*100*AL1021),IF(AA1021*Y1021*100*AL1021&lt;=5,5,AA1021*Y1021*100*AL1021)))</f>
        <v/>
      </c>
      <c r="AR1021" s="4" t="str">
        <f t="shared" ref="AR1021:AR1032" si="383">IF(X1021="","",IF(AA1021="",C1021*Y1021*100*0.001,AA1021*Y1021*100*0.001))</f>
        <v/>
      </c>
    </row>
    <row r="1022" spans="8:44" s="1" customFormat="1" ht="14.25" x14ac:dyDescent="0.3">
      <c r="H1022" s="50"/>
      <c r="J1022" s="54"/>
      <c r="L1022" s="54"/>
      <c r="R1022" s="45"/>
      <c r="S1022" s="54"/>
      <c r="T1022" s="54"/>
      <c r="U1022" s="54"/>
      <c r="V1022" s="44"/>
      <c r="W1022" s="27"/>
      <c r="Z1022" s="27"/>
      <c r="AA1022" s="8"/>
      <c r="AB1022" s="81" t="str">
        <f t="shared" si="367"/>
        <v/>
      </c>
      <c r="AC1022" s="6" t="str">
        <f t="shared" si="368"/>
        <v/>
      </c>
      <c r="AD1022" s="1" t="str">
        <f t="shared" ca="1" si="369"/>
        <v/>
      </c>
      <c r="AE1022" s="75" t="str">
        <f t="shared" si="370"/>
        <v/>
      </c>
      <c r="AF1022" s="75" t="str">
        <f t="shared" si="371"/>
        <v/>
      </c>
      <c r="AG1022" s="4" t="str">
        <f t="shared" si="372"/>
        <v/>
      </c>
      <c r="AH1022" s="4" t="str">
        <f t="shared" si="373"/>
        <v/>
      </c>
      <c r="AI1022" s="4" t="str">
        <f t="shared" si="374"/>
        <v/>
      </c>
      <c r="AJ1022" s="4" t="str">
        <f t="shared" si="375"/>
        <v/>
      </c>
      <c r="AK1022" s="4" t="str">
        <f t="shared" si="376"/>
        <v/>
      </c>
      <c r="AL1022" s="2" t="str">
        <f t="shared" si="377"/>
        <v/>
      </c>
      <c r="AM1022" s="6" t="str">
        <f t="shared" si="378"/>
        <v/>
      </c>
      <c r="AN1022" s="4" t="str">
        <f t="shared" si="379"/>
        <v/>
      </c>
      <c r="AO1022" s="4" t="str">
        <f t="shared" si="380"/>
        <v/>
      </c>
      <c r="AP1022" s="4" t="str">
        <f t="shared" si="381"/>
        <v/>
      </c>
      <c r="AQ1022" s="4" t="str">
        <f t="shared" si="382"/>
        <v/>
      </c>
      <c r="AR1022" s="4" t="str">
        <f t="shared" si="383"/>
        <v/>
      </c>
    </row>
    <row r="1023" spans="8:44" s="1" customFormat="1" ht="14.25" x14ac:dyDescent="0.3">
      <c r="H1023" s="50"/>
      <c r="J1023" s="54"/>
      <c r="L1023" s="54"/>
      <c r="R1023" s="45"/>
      <c r="S1023" s="54"/>
      <c r="T1023" s="54"/>
      <c r="U1023" s="54"/>
      <c r="V1023" s="44"/>
      <c r="W1023" s="27"/>
      <c r="Z1023" s="27"/>
      <c r="AA1023" s="8"/>
      <c r="AB1023" s="81" t="str">
        <f t="shared" si="367"/>
        <v/>
      </c>
      <c r="AC1023" s="6" t="str">
        <f t="shared" si="368"/>
        <v/>
      </c>
      <c r="AD1023" s="1" t="str">
        <f t="shared" ca="1" si="369"/>
        <v/>
      </c>
      <c r="AE1023" s="75" t="str">
        <f t="shared" si="370"/>
        <v/>
      </c>
      <c r="AF1023" s="75" t="str">
        <f t="shared" si="371"/>
        <v/>
      </c>
      <c r="AG1023" s="4" t="str">
        <f t="shared" si="372"/>
        <v/>
      </c>
      <c r="AH1023" s="4" t="str">
        <f t="shared" si="373"/>
        <v/>
      </c>
      <c r="AI1023" s="4" t="str">
        <f t="shared" si="374"/>
        <v/>
      </c>
      <c r="AJ1023" s="4" t="str">
        <f t="shared" si="375"/>
        <v/>
      </c>
      <c r="AK1023" s="4" t="str">
        <f t="shared" si="376"/>
        <v/>
      </c>
      <c r="AL1023" s="2" t="str">
        <f t="shared" si="377"/>
        <v/>
      </c>
      <c r="AM1023" s="6" t="str">
        <f t="shared" si="378"/>
        <v/>
      </c>
      <c r="AN1023" s="4" t="str">
        <f t="shared" si="379"/>
        <v/>
      </c>
      <c r="AO1023" s="4" t="str">
        <f t="shared" si="380"/>
        <v/>
      </c>
      <c r="AP1023" s="4" t="str">
        <f t="shared" si="381"/>
        <v/>
      </c>
      <c r="AQ1023" s="4" t="str">
        <f t="shared" si="382"/>
        <v/>
      </c>
      <c r="AR1023" s="4" t="str">
        <f t="shared" si="383"/>
        <v/>
      </c>
    </row>
    <row r="1024" spans="8:44" s="1" customFormat="1" ht="14.25" x14ac:dyDescent="0.3">
      <c r="H1024" s="50"/>
      <c r="J1024" s="54"/>
      <c r="L1024" s="54"/>
      <c r="R1024" s="45"/>
      <c r="S1024" s="54"/>
      <c r="T1024" s="54"/>
      <c r="U1024" s="54"/>
      <c r="V1024" s="44"/>
      <c r="W1024" s="27"/>
      <c r="Z1024" s="27"/>
      <c r="AA1024" s="8"/>
      <c r="AB1024" s="81" t="str">
        <f t="shared" si="367"/>
        <v/>
      </c>
      <c r="AC1024" s="6" t="str">
        <f t="shared" si="368"/>
        <v/>
      </c>
      <c r="AD1024" s="1" t="str">
        <f t="shared" ca="1" si="369"/>
        <v/>
      </c>
      <c r="AE1024" s="75" t="str">
        <f t="shared" si="370"/>
        <v/>
      </c>
      <c r="AF1024" s="75" t="str">
        <f t="shared" si="371"/>
        <v/>
      </c>
      <c r="AG1024" s="4" t="str">
        <f t="shared" si="372"/>
        <v/>
      </c>
      <c r="AH1024" s="4" t="str">
        <f t="shared" si="373"/>
        <v/>
      </c>
      <c r="AI1024" s="4" t="str">
        <f t="shared" si="374"/>
        <v/>
      </c>
      <c r="AJ1024" s="4" t="str">
        <f t="shared" si="375"/>
        <v/>
      </c>
      <c r="AK1024" s="4" t="str">
        <f t="shared" si="376"/>
        <v/>
      </c>
      <c r="AL1024" s="2" t="str">
        <f t="shared" si="377"/>
        <v/>
      </c>
      <c r="AM1024" s="6" t="str">
        <f t="shared" si="378"/>
        <v/>
      </c>
      <c r="AN1024" s="4" t="str">
        <f t="shared" si="379"/>
        <v/>
      </c>
      <c r="AO1024" s="4" t="str">
        <f t="shared" si="380"/>
        <v/>
      </c>
      <c r="AP1024" s="4" t="str">
        <f t="shared" si="381"/>
        <v/>
      </c>
      <c r="AQ1024" s="4" t="str">
        <f t="shared" si="382"/>
        <v/>
      </c>
      <c r="AR1024" s="4" t="str">
        <f t="shared" si="383"/>
        <v/>
      </c>
    </row>
    <row r="1025" spans="28:44" customFormat="1" ht="14.25" x14ac:dyDescent="0.15">
      <c r="AB1025" s="81" t="str">
        <f t="shared" si="367"/>
        <v/>
      </c>
      <c r="AC1025" s="6" t="str">
        <f t="shared" si="368"/>
        <v/>
      </c>
      <c r="AD1025" s="1" t="str">
        <f t="shared" ca="1" si="369"/>
        <v/>
      </c>
      <c r="AE1025" s="75" t="str">
        <f t="shared" si="370"/>
        <v/>
      </c>
      <c r="AF1025" s="75" t="str">
        <f t="shared" si="371"/>
        <v/>
      </c>
      <c r="AG1025" s="4" t="str">
        <f t="shared" si="372"/>
        <v/>
      </c>
      <c r="AH1025" s="4" t="str">
        <f t="shared" si="373"/>
        <v/>
      </c>
      <c r="AI1025" s="4" t="str">
        <f t="shared" si="374"/>
        <v/>
      </c>
      <c r="AJ1025" s="4" t="str">
        <f t="shared" si="375"/>
        <v/>
      </c>
      <c r="AK1025" s="4" t="str">
        <f t="shared" si="376"/>
        <v/>
      </c>
      <c r="AL1025" s="2" t="str">
        <f t="shared" si="377"/>
        <v/>
      </c>
      <c r="AM1025" s="6" t="str">
        <f t="shared" si="378"/>
        <v/>
      </c>
      <c r="AN1025" s="4" t="str">
        <f t="shared" si="379"/>
        <v/>
      </c>
      <c r="AO1025" s="4" t="str">
        <f t="shared" si="380"/>
        <v/>
      </c>
      <c r="AP1025" s="4" t="str">
        <f t="shared" si="381"/>
        <v/>
      </c>
      <c r="AQ1025" s="4" t="str">
        <f t="shared" si="382"/>
        <v/>
      </c>
      <c r="AR1025" s="4" t="str">
        <f t="shared" si="383"/>
        <v/>
      </c>
    </row>
    <row r="1026" spans="28:44" customFormat="1" ht="14.25" x14ac:dyDescent="0.15">
      <c r="AB1026" s="81" t="str">
        <f t="shared" si="367"/>
        <v/>
      </c>
      <c r="AC1026" s="6" t="str">
        <f t="shared" si="368"/>
        <v/>
      </c>
      <c r="AD1026" s="1" t="str">
        <f t="shared" ca="1" si="369"/>
        <v/>
      </c>
      <c r="AE1026" s="75" t="str">
        <f t="shared" si="370"/>
        <v/>
      </c>
      <c r="AF1026" s="75" t="str">
        <f t="shared" si="371"/>
        <v/>
      </c>
      <c r="AG1026" s="4" t="str">
        <f t="shared" si="372"/>
        <v/>
      </c>
      <c r="AH1026" s="4" t="str">
        <f t="shared" si="373"/>
        <v/>
      </c>
      <c r="AI1026" s="4" t="str">
        <f t="shared" si="374"/>
        <v/>
      </c>
      <c r="AJ1026" s="4" t="str">
        <f t="shared" si="375"/>
        <v/>
      </c>
      <c r="AK1026" s="4" t="str">
        <f t="shared" si="376"/>
        <v/>
      </c>
      <c r="AL1026" s="2" t="str">
        <f t="shared" si="377"/>
        <v/>
      </c>
      <c r="AM1026" s="6" t="str">
        <f t="shared" si="378"/>
        <v/>
      </c>
      <c r="AN1026" s="4" t="str">
        <f t="shared" si="379"/>
        <v/>
      </c>
      <c r="AO1026" s="4" t="str">
        <f t="shared" si="380"/>
        <v/>
      </c>
      <c r="AP1026" s="4" t="str">
        <f t="shared" si="381"/>
        <v/>
      </c>
      <c r="AQ1026" s="4" t="str">
        <f t="shared" si="382"/>
        <v/>
      </c>
      <c r="AR1026" s="4" t="str">
        <f t="shared" si="383"/>
        <v/>
      </c>
    </row>
    <row r="1027" spans="28:44" customFormat="1" ht="14.25" x14ac:dyDescent="0.15">
      <c r="AB1027" s="81" t="str">
        <f t="shared" si="367"/>
        <v/>
      </c>
      <c r="AC1027" s="6" t="str">
        <f t="shared" si="368"/>
        <v/>
      </c>
      <c r="AD1027" s="1" t="str">
        <f t="shared" ca="1" si="369"/>
        <v/>
      </c>
      <c r="AE1027" s="75" t="str">
        <f t="shared" si="370"/>
        <v/>
      </c>
      <c r="AF1027" s="75" t="str">
        <f t="shared" si="371"/>
        <v/>
      </c>
      <c r="AG1027" s="4" t="str">
        <f t="shared" si="372"/>
        <v/>
      </c>
      <c r="AH1027" s="4" t="str">
        <f t="shared" si="373"/>
        <v/>
      </c>
      <c r="AI1027" s="4" t="str">
        <f t="shared" si="374"/>
        <v/>
      </c>
      <c r="AJ1027" s="4" t="str">
        <f t="shared" si="375"/>
        <v/>
      </c>
      <c r="AK1027" s="4" t="str">
        <f t="shared" si="376"/>
        <v/>
      </c>
      <c r="AL1027" s="2" t="str">
        <f t="shared" si="377"/>
        <v/>
      </c>
      <c r="AM1027" s="6" t="str">
        <f t="shared" si="378"/>
        <v/>
      </c>
      <c r="AN1027" s="4" t="str">
        <f t="shared" si="379"/>
        <v/>
      </c>
      <c r="AO1027" s="4" t="str">
        <f t="shared" si="380"/>
        <v/>
      </c>
      <c r="AP1027" s="4" t="str">
        <f t="shared" si="381"/>
        <v/>
      </c>
      <c r="AQ1027" s="4" t="str">
        <f t="shared" si="382"/>
        <v/>
      </c>
      <c r="AR1027" s="4" t="str">
        <f t="shared" si="383"/>
        <v/>
      </c>
    </row>
    <row r="1028" spans="28:44" customFormat="1" ht="14.25" x14ac:dyDescent="0.15">
      <c r="AB1028" s="81" t="str">
        <f t="shared" si="367"/>
        <v/>
      </c>
      <c r="AC1028" s="6" t="str">
        <f t="shared" si="368"/>
        <v/>
      </c>
      <c r="AD1028" s="1" t="str">
        <f t="shared" ca="1" si="369"/>
        <v/>
      </c>
      <c r="AE1028" s="75" t="str">
        <f t="shared" si="370"/>
        <v/>
      </c>
      <c r="AF1028" s="75" t="str">
        <f t="shared" si="371"/>
        <v/>
      </c>
      <c r="AG1028" s="4" t="str">
        <f t="shared" si="372"/>
        <v/>
      </c>
      <c r="AH1028" s="4" t="str">
        <f t="shared" si="373"/>
        <v/>
      </c>
      <c r="AI1028" s="4" t="str">
        <f t="shared" si="374"/>
        <v/>
      </c>
      <c r="AJ1028" s="4" t="str">
        <f t="shared" si="375"/>
        <v/>
      </c>
      <c r="AK1028" s="4" t="str">
        <f t="shared" si="376"/>
        <v/>
      </c>
      <c r="AL1028" s="2" t="str">
        <f t="shared" si="377"/>
        <v/>
      </c>
      <c r="AM1028" s="6" t="str">
        <f t="shared" si="378"/>
        <v/>
      </c>
      <c r="AN1028" s="4" t="str">
        <f t="shared" si="379"/>
        <v/>
      </c>
      <c r="AO1028" s="4" t="str">
        <f t="shared" si="380"/>
        <v/>
      </c>
      <c r="AP1028" s="4" t="str">
        <f t="shared" si="381"/>
        <v/>
      </c>
      <c r="AQ1028" s="4" t="str">
        <f t="shared" si="382"/>
        <v/>
      </c>
      <c r="AR1028" s="4" t="str">
        <f t="shared" si="383"/>
        <v/>
      </c>
    </row>
    <row r="1029" spans="28:44" customFormat="1" ht="14.25" x14ac:dyDescent="0.15">
      <c r="AB1029" s="81" t="str">
        <f t="shared" si="367"/>
        <v/>
      </c>
      <c r="AC1029" s="6" t="str">
        <f t="shared" si="368"/>
        <v/>
      </c>
      <c r="AD1029" s="1" t="str">
        <f t="shared" ca="1" si="369"/>
        <v/>
      </c>
      <c r="AE1029" s="75" t="str">
        <f t="shared" si="370"/>
        <v/>
      </c>
      <c r="AF1029" s="75" t="str">
        <f t="shared" si="371"/>
        <v/>
      </c>
      <c r="AG1029" s="4" t="str">
        <f t="shared" si="372"/>
        <v/>
      </c>
      <c r="AH1029" s="4" t="str">
        <f t="shared" si="373"/>
        <v/>
      </c>
      <c r="AI1029" s="4" t="str">
        <f t="shared" si="374"/>
        <v/>
      </c>
      <c r="AJ1029" s="4" t="str">
        <f t="shared" si="375"/>
        <v/>
      </c>
      <c r="AK1029" s="4" t="str">
        <f t="shared" si="376"/>
        <v/>
      </c>
      <c r="AL1029" s="2" t="str">
        <f t="shared" si="377"/>
        <v/>
      </c>
      <c r="AM1029" s="6" t="str">
        <f t="shared" si="378"/>
        <v/>
      </c>
      <c r="AN1029" s="4" t="str">
        <f t="shared" si="379"/>
        <v/>
      </c>
      <c r="AO1029" s="4" t="str">
        <f t="shared" si="380"/>
        <v/>
      </c>
      <c r="AP1029" s="4" t="str">
        <f t="shared" si="381"/>
        <v/>
      </c>
      <c r="AQ1029" s="4" t="str">
        <f t="shared" si="382"/>
        <v/>
      </c>
      <c r="AR1029" s="4" t="str">
        <f t="shared" si="383"/>
        <v/>
      </c>
    </row>
    <row r="1030" spans="28:44" customFormat="1" ht="14.25" x14ac:dyDescent="0.15">
      <c r="AB1030" s="81" t="str">
        <f t="shared" si="367"/>
        <v/>
      </c>
      <c r="AC1030" s="6" t="str">
        <f t="shared" si="368"/>
        <v/>
      </c>
      <c r="AD1030" s="1" t="str">
        <f t="shared" ca="1" si="369"/>
        <v/>
      </c>
      <c r="AE1030" s="75" t="str">
        <f t="shared" si="370"/>
        <v/>
      </c>
      <c r="AF1030" s="75" t="str">
        <f t="shared" si="371"/>
        <v/>
      </c>
      <c r="AG1030" s="4" t="str">
        <f t="shared" si="372"/>
        <v/>
      </c>
      <c r="AH1030" s="4" t="str">
        <f t="shared" si="373"/>
        <v/>
      </c>
      <c r="AI1030" s="4" t="str">
        <f t="shared" si="374"/>
        <v/>
      </c>
      <c r="AJ1030" s="4" t="str">
        <f t="shared" si="375"/>
        <v/>
      </c>
      <c r="AK1030" s="4" t="str">
        <f t="shared" si="376"/>
        <v/>
      </c>
      <c r="AL1030" s="2" t="str">
        <f t="shared" si="377"/>
        <v/>
      </c>
      <c r="AM1030" s="6" t="str">
        <f t="shared" si="378"/>
        <v/>
      </c>
      <c r="AN1030" s="4" t="str">
        <f t="shared" si="379"/>
        <v/>
      </c>
      <c r="AO1030" s="4" t="str">
        <f t="shared" si="380"/>
        <v/>
      </c>
      <c r="AP1030" s="4" t="str">
        <f t="shared" si="381"/>
        <v/>
      </c>
      <c r="AQ1030" s="4" t="str">
        <f t="shared" si="382"/>
        <v/>
      </c>
      <c r="AR1030" s="4" t="str">
        <f t="shared" si="383"/>
        <v/>
      </c>
    </row>
    <row r="1031" spans="28:44" customFormat="1" ht="14.25" x14ac:dyDescent="0.15">
      <c r="AB1031" s="81" t="str">
        <f t="shared" si="367"/>
        <v/>
      </c>
      <c r="AC1031" s="6" t="str">
        <f t="shared" si="368"/>
        <v/>
      </c>
      <c r="AD1031" s="1" t="str">
        <f t="shared" ca="1" si="369"/>
        <v/>
      </c>
      <c r="AE1031" s="75" t="str">
        <f t="shared" si="370"/>
        <v/>
      </c>
      <c r="AF1031" s="75" t="str">
        <f t="shared" si="371"/>
        <v/>
      </c>
      <c r="AG1031" s="4" t="str">
        <f t="shared" si="372"/>
        <v/>
      </c>
      <c r="AH1031" s="4" t="str">
        <f t="shared" si="373"/>
        <v/>
      </c>
      <c r="AI1031" s="4" t="str">
        <f t="shared" si="374"/>
        <v/>
      </c>
      <c r="AJ1031" s="4" t="str">
        <f t="shared" si="375"/>
        <v/>
      </c>
      <c r="AK1031" s="4" t="str">
        <f t="shared" si="376"/>
        <v/>
      </c>
      <c r="AL1031" s="2" t="str">
        <f t="shared" si="377"/>
        <v/>
      </c>
      <c r="AM1031" s="6" t="str">
        <f t="shared" si="378"/>
        <v/>
      </c>
      <c r="AN1031" s="4" t="str">
        <f t="shared" si="379"/>
        <v/>
      </c>
      <c r="AO1031" s="4" t="str">
        <f t="shared" si="380"/>
        <v/>
      </c>
      <c r="AP1031" s="4" t="str">
        <f t="shared" si="381"/>
        <v/>
      </c>
      <c r="AQ1031" s="4" t="str">
        <f t="shared" si="382"/>
        <v/>
      </c>
      <c r="AR1031" s="4" t="str">
        <f t="shared" si="383"/>
        <v/>
      </c>
    </row>
    <row r="1032" spans="28:44" customFormat="1" ht="14.25" x14ac:dyDescent="0.15">
      <c r="AB1032" s="81" t="str">
        <f t="shared" si="367"/>
        <v/>
      </c>
      <c r="AC1032" s="6" t="str">
        <f t="shared" si="368"/>
        <v/>
      </c>
      <c r="AD1032" s="1" t="str">
        <f t="shared" ca="1" si="369"/>
        <v/>
      </c>
      <c r="AE1032" s="75" t="str">
        <f t="shared" si="370"/>
        <v/>
      </c>
      <c r="AF1032" s="75" t="str">
        <f t="shared" si="371"/>
        <v/>
      </c>
      <c r="AG1032" s="4" t="str">
        <f t="shared" si="372"/>
        <v/>
      </c>
      <c r="AH1032" s="4" t="str">
        <f t="shared" si="373"/>
        <v/>
      </c>
      <c r="AI1032" s="4" t="str">
        <f t="shared" si="374"/>
        <v/>
      </c>
      <c r="AJ1032" s="4" t="str">
        <f t="shared" si="375"/>
        <v/>
      </c>
      <c r="AK1032" s="4" t="str">
        <f t="shared" si="376"/>
        <v/>
      </c>
      <c r="AL1032" s="2" t="str">
        <f t="shared" si="377"/>
        <v/>
      </c>
      <c r="AM1032" s="6" t="str">
        <f t="shared" si="378"/>
        <v/>
      </c>
      <c r="AN1032" s="4" t="str">
        <f t="shared" si="379"/>
        <v/>
      </c>
      <c r="AO1032" s="4" t="str">
        <f t="shared" si="380"/>
        <v/>
      </c>
      <c r="AP1032" s="4" t="str">
        <f t="shared" si="381"/>
        <v/>
      </c>
      <c r="AQ1032" s="4" t="str">
        <f t="shared" si="382"/>
        <v/>
      </c>
      <c r="AR1032" s="4" t="str">
        <f t="shared" si="383"/>
        <v/>
      </c>
    </row>
    <row r="1033" spans="28:44" customFormat="1" ht="14.25" x14ac:dyDescent="0.15">
      <c r="AB1033" s="81" t="str">
        <f t="shared" ref="AB1033:AB1035" si="384">IF(A1033="","",(AH1033-AG1033)/AG1033)</f>
        <v/>
      </c>
      <c r="AC1033" s="6" t="str">
        <f t="shared" ref="AC1033:AC1035" si="385">IF(A1033="","",AH1033-AG1033)</f>
        <v/>
      </c>
      <c r="AE1033" s="76"/>
      <c r="AF1033" s="76"/>
      <c r="AG1033" s="4" t="str">
        <f t="shared" ref="AG1033:AG1035" si="386">IF(A1033="","",X1033*Y1033*100+AO1033+AP1033)</f>
        <v/>
      </c>
      <c r="AH1033" s="4" t="str">
        <f t="shared" ref="AH1033:AH1035" si="387">IF(A1033="","",IF(AA1033="",C1033*Y1033*100-AO1033-AQ1033-AR1033,AA1033*Y1033*100-AO1033-AQ1033-AR1033))</f>
        <v/>
      </c>
      <c r="AI1033" s="4" t="str">
        <f t="shared" ref="AI1033:AI1035" si="388">IF(A1033="","",AI1032+AC1033)</f>
        <v/>
      </c>
      <c r="AJ1033" s="4" t="str">
        <f t="shared" ref="AJ1033:AJ1035" si="389">IF(A1033="","",AO1033+AP1033+AO1033+AQ1033+AR1033)</f>
        <v/>
      </c>
      <c r="AK1033" s="4" t="str">
        <f t="shared" ref="AK1033:AK1035" si="390">IF(A1033="","",AK1032+AJ1033)</f>
        <v/>
      </c>
      <c r="AL1033" s="2" t="str">
        <f t="shared" ref="AL1033:AL1035" si="391">IF(A1033="","",0.18%)</f>
        <v/>
      </c>
      <c r="AM1033" s="7"/>
      <c r="AO1033" s="4" t="str">
        <f t="shared" ref="AO1033:AO1035" si="392">IF(A1033="","",IF(LEFT(A1033,2)="sh",IF(Y1033*100/1000&lt;=1,1,Y1033*100/1000),0))</f>
        <v/>
      </c>
      <c r="AP1033" s="4" t="str">
        <f t="shared" ref="AP1033:AP1035" si="393">IF(A1033="","",IF(X1033*Y1033*100*AL1033&lt;=5,5,X1033*Y1033*100*AL1033))</f>
        <v/>
      </c>
      <c r="AQ1033" s="4" t="str">
        <f t="shared" ref="AQ1033:AQ1035" si="394">IF(A1033="","",IF(AA1033="",IF(C1033*Y1033*100*AL1033&lt;=5,5,C1033*Y1033*100*AL1033),IF(AA1033*Y1033*100*AL1033&lt;=5,5,AA1033*Y1033*100*AL1033)))</f>
        <v/>
      </c>
      <c r="AR1033" s="4" t="str">
        <f t="shared" ref="AR1033:AR1035" si="395">IF(A1033="","",IF(AA1033="",C1033*Y1033*100*0.001,AA1033*Y1033*100*0.001))</f>
        <v/>
      </c>
    </row>
    <row r="1034" spans="28:44" customFormat="1" ht="14.25" x14ac:dyDescent="0.15">
      <c r="AB1034" s="81" t="str">
        <f t="shared" si="384"/>
        <v/>
      </c>
      <c r="AC1034" s="6" t="str">
        <f t="shared" si="385"/>
        <v/>
      </c>
      <c r="AE1034" s="76"/>
      <c r="AF1034" s="76"/>
      <c r="AG1034" s="4" t="str">
        <f t="shared" si="386"/>
        <v/>
      </c>
      <c r="AH1034" s="4" t="str">
        <f t="shared" si="387"/>
        <v/>
      </c>
      <c r="AI1034" s="4" t="str">
        <f t="shared" si="388"/>
        <v/>
      </c>
      <c r="AJ1034" s="4" t="str">
        <f t="shared" si="389"/>
        <v/>
      </c>
      <c r="AK1034" s="4" t="str">
        <f t="shared" si="390"/>
        <v/>
      </c>
      <c r="AL1034" s="2" t="str">
        <f t="shared" si="391"/>
        <v/>
      </c>
      <c r="AM1034" s="7"/>
      <c r="AO1034" s="4" t="str">
        <f t="shared" si="392"/>
        <v/>
      </c>
      <c r="AP1034" s="4" t="str">
        <f t="shared" si="393"/>
        <v/>
      </c>
      <c r="AQ1034" s="4" t="str">
        <f t="shared" si="394"/>
        <v/>
      </c>
      <c r="AR1034" s="4" t="str">
        <f t="shared" si="395"/>
        <v/>
      </c>
    </row>
    <row r="1035" spans="28:44" customFormat="1" ht="14.25" x14ac:dyDescent="0.15">
      <c r="AB1035" s="81" t="str">
        <f t="shared" si="384"/>
        <v/>
      </c>
      <c r="AC1035" s="6" t="str">
        <f t="shared" si="385"/>
        <v/>
      </c>
      <c r="AE1035" s="76"/>
      <c r="AF1035" s="76"/>
      <c r="AG1035" s="4" t="str">
        <f t="shared" si="386"/>
        <v/>
      </c>
      <c r="AH1035" s="4" t="str">
        <f t="shared" si="387"/>
        <v/>
      </c>
      <c r="AI1035" s="4" t="str">
        <f t="shared" si="388"/>
        <v/>
      </c>
      <c r="AJ1035" s="4" t="str">
        <f t="shared" si="389"/>
        <v/>
      </c>
      <c r="AK1035" s="4" t="str">
        <f t="shared" si="390"/>
        <v/>
      </c>
      <c r="AL1035" s="2" t="str">
        <f t="shared" si="391"/>
        <v/>
      </c>
      <c r="AM1035" s="7"/>
      <c r="AO1035" s="4" t="str">
        <f t="shared" si="392"/>
        <v/>
      </c>
      <c r="AP1035" s="4" t="str">
        <f t="shared" si="393"/>
        <v/>
      </c>
      <c r="AQ1035" s="4" t="str">
        <f t="shared" si="394"/>
        <v/>
      </c>
      <c r="AR1035" s="4" t="str">
        <f t="shared" si="395"/>
        <v/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6" r:id="rId4" name="CommandButton3">
          <controlPr defaultSize="0" autoLine="0" r:id="rId5">
            <anchor>
              <from>
                <xdr:col>0</xdr:col>
                <xdr:colOff>9525</xdr:colOff>
                <xdr:row>0</xdr:row>
                <xdr:rowOff>600075</xdr:rowOff>
              </from>
              <to>
                <xdr:col>1</xdr:col>
                <xdr:colOff>9525</xdr:colOff>
                <xdr:row>0</xdr:row>
                <xdr:rowOff>866775</xdr:rowOff>
              </to>
            </anchor>
          </controlPr>
        </control>
      </mc:Choice>
      <mc:Fallback>
        <control shapeId="1086" r:id="rId4" name="CommandButton3"/>
      </mc:Fallback>
    </mc:AlternateContent>
    <mc:AlternateContent xmlns:mc="http://schemas.openxmlformats.org/markup-compatibility/2006">
      <mc:Choice Requires="x14">
        <control shapeId="1085" r:id="rId6" name="CommandButton2">
          <controlPr defaultSize="0" autoLine="0" r:id="rId7">
            <anchor>
              <from>
                <xdr:col>0</xdr:col>
                <xdr:colOff>9525</xdr:colOff>
                <xdr:row>0</xdr:row>
                <xdr:rowOff>304800</xdr:rowOff>
              </from>
              <to>
                <xdr:col>1</xdr:col>
                <xdr:colOff>9525</xdr:colOff>
                <xdr:row>0</xdr:row>
                <xdr:rowOff>571500</xdr:rowOff>
              </to>
            </anchor>
          </controlPr>
        </control>
      </mc:Choice>
      <mc:Fallback>
        <control shapeId="1085" r:id="rId6" name="CommandButton2"/>
      </mc:Fallback>
    </mc:AlternateContent>
    <mc:AlternateContent xmlns:mc="http://schemas.openxmlformats.org/markup-compatibility/2006">
      <mc:Choice Requires="x14">
        <control shapeId="1083" r:id="rId8" name="CheckBox49">
          <controlPr defaultSize="0" autoLine="0" r:id="rId9">
            <anchor>
              <from>
                <xdr:col>6</xdr:col>
                <xdr:colOff>676275</xdr:colOff>
                <xdr:row>0</xdr:row>
                <xdr:rowOff>361950</xdr:rowOff>
              </from>
              <to>
                <xdr:col>7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1083" r:id="rId8" name="CheckBox49"/>
      </mc:Fallback>
    </mc:AlternateContent>
    <mc:AlternateContent xmlns:mc="http://schemas.openxmlformats.org/markup-compatibility/2006">
      <mc:Choice Requires="x14">
        <control shapeId="1082" r:id="rId10" name="CheckBox48">
          <controlPr defaultSize="0" autoLine="0" r:id="rId11">
            <anchor>
              <from>
                <xdr:col>28</xdr:col>
                <xdr:colOff>514350</xdr:colOff>
                <xdr:row>0</xdr:row>
                <xdr:rowOff>361950</xdr:rowOff>
              </from>
              <to>
                <xdr:col>39</xdr:col>
                <xdr:colOff>504825</xdr:colOff>
                <xdr:row>0</xdr:row>
                <xdr:rowOff>714375</xdr:rowOff>
              </to>
            </anchor>
          </controlPr>
        </control>
      </mc:Choice>
      <mc:Fallback>
        <control shapeId="1082" r:id="rId10" name="CheckBox48"/>
      </mc:Fallback>
    </mc:AlternateContent>
    <mc:AlternateContent xmlns:mc="http://schemas.openxmlformats.org/markup-compatibility/2006">
      <mc:Choice Requires="x14">
        <control shapeId="1080" r:id="rId12" name="CheckBox47">
          <controlPr defaultSize="0" autoLine="0" r:id="rId13">
            <anchor>
              <from>
                <xdr:col>22</xdr:col>
                <xdr:colOff>647700</xdr:colOff>
                <xdr:row>0</xdr:row>
                <xdr:rowOff>361950</xdr:rowOff>
              </from>
              <to>
                <xdr:col>25</xdr:col>
                <xdr:colOff>590550</xdr:colOff>
                <xdr:row>0</xdr:row>
                <xdr:rowOff>714375</xdr:rowOff>
              </to>
            </anchor>
          </controlPr>
        </control>
      </mc:Choice>
      <mc:Fallback>
        <control shapeId="1080" r:id="rId12" name="CheckBox47"/>
      </mc:Fallback>
    </mc:AlternateContent>
    <mc:AlternateContent xmlns:mc="http://schemas.openxmlformats.org/markup-compatibility/2006">
      <mc:Choice Requires="x14">
        <control shapeId="1079" r:id="rId14" name="CheckBox46">
          <controlPr defaultSize="0" autoLine="0" r:id="rId15">
            <anchor>
              <from>
                <xdr:col>22</xdr:col>
                <xdr:colOff>647700</xdr:colOff>
                <xdr:row>0</xdr:row>
                <xdr:rowOff>9525</xdr:rowOff>
              </from>
              <to>
                <xdr:col>25</xdr:col>
                <xdr:colOff>590550</xdr:colOff>
                <xdr:row>0</xdr:row>
                <xdr:rowOff>361950</xdr:rowOff>
              </to>
            </anchor>
          </controlPr>
        </control>
      </mc:Choice>
      <mc:Fallback>
        <control shapeId="1079" r:id="rId14" name="CheckBox46"/>
      </mc:Fallback>
    </mc:AlternateContent>
    <mc:AlternateContent xmlns:mc="http://schemas.openxmlformats.org/markup-compatibility/2006">
      <mc:Choice Requires="x14">
        <control shapeId="1078" r:id="rId16" name="CheckBox45">
          <controlPr defaultSize="0" autoLine="0" r:id="rId17">
            <anchor>
              <from>
                <xdr:col>7</xdr:col>
                <xdr:colOff>666750</xdr:colOff>
                <xdr:row>0</xdr:row>
                <xdr:rowOff>361950</xdr:rowOff>
              </from>
              <to>
                <xdr:col>22</xdr:col>
                <xdr:colOff>647700</xdr:colOff>
                <xdr:row>0</xdr:row>
                <xdr:rowOff>714375</xdr:rowOff>
              </to>
            </anchor>
          </controlPr>
        </control>
      </mc:Choice>
      <mc:Fallback>
        <control shapeId="1078" r:id="rId16" name="CheckBox45"/>
      </mc:Fallback>
    </mc:AlternateContent>
    <mc:AlternateContent xmlns:mc="http://schemas.openxmlformats.org/markup-compatibility/2006">
      <mc:Choice Requires="x14">
        <control shapeId="1077" r:id="rId18" name="CheckBox44">
          <controlPr defaultSize="0" autoLine="0" r:id="rId19">
            <anchor>
              <from>
                <xdr:col>7</xdr:col>
                <xdr:colOff>666750</xdr:colOff>
                <xdr:row>0</xdr:row>
                <xdr:rowOff>9525</xdr:rowOff>
              </from>
              <to>
                <xdr:col>22</xdr:col>
                <xdr:colOff>647700</xdr:colOff>
                <xdr:row>0</xdr:row>
                <xdr:rowOff>361950</xdr:rowOff>
              </to>
            </anchor>
          </controlPr>
        </control>
      </mc:Choice>
      <mc:Fallback>
        <control shapeId="1077" r:id="rId18" name="CheckBox44"/>
      </mc:Fallback>
    </mc:AlternateContent>
    <mc:AlternateContent xmlns:mc="http://schemas.openxmlformats.org/markup-compatibility/2006">
      <mc:Choice Requires="x14">
        <control shapeId="1076" r:id="rId20" name="CheckBox43">
          <controlPr defaultSize="0" autoLine="0" r:id="rId21">
            <anchor>
              <from>
                <xdr:col>25</xdr:col>
                <xdr:colOff>590550</xdr:colOff>
                <xdr:row>0</xdr:row>
                <xdr:rowOff>361950</xdr:rowOff>
              </from>
              <to>
                <xdr:col>26</xdr:col>
                <xdr:colOff>542925</xdr:colOff>
                <xdr:row>0</xdr:row>
                <xdr:rowOff>714375</xdr:rowOff>
              </to>
            </anchor>
          </controlPr>
        </control>
      </mc:Choice>
      <mc:Fallback>
        <control shapeId="1076" r:id="rId20" name="CheckBox43"/>
      </mc:Fallback>
    </mc:AlternateContent>
    <mc:AlternateContent xmlns:mc="http://schemas.openxmlformats.org/markup-compatibility/2006">
      <mc:Choice Requires="x14">
        <control shapeId="1075" r:id="rId22" name="CheckBox42">
          <controlPr defaultSize="0" autoLine="0" r:id="rId23">
            <anchor>
              <from>
                <xdr:col>25</xdr:col>
                <xdr:colOff>590550</xdr:colOff>
                <xdr:row>0</xdr:row>
                <xdr:rowOff>9525</xdr:rowOff>
              </from>
              <to>
                <xdr:col>26</xdr:col>
                <xdr:colOff>533400</xdr:colOff>
                <xdr:row>0</xdr:row>
                <xdr:rowOff>361950</xdr:rowOff>
              </to>
            </anchor>
          </controlPr>
        </control>
      </mc:Choice>
      <mc:Fallback>
        <control shapeId="1075" r:id="rId22" name="CheckBox42"/>
      </mc:Fallback>
    </mc:AlternateContent>
    <mc:AlternateContent xmlns:mc="http://schemas.openxmlformats.org/markup-compatibility/2006">
      <mc:Choice Requires="x14">
        <control shapeId="1074" r:id="rId24" name="CheckBox41">
          <controlPr defaultSize="0" autoLine="0" r:id="rId25">
            <anchor>
              <from>
                <xdr:col>28</xdr:col>
                <xdr:colOff>514350</xdr:colOff>
                <xdr:row>0</xdr:row>
                <xdr:rowOff>9525</xdr:rowOff>
              </from>
              <to>
                <xdr:col>39</xdr:col>
                <xdr:colOff>514350</xdr:colOff>
                <xdr:row>0</xdr:row>
                <xdr:rowOff>361950</xdr:rowOff>
              </to>
            </anchor>
          </controlPr>
        </control>
      </mc:Choice>
      <mc:Fallback>
        <control shapeId="1074" r:id="rId24" name="CheckBox41"/>
      </mc:Fallback>
    </mc:AlternateContent>
    <mc:AlternateContent xmlns:mc="http://schemas.openxmlformats.org/markup-compatibility/2006">
      <mc:Choice Requires="x14">
        <control shapeId="1073" r:id="rId26" name="CheckBox40">
          <controlPr defaultSize="0" autoLine="0" r:id="rId27">
            <anchor>
              <from>
                <xdr:col>27</xdr:col>
                <xdr:colOff>514350</xdr:colOff>
                <xdr:row>0</xdr:row>
                <xdr:rowOff>361950</xdr:rowOff>
              </from>
              <to>
                <xdr:col>28</xdr:col>
                <xdr:colOff>514350</xdr:colOff>
                <xdr:row>0</xdr:row>
                <xdr:rowOff>714375</xdr:rowOff>
              </to>
            </anchor>
          </controlPr>
        </control>
      </mc:Choice>
      <mc:Fallback>
        <control shapeId="1073" r:id="rId26" name="CheckBox40"/>
      </mc:Fallback>
    </mc:AlternateContent>
    <mc:AlternateContent xmlns:mc="http://schemas.openxmlformats.org/markup-compatibility/2006">
      <mc:Choice Requires="x14">
        <control shapeId="1072" r:id="rId28" name="CheckBox35">
          <controlPr defaultSize="0" autoLine="0" r:id="rId29">
            <anchor>
              <from>
                <xdr:col>39</xdr:col>
                <xdr:colOff>495300</xdr:colOff>
                <xdr:row>0</xdr:row>
                <xdr:rowOff>0</xdr:rowOff>
              </from>
              <to>
                <xdr:col>44</xdr:col>
                <xdr:colOff>419100</xdr:colOff>
                <xdr:row>0</xdr:row>
                <xdr:rowOff>352425</xdr:rowOff>
              </to>
            </anchor>
          </controlPr>
        </control>
      </mc:Choice>
      <mc:Fallback>
        <control shapeId="1072" r:id="rId28" name="CheckBox35"/>
      </mc:Fallback>
    </mc:AlternateContent>
    <mc:AlternateContent xmlns:mc="http://schemas.openxmlformats.org/markup-compatibility/2006">
      <mc:Choice Requires="x14">
        <control shapeId="1071" r:id="rId30" name="CheckBox33">
          <controlPr defaultSize="0" autoLine="0" r:id="rId31">
            <anchor>
              <from>
                <xdr:col>4</xdr:col>
                <xdr:colOff>19050</xdr:colOff>
                <xdr:row>0</xdr:row>
                <xdr:rowOff>361950</xdr:rowOff>
              </from>
              <to>
                <xdr:col>5</xdr:col>
                <xdr:colOff>0</xdr:colOff>
                <xdr:row>0</xdr:row>
                <xdr:rowOff>714375</xdr:rowOff>
              </to>
            </anchor>
          </controlPr>
        </control>
      </mc:Choice>
      <mc:Fallback>
        <control shapeId="1071" r:id="rId30" name="CheckBox33"/>
      </mc:Fallback>
    </mc:AlternateContent>
    <mc:AlternateContent xmlns:mc="http://schemas.openxmlformats.org/markup-compatibility/2006">
      <mc:Choice Requires="x14">
        <control shapeId="1070" r:id="rId32" name="CheckBox32">
          <controlPr defaultSize="0" autoLine="0" r:id="rId33">
            <anchor>
              <from>
                <xdr:col>6</xdr:col>
                <xdr:colOff>676275</xdr:colOff>
                <xdr:row>0</xdr:row>
                <xdr:rowOff>9525</xdr:rowOff>
              </from>
              <to>
                <xdr:col>7</xdr:col>
                <xdr:colOff>666750</xdr:colOff>
                <xdr:row>0</xdr:row>
                <xdr:rowOff>361950</xdr:rowOff>
              </to>
            </anchor>
          </controlPr>
        </control>
      </mc:Choice>
      <mc:Fallback>
        <control shapeId="1070" r:id="rId32" name="CheckBox32"/>
      </mc:Fallback>
    </mc:AlternateContent>
    <mc:AlternateContent xmlns:mc="http://schemas.openxmlformats.org/markup-compatibility/2006">
      <mc:Choice Requires="x14">
        <control shapeId="1069" r:id="rId34" name="ComboBox1">
          <controlPr defaultSize="0" autoLine="0" r:id="rId35">
            <anchor>
              <from>
                <xdr:col>0</xdr:col>
                <xdr:colOff>9525</xdr:colOff>
                <xdr:row>0</xdr:row>
                <xdr:rowOff>1200150</xdr:rowOff>
              </from>
              <to>
                <xdr:col>1</xdr:col>
                <xdr:colOff>9525</xdr:colOff>
                <xdr:row>0</xdr:row>
                <xdr:rowOff>1400175</xdr:rowOff>
              </to>
            </anchor>
          </controlPr>
        </control>
      </mc:Choice>
      <mc:Fallback>
        <control shapeId="1069" r:id="rId34" name="ComboBox1"/>
      </mc:Fallback>
    </mc:AlternateContent>
    <mc:AlternateContent xmlns:mc="http://schemas.openxmlformats.org/markup-compatibility/2006">
      <mc:Choice Requires="x14">
        <control shapeId="1063" r:id="rId36" name="CheckBox34">
          <controlPr defaultSize="0" autoLine="0" r:id="rId37">
            <anchor>
              <from>
                <xdr:col>5</xdr:col>
                <xdr:colOff>0</xdr:colOff>
                <xdr:row>0</xdr:row>
                <xdr:rowOff>1057275</xdr:rowOff>
              </from>
              <to>
                <xdr:col>6</xdr:col>
                <xdr:colOff>676275</xdr:colOff>
                <xdr:row>1</xdr:row>
                <xdr:rowOff>0</xdr:rowOff>
              </to>
            </anchor>
          </controlPr>
        </control>
      </mc:Choice>
      <mc:Fallback>
        <control shapeId="1063" r:id="rId36" name="CheckBox34"/>
      </mc:Fallback>
    </mc:AlternateContent>
    <mc:AlternateContent xmlns:mc="http://schemas.openxmlformats.org/markup-compatibility/2006">
      <mc:Choice Requires="x14">
        <control shapeId="1054" r:id="rId38" name="CheckBox26">
          <controlPr defaultSize="0" autoLine="0" r:id="rId39">
            <anchor>
              <from>
                <xdr:col>27</xdr:col>
                <xdr:colOff>523875</xdr:colOff>
                <xdr:row>0</xdr:row>
                <xdr:rowOff>1057275</xdr:rowOff>
              </from>
              <to>
                <xdr:col>28</xdr:col>
                <xdr:colOff>514350</xdr:colOff>
                <xdr:row>1</xdr:row>
                <xdr:rowOff>0</xdr:rowOff>
              </to>
            </anchor>
          </controlPr>
        </control>
      </mc:Choice>
      <mc:Fallback>
        <control shapeId="1054" r:id="rId38" name="CheckBox26"/>
      </mc:Fallback>
    </mc:AlternateContent>
    <mc:AlternateContent xmlns:mc="http://schemas.openxmlformats.org/markup-compatibility/2006">
      <mc:Choice Requires="x14">
        <control shapeId="1053" r:id="rId40" name="CheckBox25">
          <controlPr defaultSize="0" autoLine="0" r:id="rId41">
            <anchor>
              <from>
                <xdr:col>39</xdr:col>
                <xdr:colOff>495300</xdr:colOff>
                <xdr:row>0</xdr:row>
                <xdr:rowOff>1057275</xdr:rowOff>
              </from>
              <to>
                <xdr:col>44</xdr:col>
                <xdr:colOff>409575</xdr:colOff>
                <xdr:row>1</xdr:row>
                <xdr:rowOff>0</xdr:rowOff>
              </to>
            </anchor>
          </controlPr>
        </control>
      </mc:Choice>
      <mc:Fallback>
        <control shapeId="1053" r:id="rId40" name="CheckBox25"/>
      </mc:Fallback>
    </mc:AlternateContent>
    <mc:AlternateContent xmlns:mc="http://schemas.openxmlformats.org/markup-compatibility/2006">
      <mc:Choice Requires="x14">
        <control shapeId="1052" r:id="rId42" name="CommandButton1">
          <controlPr defaultSize="0" autoLine="0" r:id="rId43">
            <anchor>
              <from>
                <xdr:col>0</xdr:col>
                <xdr:colOff>9525</xdr:colOff>
                <xdr:row>0</xdr:row>
                <xdr:rowOff>9525</xdr:rowOff>
              </from>
              <to>
                <xdr:col>1</xdr:col>
                <xdr:colOff>9525</xdr:colOff>
                <xdr:row>0</xdr:row>
                <xdr:rowOff>276225</xdr:rowOff>
              </to>
            </anchor>
          </controlPr>
        </control>
      </mc:Choice>
      <mc:Fallback>
        <control shapeId="1052" r:id="rId42" name="CommandButton1"/>
      </mc:Fallback>
    </mc:AlternateContent>
    <mc:AlternateContent xmlns:mc="http://schemas.openxmlformats.org/markup-compatibility/2006">
      <mc:Choice Requires="x14">
        <control shapeId="1030" r:id="rId44" name="CheckBox5">
          <controlPr defaultSize="0" autoLine="0" r:id="rId45">
            <anchor>
              <from>
                <xdr:col>27</xdr:col>
                <xdr:colOff>523875</xdr:colOff>
                <xdr:row>0</xdr:row>
                <xdr:rowOff>9525</xdr:rowOff>
              </from>
              <to>
                <xdr:col>28</xdr:col>
                <xdr:colOff>514350</xdr:colOff>
                <xdr:row>0</xdr:row>
                <xdr:rowOff>361950</xdr:rowOff>
              </to>
            </anchor>
          </controlPr>
        </control>
      </mc:Choice>
      <mc:Fallback>
        <control shapeId="1030" r:id="rId44" name="CheckBox5"/>
      </mc:Fallback>
    </mc:AlternateContent>
    <mc:AlternateContent xmlns:mc="http://schemas.openxmlformats.org/markup-compatibility/2006">
      <mc:Choice Requires="x14">
        <control shapeId="1029" r:id="rId46" name="CheckBox4">
          <controlPr defaultSize="0" autoLine="0" r:id="rId47">
            <anchor>
              <from>
                <xdr:col>26</xdr:col>
                <xdr:colOff>533400</xdr:colOff>
                <xdr:row>0</xdr:row>
                <xdr:rowOff>371475</xdr:rowOff>
              </from>
              <to>
                <xdr:col>27</xdr:col>
                <xdr:colOff>523875</xdr:colOff>
                <xdr:row>0</xdr:row>
                <xdr:rowOff>723900</xdr:rowOff>
              </to>
            </anchor>
          </controlPr>
        </control>
      </mc:Choice>
      <mc:Fallback>
        <control shapeId="1029" r:id="rId46" name="CheckBox4"/>
      </mc:Fallback>
    </mc:AlternateContent>
    <mc:AlternateContent xmlns:mc="http://schemas.openxmlformats.org/markup-compatibility/2006">
      <mc:Choice Requires="x14">
        <control shapeId="1028" r:id="rId48" name="CheckBox3">
          <controlPr defaultSize="0" autoLine="0" r:id="rId49">
            <anchor>
              <from>
                <xdr:col>26</xdr:col>
                <xdr:colOff>533400</xdr:colOff>
                <xdr:row>0</xdr:row>
                <xdr:rowOff>9525</xdr:rowOff>
              </from>
              <to>
                <xdr:col>27</xdr:col>
                <xdr:colOff>523875</xdr:colOff>
                <xdr:row>0</xdr:row>
                <xdr:rowOff>371475</xdr:rowOff>
              </to>
            </anchor>
          </controlPr>
        </control>
      </mc:Choice>
      <mc:Fallback>
        <control shapeId="1028" r:id="rId48" name="CheckBox3"/>
      </mc:Fallback>
    </mc:AlternateContent>
    <mc:AlternateContent xmlns:mc="http://schemas.openxmlformats.org/markup-compatibility/2006">
      <mc:Choice Requires="x14">
        <control shapeId="1027" r:id="rId50" name="CheckBox2">
          <controlPr defaultSize="0" autoLine="0" r:id="rId51">
            <anchor>
              <from>
                <xdr:col>5</xdr:col>
                <xdr:colOff>0</xdr:colOff>
                <xdr:row>0</xdr:row>
                <xdr:rowOff>361950</xdr:rowOff>
              </from>
              <to>
                <xdr:col>6</xdr:col>
                <xdr:colOff>676275</xdr:colOff>
                <xdr:row>0</xdr:row>
                <xdr:rowOff>714375</xdr:rowOff>
              </to>
            </anchor>
          </controlPr>
        </control>
      </mc:Choice>
      <mc:Fallback>
        <control shapeId="1027" r:id="rId50" name="CheckBox2"/>
      </mc:Fallback>
    </mc:AlternateContent>
    <mc:AlternateContent xmlns:mc="http://schemas.openxmlformats.org/markup-compatibility/2006">
      <mc:Choice Requires="x14">
        <control shapeId="1026" r:id="rId52" name="CheckBox1">
          <controlPr defaultSize="0" autoLine="0" r:id="rId53">
            <anchor>
              <from>
                <xdr:col>5</xdr:col>
                <xdr:colOff>0</xdr:colOff>
                <xdr:row>0</xdr:row>
                <xdr:rowOff>9525</xdr:rowOff>
              </from>
              <to>
                <xdr:col>6</xdr:col>
                <xdr:colOff>676275</xdr:colOff>
                <xdr:row>0</xdr:row>
                <xdr:rowOff>361950</xdr:rowOff>
              </to>
            </anchor>
          </controlPr>
        </control>
      </mc:Choice>
      <mc:Fallback>
        <control shapeId="1026" r:id="rId52" name="CheckBox1"/>
      </mc:Fallback>
    </mc:AlternateContent>
    <mc:AlternateContent xmlns:mc="http://schemas.openxmlformats.org/markup-compatibility/2006">
      <mc:Choice Requires="x14">
        <control shapeId="1033" r:id="rId54" name="CheckBox6">
          <controlPr defaultSize="0" autoLine="0" r:id="rId55">
            <anchor>
              <from>
                <xdr:col>39</xdr:col>
                <xdr:colOff>495300</xdr:colOff>
                <xdr:row>0</xdr:row>
                <xdr:rowOff>352425</xdr:rowOff>
              </from>
              <to>
                <xdr:col>44</xdr:col>
                <xdr:colOff>419100</xdr:colOff>
                <xdr:row>0</xdr:row>
                <xdr:rowOff>704850</xdr:rowOff>
              </to>
            </anchor>
          </controlPr>
        </control>
      </mc:Choice>
      <mc:Fallback>
        <control shapeId="1033" r:id="rId54" name="CheckBox6"/>
      </mc:Fallback>
    </mc:AlternateContent>
    <mc:AlternateContent xmlns:mc="http://schemas.openxmlformats.org/markup-compatibility/2006">
      <mc:Choice Requires="x14">
        <control shapeId="1034" r:id="rId56" name="CheckBox7">
          <controlPr defaultSize="0" autoLine="0" r:id="rId57">
            <anchor>
              <from>
                <xdr:col>2</xdr:col>
                <xdr:colOff>38100</xdr:colOff>
                <xdr:row>0</xdr:row>
                <xdr:rowOff>714375</xdr:rowOff>
              </from>
              <to>
                <xdr:col>4</xdr:col>
                <xdr:colOff>28575</xdr:colOff>
                <xdr:row>0</xdr:row>
                <xdr:rowOff>1066800</xdr:rowOff>
              </to>
            </anchor>
          </controlPr>
        </control>
      </mc:Choice>
      <mc:Fallback>
        <control shapeId="1034" r:id="rId56" name="CheckBox7"/>
      </mc:Fallback>
    </mc:AlternateContent>
    <mc:AlternateContent xmlns:mc="http://schemas.openxmlformats.org/markup-compatibility/2006">
      <mc:Choice Requires="x14">
        <control shapeId="1035" r:id="rId58" name="CheckBox8">
          <controlPr defaultSize="0" autoLine="0" r:id="rId59">
            <anchor>
              <from>
                <xdr:col>2</xdr:col>
                <xdr:colOff>38100</xdr:colOff>
                <xdr:row>0</xdr:row>
                <xdr:rowOff>1057275</xdr:rowOff>
              </from>
              <to>
                <xdr:col>4</xdr:col>
                <xdr:colOff>28575</xdr:colOff>
                <xdr:row>1</xdr:row>
                <xdr:rowOff>0</xdr:rowOff>
              </to>
            </anchor>
          </controlPr>
        </control>
      </mc:Choice>
      <mc:Fallback>
        <control shapeId="1035" r:id="rId58" name="CheckBox8"/>
      </mc:Fallback>
    </mc:AlternateContent>
    <mc:AlternateContent xmlns:mc="http://schemas.openxmlformats.org/markup-compatibility/2006">
      <mc:Choice Requires="x14">
        <control shapeId="1036" r:id="rId60" name="CheckBox9">
          <controlPr defaultSize="0" autoLine="0" r:id="rId61">
            <anchor>
              <from>
                <xdr:col>5</xdr:col>
                <xdr:colOff>0</xdr:colOff>
                <xdr:row>0</xdr:row>
                <xdr:rowOff>714375</xdr:rowOff>
              </from>
              <to>
                <xdr:col>6</xdr:col>
                <xdr:colOff>676275</xdr:colOff>
                <xdr:row>0</xdr:row>
                <xdr:rowOff>1066800</xdr:rowOff>
              </to>
            </anchor>
          </controlPr>
        </control>
      </mc:Choice>
      <mc:Fallback>
        <control shapeId="1036" r:id="rId60" name="CheckBox9"/>
      </mc:Fallback>
    </mc:AlternateContent>
    <mc:AlternateContent xmlns:mc="http://schemas.openxmlformats.org/markup-compatibility/2006">
      <mc:Choice Requires="x14">
        <control shapeId="1037" r:id="rId62" name="CheckBox10">
          <controlPr defaultSize="0" autoLine="0" r:id="rId63">
            <anchor>
              <from>
                <xdr:col>4</xdr:col>
                <xdr:colOff>19050</xdr:colOff>
                <xdr:row>0</xdr:row>
                <xdr:rowOff>714375</xdr:rowOff>
              </from>
              <to>
                <xdr:col>5</xdr:col>
                <xdr:colOff>0</xdr:colOff>
                <xdr:row>0</xdr:row>
                <xdr:rowOff>1066800</xdr:rowOff>
              </to>
            </anchor>
          </controlPr>
        </control>
      </mc:Choice>
      <mc:Fallback>
        <control shapeId="1037" r:id="rId62" name="CheckBox10"/>
      </mc:Fallback>
    </mc:AlternateContent>
    <mc:AlternateContent xmlns:mc="http://schemas.openxmlformats.org/markup-compatibility/2006">
      <mc:Choice Requires="x14">
        <control shapeId="1038" r:id="rId64" name="CheckBox11">
          <controlPr defaultSize="0" autoLine="0" r:id="rId65">
            <anchor>
              <from>
                <xdr:col>4</xdr:col>
                <xdr:colOff>19050</xdr:colOff>
                <xdr:row>0</xdr:row>
                <xdr:rowOff>1057275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8" r:id="rId64" name="CheckBox11"/>
      </mc:Fallback>
    </mc:AlternateContent>
    <mc:AlternateContent xmlns:mc="http://schemas.openxmlformats.org/markup-compatibility/2006">
      <mc:Choice Requires="x14">
        <control shapeId="1039" r:id="rId66" name="CheckBox12">
          <controlPr defaultSize="0" autoLine="0" r:id="rId67">
            <anchor>
              <from>
                <xdr:col>6</xdr:col>
                <xdr:colOff>676275</xdr:colOff>
                <xdr:row>0</xdr:row>
                <xdr:rowOff>714375</xdr:rowOff>
              </from>
              <to>
                <xdr:col>7</xdr:col>
                <xdr:colOff>666750</xdr:colOff>
                <xdr:row>0</xdr:row>
                <xdr:rowOff>1066800</xdr:rowOff>
              </to>
            </anchor>
          </controlPr>
        </control>
      </mc:Choice>
      <mc:Fallback>
        <control shapeId="1039" r:id="rId66" name="CheckBox12"/>
      </mc:Fallback>
    </mc:AlternateContent>
    <mc:AlternateContent xmlns:mc="http://schemas.openxmlformats.org/markup-compatibility/2006">
      <mc:Choice Requires="x14">
        <control shapeId="1040" r:id="rId68" name="CheckBox13">
          <controlPr defaultSize="0" autoLine="0" r:id="rId69">
            <anchor>
              <from>
                <xdr:col>6</xdr:col>
                <xdr:colOff>676275</xdr:colOff>
                <xdr:row>0</xdr:row>
                <xdr:rowOff>1057275</xdr:rowOff>
              </from>
              <to>
                <xdr:col>7</xdr:col>
                <xdr:colOff>666750</xdr:colOff>
                <xdr:row>1</xdr:row>
                <xdr:rowOff>0</xdr:rowOff>
              </to>
            </anchor>
          </controlPr>
        </control>
      </mc:Choice>
      <mc:Fallback>
        <control shapeId="1040" r:id="rId68" name="CheckBox13"/>
      </mc:Fallback>
    </mc:AlternateContent>
    <mc:AlternateContent xmlns:mc="http://schemas.openxmlformats.org/markup-compatibility/2006">
      <mc:Choice Requires="x14">
        <control shapeId="1041" r:id="rId70" name="CheckBox14">
          <controlPr defaultSize="0" autoLine="0" r:id="rId71">
            <anchor>
              <from>
                <xdr:col>25</xdr:col>
                <xdr:colOff>581025</xdr:colOff>
                <xdr:row>0</xdr:row>
                <xdr:rowOff>704850</xdr:rowOff>
              </from>
              <to>
                <xdr:col>26</xdr:col>
                <xdr:colOff>533400</xdr:colOff>
                <xdr:row>0</xdr:row>
                <xdr:rowOff>1057275</xdr:rowOff>
              </to>
            </anchor>
          </controlPr>
        </control>
      </mc:Choice>
      <mc:Fallback>
        <control shapeId="1041" r:id="rId70" name="CheckBox14"/>
      </mc:Fallback>
    </mc:AlternateContent>
    <mc:AlternateContent xmlns:mc="http://schemas.openxmlformats.org/markup-compatibility/2006">
      <mc:Choice Requires="x14">
        <control shapeId="1042" r:id="rId72" name="CheckBox15">
          <controlPr defaultSize="0" autoLine="0" r:id="rId73">
            <anchor>
              <from>
                <xdr:col>25</xdr:col>
                <xdr:colOff>581025</xdr:colOff>
                <xdr:row>0</xdr:row>
                <xdr:rowOff>1057275</xdr:rowOff>
              </from>
              <to>
                <xdr:col>26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1042" r:id="rId72" name="CheckBox15"/>
      </mc:Fallback>
    </mc:AlternateContent>
    <mc:AlternateContent xmlns:mc="http://schemas.openxmlformats.org/markup-compatibility/2006">
      <mc:Choice Requires="x14">
        <control shapeId="1043" r:id="rId74" name="CheckBox16">
          <controlPr defaultSize="0" autoLine="0" r:id="rId75">
            <anchor>
              <from>
                <xdr:col>27</xdr:col>
                <xdr:colOff>523875</xdr:colOff>
                <xdr:row>0</xdr:row>
                <xdr:rowOff>704850</xdr:rowOff>
              </from>
              <to>
                <xdr:col>28</xdr:col>
                <xdr:colOff>514350</xdr:colOff>
                <xdr:row>0</xdr:row>
                <xdr:rowOff>1057275</xdr:rowOff>
              </to>
            </anchor>
          </controlPr>
        </control>
      </mc:Choice>
      <mc:Fallback>
        <control shapeId="1043" r:id="rId74" name="CheckBox16"/>
      </mc:Fallback>
    </mc:AlternateContent>
    <mc:AlternateContent xmlns:mc="http://schemas.openxmlformats.org/markup-compatibility/2006">
      <mc:Choice Requires="x14">
        <control shapeId="1044" r:id="rId76" name="CheckBox17">
          <controlPr defaultSize="0" autoLine="0" r:id="rId77">
            <anchor>
              <from>
                <xdr:col>39</xdr:col>
                <xdr:colOff>485775</xdr:colOff>
                <xdr:row>0</xdr:row>
                <xdr:rowOff>704850</xdr:rowOff>
              </from>
              <to>
                <xdr:col>44</xdr:col>
                <xdr:colOff>409575</xdr:colOff>
                <xdr:row>0</xdr:row>
                <xdr:rowOff>1057275</xdr:rowOff>
              </to>
            </anchor>
          </controlPr>
        </control>
      </mc:Choice>
      <mc:Fallback>
        <control shapeId="1044" r:id="rId76" name="CheckBox17"/>
      </mc:Fallback>
    </mc:AlternateContent>
    <mc:AlternateContent xmlns:mc="http://schemas.openxmlformats.org/markup-compatibility/2006">
      <mc:Choice Requires="x14">
        <control shapeId="1045" r:id="rId78" name="CheckBox18">
          <controlPr defaultSize="0" autoLine="0" r:id="rId79">
            <anchor>
              <from>
                <xdr:col>28</xdr:col>
                <xdr:colOff>514350</xdr:colOff>
                <xdr:row>0</xdr:row>
                <xdr:rowOff>704850</xdr:rowOff>
              </from>
              <to>
                <xdr:col>39</xdr:col>
                <xdr:colOff>504825</xdr:colOff>
                <xdr:row>0</xdr:row>
                <xdr:rowOff>1057275</xdr:rowOff>
              </to>
            </anchor>
          </controlPr>
        </control>
      </mc:Choice>
      <mc:Fallback>
        <control shapeId="1045" r:id="rId78" name="CheckBox18"/>
      </mc:Fallback>
    </mc:AlternateContent>
    <mc:AlternateContent xmlns:mc="http://schemas.openxmlformats.org/markup-compatibility/2006">
      <mc:Choice Requires="x14">
        <control shapeId="1046" r:id="rId80" name="CheckBox19">
          <controlPr defaultSize="0" autoLine="0" r:id="rId81">
            <anchor>
              <from>
                <xdr:col>26</xdr:col>
                <xdr:colOff>533400</xdr:colOff>
                <xdr:row>0</xdr:row>
                <xdr:rowOff>704850</xdr:rowOff>
              </from>
              <to>
                <xdr:col>27</xdr:col>
                <xdr:colOff>523875</xdr:colOff>
                <xdr:row>0</xdr:row>
                <xdr:rowOff>1057275</xdr:rowOff>
              </to>
            </anchor>
          </controlPr>
        </control>
      </mc:Choice>
      <mc:Fallback>
        <control shapeId="1046" r:id="rId80" name="CheckBox19"/>
      </mc:Fallback>
    </mc:AlternateContent>
    <mc:AlternateContent xmlns:mc="http://schemas.openxmlformats.org/markup-compatibility/2006">
      <mc:Choice Requires="x14">
        <control shapeId="1047" r:id="rId82" name="CheckBox20">
          <controlPr defaultSize="0" autoLine="0" r:id="rId83">
            <anchor>
              <from>
                <xdr:col>26</xdr:col>
                <xdr:colOff>533400</xdr:colOff>
                <xdr:row>0</xdr:row>
                <xdr:rowOff>1057275</xdr:rowOff>
              </from>
              <to>
                <xdr:col>27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047" r:id="rId82" name="CheckBox20"/>
      </mc:Fallback>
    </mc:AlternateContent>
    <mc:AlternateContent xmlns:mc="http://schemas.openxmlformats.org/markup-compatibility/2006">
      <mc:Choice Requires="x14">
        <control shapeId="1048" r:id="rId84" name="CheckBox21">
          <controlPr defaultSize="0" autoLine="0" r:id="rId85">
            <anchor>
              <from>
                <xdr:col>28</xdr:col>
                <xdr:colOff>514350</xdr:colOff>
                <xdr:row>0</xdr:row>
                <xdr:rowOff>1057275</xdr:rowOff>
              </from>
              <to>
                <xdr:col>39</xdr:col>
                <xdr:colOff>504825</xdr:colOff>
                <xdr:row>1</xdr:row>
                <xdr:rowOff>0</xdr:rowOff>
              </to>
            </anchor>
          </controlPr>
        </control>
      </mc:Choice>
      <mc:Fallback>
        <control shapeId="1048" r:id="rId84" name="CheckBox21"/>
      </mc:Fallback>
    </mc:AlternateContent>
    <mc:AlternateContent xmlns:mc="http://schemas.openxmlformats.org/markup-compatibility/2006">
      <mc:Choice Requires="x14">
        <control shapeId="1049" r:id="rId86" name="CheckBox22">
          <controlPr defaultSize="0" autoLine="0" r:id="rId87">
            <anchor>
              <from>
                <xdr:col>2</xdr:col>
                <xdr:colOff>38100</xdr:colOff>
                <xdr:row>0</xdr:row>
                <xdr:rowOff>9525</xdr:rowOff>
              </from>
              <to>
                <xdr:col>4</xdr:col>
                <xdr:colOff>19050</xdr:colOff>
                <xdr:row>0</xdr:row>
                <xdr:rowOff>361950</xdr:rowOff>
              </to>
            </anchor>
          </controlPr>
        </control>
      </mc:Choice>
      <mc:Fallback>
        <control shapeId="1049" r:id="rId86" name="CheckBox22"/>
      </mc:Fallback>
    </mc:AlternateContent>
    <mc:AlternateContent xmlns:mc="http://schemas.openxmlformats.org/markup-compatibility/2006">
      <mc:Choice Requires="x14">
        <control shapeId="1050" r:id="rId88" name="CheckBox23">
          <controlPr defaultSize="0" autoLine="0" r:id="rId89">
            <anchor>
              <from>
                <xdr:col>2</xdr:col>
                <xdr:colOff>38100</xdr:colOff>
                <xdr:row>0</xdr:row>
                <xdr:rowOff>361950</xdr:rowOff>
              </from>
              <to>
                <xdr:col>4</xdr:col>
                <xdr:colOff>19050</xdr:colOff>
                <xdr:row>0</xdr:row>
                <xdr:rowOff>714375</xdr:rowOff>
              </to>
            </anchor>
          </controlPr>
        </control>
      </mc:Choice>
      <mc:Fallback>
        <control shapeId="1050" r:id="rId88" name="CheckBox23"/>
      </mc:Fallback>
    </mc:AlternateContent>
    <mc:AlternateContent xmlns:mc="http://schemas.openxmlformats.org/markup-compatibility/2006">
      <mc:Choice Requires="x14">
        <control shapeId="1051" r:id="rId90" name="CheckBox24">
          <controlPr defaultSize="0" autoLine="0" r:id="rId91">
            <anchor>
              <from>
                <xdr:col>4</xdr:col>
                <xdr:colOff>19050</xdr:colOff>
                <xdr:row>0</xdr:row>
                <xdr:rowOff>9525</xdr:rowOff>
              </from>
              <to>
                <xdr:col>5</xdr:col>
                <xdr:colOff>0</xdr:colOff>
                <xdr:row>0</xdr:row>
                <xdr:rowOff>361950</xdr:rowOff>
              </to>
            </anchor>
          </controlPr>
        </control>
      </mc:Choice>
      <mc:Fallback>
        <control shapeId="1051" r:id="rId90" name="CheckBox24"/>
      </mc:Fallback>
    </mc:AlternateContent>
    <mc:AlternateContent xmlns:mc="http://schemas.openxmlformats.org/markup-compatibility/2006">
      <mc:Choice Requires="x14">
        <control shapeId="1055" r:id="rId92" name="CheckBox27">
          <controlPr defaultSize="0" autoLine="0" r:id="rId93">
            <anchor>
              <from>
                <xdr:col>1</xdr:col>
                <xdr:colOff>47625</xdr:colOff>
                <xdr:row>0</xdr:row>
                <xdr:rowOff>9525</xdr:rowOff>
              </from>
              <to>
                <xdr:col>2</xdr:col>
                <xdr:colOff>28575</xdr:colOff>
                <xdr:row>0</xdr:row>
                <xdr:rowOff>361950</xdr:rowOff>
              </to>
            </anchor>
          </controlPr>
        </control>
      </mc:Choice>
      <mc:Fallback>
        <control shapeId="1055" r:id="rId92" name="CheckBox27"/>
      </mc:Fallback>
    </mc:AlternateContent>
    <mc:AlternateContent xmlns:mc="http://schemas.openxmlformats.org/markup-compatibility/2006">
      <mc:Choice Requires="x14">
        <control shapeId="1056" r:id="rId94" name="CheckBox28">
          <controlPr defaultSize="0" autoLine="0" r:id="rId95">
            <anchor>
              <from>
                <xdr:col>1</xdr:col>
                <xdr:colOff>47625</xdr:colOff>
                <xdr:row>0</xdr:row>
                <xdr:rowOff>371475</xdr:rowOff>
              </from>
              <to>
                <xdr:col>2</xdr:col>
                <xdr:colOff>38100</xdr:colOff>
                <xdr:row>0</xdr:row>
                <xdr:rowOff>723900</xdr:rowOff>
              </to>
            </anchor>
          </controlPr>
        </control>
      </mc:Choice>
      <mc:Fallback>
        <control shapeId="1056" r:id="rId94" name="CheckBox28"/>
      </mc:Fallback>
    </mc:AlternateContent>
    <mc:AlternateContent xmlns:mc="http://schemas.openxmlformats.org/markup-compatibility/2006">
      <mc:Choice Requires="x14">
        <control shapeId="1058" r:id="rId96" name="CheckBox29">
          <controlPr defaultSize="0" autoLine="0" r:id="rId97">
            <anchor>
              <from>
                <xdr:col>1</xdr:col>
                <xdr:colOff>47625</xdr:colOff>
                <xdr:row>0</xdr:row>
                <xdr:rowOff>714375</xdr:rowOff>
              </from>
              <to>
                <xdr:col>2</xdr:col>
                <xdr:colOff>28575</xdr:colOff>
                <xdr:row>0</xdr:row>
                <xdr:rowOff>1066800</xdr:rowOff>
              </to>
            </anchor>
          </controlPr>
        </control>
      </mc:Choice>
      <mc:Fallback>
        <control shapeId="1058" r:id="rId96" name="CheckBox29"/>
      </mc:Fallback>
    </mc:AlternateContent>
    <mc:AlternateContent xmlns:mc="http://schemas.openxmlformats.org/markup-compatibility/2006">
      <mc:Choice Requires="x14">
        <control shapeId="1060" r:id="rId98" name="CheckBox31">
          <controlPr defaultSize="0" autoLine="0" r:id="rId99">
            <anchor>
              <from>
                <xdr:col>1</xdr:col>
                <xdr:colOff>47625</xdr:colOff>
                <xdr:row>0</xdr:row>
                <xdr:rowOff>1057275</xdr:rowOff>
              </from>
              <to>
                <xdr:col>2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060" r:id="rId98" name="CheckBox31"/>
      </mc:Fallback>
    </mc:AlternateContent>
    <mc:AlternateContent xmlns:mc="http://schemas.openxmlformats.org/markup-compatibility/2006">
      <mc:Choice Requires="x14">
        <control shapeId="1065" r:id="rId100" name="CheckBox36">
          <controlPr defaultSize="0" autoLine="0" r:id="rId101">
            <anchor>
              <from>
                <xdr:col>7</xdr:col>
                <xdr:colOff>666750</xdr:colOff>
                <xdr:row>0</xdr:row>
                <xdr:rowOff>714375</xdr:rowOff>
              </from>
              <to>
                <xdr:col>22</xdr:col>
                <xdr:colOff>647700</xdr:colOff>
                <xdr:row>0</xdr:row>
                <xdr:rowOff>1066800</xdr:rowOff>
              </to>
            </anchor>
          </controlPr>
        </control>
      </mc:Choice>
      <mc:Fallback>
        <control shapeId="1065" r:id="rId100" name="CheckBox36"/>
      </mc:Fallback>
    </mc:AlternateContent>
    <mc:AlternateContent xmlns:mc="http://schemas.openxmlformats.org/markup-compatibility/2006">
      <mc:Choice Requires="x14">
        <control shapeId="1066" r:id="rId102" name="CheckBox37">
          <controlPr defaultSize="0" autoLine="0" r:id="rId103">
            <anchor>
              <from>
                <xdr:col>7</xdr:col>
                <xdr:colOff>666750</xdr:colOff>
                <xdr:row>0</xdr:row>
                <xdr:rowOff>1057275</xdr:rowOff>
              </from>
              <to>
                <xdr:col>22</xdr:col>
                <xdr:colOff>647700</xdr:colOff>
                <xdr:row>1</xdr:row>
                <xdr:rowOff>0</xdr:rowOff>
              </to>
            </anchor>
          </controlPr>
        </control>
      </mc:Choice>
      <mc:Fallback>
        <control shapeId="1066" r:id="rId102" name="CheckBox37"/>
      </mc:Fallback>
    </mc:AlternateContent>
    <mc:AlternateContent xmlns:mc="http://schemas.openxmlformats.org/markup-compatibility/2006">
      <mc:Choice Requires="x14">
        <control shapeId="1067" r:id="rId104" name="CheckBox38">
          <controlPr defaultSize="0" autoLine="0" r:id="rId105">
            <anchor>
              <from>
                <xdr:col>22</xdr:col>
                <xdr:colOff>647700</xdr:colOff>
                <xdr:row>0</xdr:row>
                <xdr:rowOff>714375</xdr:rowOff>
              </from>
              <to>
                <xdr:col>25</xdr:col>
                <xdr:colOff>590550</xdr:colOff>
                <xdr:row>0</xdr:row>
                <xdr:rowOff>1066800</xdr:rowOff>
              </to>
            </anchor>
          </controlPr>
        </control>
      </mc:Choice>
      <mc:Fallback>
        <control shapeId="1067" r:id="rId104" name="CheckBox38"/>
      </mc:Fallback>
    </mc:AlternateContent>
    <mc:AlternateContent xmlns:mc="http://schemas.openxmlformats.org/markup-compatibility/2006">
      <mc:Choice Requires="x14">
        <control shapeId="1068" r:id="rId106" name="CheckBox39">
          <controlPr defaultSize="0" autoLine="0" r:id="rId107">
            <anchor>
              <from>
                <xdr:col>22</xdr:col>
                <xdr:colOff>647700</xdr:colOff>
                <xdr:row>0</xdr:row>
                <xdr:rowOff>1057275</xdr:rowOff>
              </from>
              <to>
                <xdr:col>25</xdr:col>
                <xdr:colOff>590550</xdr:colOff>
                <xdr:row>1</xdr:row>
                <xdr:rowOff>0</xdr:rowOff>
              </to>
            </anchor>
          </controlPr>
        </control>
      </mc:Choice>
      <mc:Fallback>
        <control shapeId="1068" r:id="rId106" name="CheckBox39"/>
      </mc:Fallback>
    </mc:AlternateContent>
    <mc:AlternateContent xmlns:mc="http://schemas.openxmlformats.org/markup-compatibility/2006">
      <mc:Choice Requires="x14">
        <control shapeId="1087" r:id="rId108" name="CommandButton4">
          <controlPr defaultSize="0" autoLine="0" r:id="rId109">
            <anchor>
              <from>
                <xdr:col>0</xdr:col>
                <xdr:colOff>9525</xdr:colOff>
                <xdr:row>0</xdr:row>
                <xdr:rowOff>904875</xdr:rowOff>
              </from>
              <to>
                <xdr:col>1</xdr:col>
                <xdr:colOff>9525</xdr:colOff>
                <xdr:row>0</xdr:row>
                <xdr:rowOff>1171575</xdr:rowOff>
              </to>
            </anchor>
          </controlPr>
        </control>
      </mc:Choice>
      <mc:Fallback>
        <control shapeId="1087" r:id="rId108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X21"/>
  <sheetViews>
    <sheetView zoomScaleNormal="100" workbookViewId="0">
      <selection activeCell="B12" sqref="B12"/>
    </sheetView>
  </sheetViews>
  <sheetFormatPr defaultRowHeight="14.25" x14ac:dyDescent="0.15"/>
  <cols>
    <col min="1" max="1" width="11.25" style="1" customWidth="1"/>
    <col min="2" max="4" width="9" style="1"/>
    <col min="5" max="5" width="9" style="30"/>
    <col min="6" max="7" width="9" style="16"/>
    <col min="8" max="8" width="13.875" bestFit="1" customWidth="1"/>
    <col min="9" max="9" width="13.875" style="1" bestFit="1" customWidth="1"/>
    <col min="11" max="21" width="9" style="1"/>
    <col min="22" max="24" width="9" style="15"/>
  </cols>
  <sheetData>
    <row r="1" spans="1:10" ht="20.100000000000001" customHeight="1" x14ac:dyDescent="0.15">
      <c r="A1" s="83" t="s">
        <v>16</v>
      </c>
      <c r="B1" s="83" t="s">
        <v>17</v>
      </c>
      <c r="C1" s="83" t="s">
        <v>18</v>
      </c>
      <c r="D1" s="35" t="s">
        <v>29</v>
      </c>
      <c r="E1" s="35" t="s">
        <v>32</v>
      </c>
      <c r="F1" s="37" t="s">
        <v>31</v>
      </c>
      <c r="G1" s="57" t="s">
        <v>30</v>
      </c>
      <c r="H1" s="37" t="s">
        <v>37</v>
      </c>
      <c r="I1" s="37" t="s">
        <v>38</v>
      </c>
      <c r="J1" s="57" t="s">
        <v>19</v>
      </c>
    </row>
    <row r="2" spans="1:10" ht="20.100000000000001" customHeight="1" x14ac:dyDescent="0.15">
      <c r="A2" s="83"/>
      <c r="B2" s="83"/>
      <c r="C2" s="83"/>
      <c r="D2" s="1">
        <f>SUM(B3:B1024)-SUM(C3:C1024)</f>
        <v>0</v>
      </c>
      <c r="E2" s="16">
        <f>SUM(交易记录!AC7:AC1032)</f>
        <v>0</v>
      </c>
      <c r="F2" s="30">
        <f>D2+E2</f>
        <v>0</v>
      </c>
      <c r="G2" s="16">
        <f>F2-H2</f>
        <v>0</v>
      </c>
      <c r="H2" s="16">
        <f>SUM(交易记录!AN7:AN1032)</f>
        <v>0</v>
      </c>
      <c r="I2" s="16">
        <f>SUM(交易记录!AM7:AM1032)</f>
        <v>0</v>
      </c>
      <c r="J2" s="17" t="e">
        <f>H2/F2</f>
        <v>#DIV/0!</v>
      </c>
    </row>
    <row r="3" spans="1:10" x14ac:dyDescent="0.15">
      <c r="A3" s="27"/>
    </row>
    <row r="4" spans="1:10" x14ac:dyDescent="0.15">
      <c r="A4" s="27"/>
      <c r="F4" s="30"/>
      <c r="G4" s="30"/>
    </row>
    <row r="5" spans="1:10" x14ac:dyDescent="0.15">
      <c r="A5" s="27"/>
      <c r="F5" s="30"/>
      <c r="G5" s="30"/>
    </row>
    <row r="6" spans="1:10" x14ac:dyDescent="0.15">
      <c r="A6" s="27"/>
      <c r="F6" s="30"/>
      <c r="G6" s="30"/>
    </row>
    <row r="7" spans="1:10" x14ac:dyDescent="0.15">
      <c r="A7" s="27"/>
      <c r="F7" s="30"/>
      <c r="G7" s="30"/>
    </row>
    <row r="8" spans="1:10" x14ac:dyDescent="0.15">
      <c r="A8" s="27"/>
      <c r="F8" s="30"/>
      <c r="G8" s="30"/>
    </row>
    <row r="9" spans="1:10" x14ac:dyDescent="0.15">
      <c r="A9" s="27"/>
      <c r="F9" s="30"/>
      <c r="G9" s="30"/>
    </row>
    <row r="10" spans="1:10" x14ac:dyDescent="0.15">
      <c r="A10" s="27"/>
      <c r="F10" s="30"/>
      <c r="G10" s="30"/>
    </row>
    <row r="11" spans="1:10" x14ac:dyDescent="0.15">
      <c r="A11" s="27"/>
      <c r="F11" s="30"/>
      <c r="G11" s="30"/>
    </row>
    <row r="12" spans="1:10" x14ac:dyDescent="0.15">
      <c r="A12" s="27"/>
      <c r="F12" s="30"/>
      <c r="G12" s="30"/>
    </row>
    <row r="13" spans="1:10" x14ac:dyDescent="0.15">
      <c r="A13" s="27"/>
      <c r="F13" s="30"/>
      <c r="G13" s="30"/>
    </row>
    <row r="14" spans="1:10" x14ac:dyDescent="0.15">
      <c r="A14" s="27"/>
    </row>
    <row r="15" spans="1:10" x14ac:dyDescent="0.15">
      <c r="A15" s="27"/>
    </row>
    <row r="16" spans="1:10" x14ac:dyDescent="0.15">
      <c r="A16" s="27"/>
    </row>
    <row r="17" spans="1:1" x14ac:dyDescent="0.15">
      <c r="A17" s="27"/>
    </row>
    <row r="18" spans="1:1" x14ac:dyDescent="0.15">
      <c r="A18" s="27"/>
    </row>
    <row r="19" spans="1:1" x14ac:dyDescent="0.15">
      <c r="A19" s="27"/>
    </row>
    <row r="20" spans="1:1" x14ac:dyDescent="0.15">
      <c r="A20" s="27"/>
    </row>
    <row r="21" spans="1:1" x14ac:dyDescent="0.15">
      <c r="A21" s="27"/>
    </row>
  </sheetData>
  <mergeCells count="3">
    <mergeCell ref="A1:A2"/>
    <mergeCell ref="B1:B2"/>
    <mergeCell ref="C1:C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交易记录</vt:lpstr>
      <vt:lpstr>转账记录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bitbrahms</cp:lastModifiedBy>
  <dcterms:created xsi:type="dcterms:W3CDTF">2006-09-16T00:00:00Z</dcterms:created>
  <dcterms:modified xsi:type="dcterms:W3CDTF">2018-12-24T13:23:09Z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隐藏表中的控件_1" visible="true" label="隐藏表中的控件" imageMso="OpenStartPage" onAction="隐藏表中的控件"/>
      </mso:documentControls>
    </mso:qat>
  </mso:ribbon>
</mso:customUI>
</file>